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3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4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karol\OneDrive\Pulpit\Excel\projekt\"/>
    </mc:Choice>
  </mc:AlternateContent>
  <xr:revisionPtr revIDLastSave="0" documentId="13_ncr:1_{ACC1D4FB-05AC-4511-ADC2-A0EB25EB2FE7}" xr6:coauthVersionLast="47" xr6:coauthVersionMax="47" xr10:uidLastSave="{00000000-0000-0000-0000-000000000000}"/>
  <bookViews>
    <workbookView xWindow="-108" yWindow="-108" windowWidth="23256" windowHeight="12456" xr2:uid="{DE7FF4FA-06C4-4047-8D05-4146F73BEB62}"/>
  </bookViews>
  <sheets>
    <sheet name="Arkusz1" sheetId="1" r:id="rId1"/>
  </sheets>
  <functionGroups builtInGroupCount="19"/>
  <definedNames>
    <definedName name="_xlchart.v1.0" hidden="1">Arkusz1!$J$30</definedName>
    <definedName name="_xlchart.v1.1" hidden="1">Arkusz1!$J$31:$J$1030</definedName>
    <definedName name="_xlchart.v1.10" hidden="1">Arkusz1!$D$30</definedName>
    <definedName name="_xlchart.v1.11" hidden="1">Arkusz1!$D$31:$D$1030</definedName>
    <definedName name="_xlchart.v1.12" hidden="1">Arkusz1!$N$30</definedName>
    <definedName name="_xlchart.v1.13" hidden="1">Arkusz1!$N$31:$N$1030</definedName>
    <definedName name="_xlchart.v1.14" hidden="1">Arkusz1!$O$30</definedName>
    <definedName name="_xlchart.v1.15" hidden="1">Arkusz1!$O$31:$O$1030</definedName>
    <definedName name="_xlchart.v1.16" hidden="1">Arkusz1!$P$30</definedName>
    <definedName name="_xlchart.v1.17" hidden="1">Arkusz1!$P$31:$P$1030</definedName>
    <definedName name="_xlchart.v1.18" hidden="1">Arkusz1!$F$30</definedName>
    <definedName name="_xlchart.v1.19" hidden="1">Arkusz1!$F$31:$F$1030</definedName>
    <definedName name="_xlchart.v1.2" hidden="1">Arkusz1!$K$30</definedName>
    <definedName name="_xlchart.v1.20" hidden="1">Arkusz1!$G$30</definedName>
    <definedName name="_xlchart.v1.21" hidden="1">Arkusz1!$G$31:$G$1030</definedName>
    <definedName name="_xlchart.v1.22" hidden="1">Arkusz1!$H$30</definedName>
    <definedName name="_xlchart.v1.23" hidden="1">Arkusz1!$H$31:$H$1030</definedName>
    <definedName name="_xlchart.v1.3" hidden="1">Arkusz1!$K$31:$K$1030</definedName>
    <definedName name="_xlchart.v1.4" hidden="1">Arkusz1!$L$30</definedName>
    <definedName name="_xlchart.v1.5" hidden="1">Arkusz1!$L$31:$L$1030</definedName>
    <definedName name="_xlchart.v1.6" hidden="1">Arkusz1!$B$30</definedName>
    <definedName name="_xlchart.v1.7" hidden="1">Arkusz1!$B$31:$B$1030</definedName>
    <definedName name="_xlchart.v1.8" hidden="1">Arkusz1!$C$30</definedName>
    <definedName name="_xlchart.v1.9" hidden="1">Arkusz1!$C$31:$C$1030</definedName>
    <definedName name="_xleta.MIN" hidden="1" xlm="1">#NAME?</definedName>
    <definedName name="_xleta.SIN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1" l="1" a="1"/>
  <c r="D56" i="1" a="1"/>
  <c r="D80" i="1" a="1"/>
  <c r="D104" i="1" a="1"/>
  <c r="D128" i="1" a="1"/>
  <c r="D152" i="1" a="1"/>
  <c r="D176" i="1" a="1"/>
  <c r="D200" i="1" a="1"/>
  <c r="D224" i="1" a="1"/>
  <c r="D248" i="1" a="1"/>
  <c r="D272" i="1" a="1"/>
  <c r="D296" i="1" a="1"/>
  <c r="D320" i="1" a="1"/>
  <c r="D344" i="1" a="1"/>
  <c r="D368" i="1" a="1"/>
  <c r="D392" i="1" a="1"/>
  <c r="D416" i="1" a="1"/>
  <c r="D440" i="1" a="1"/>
  <c r="D464" i="1" a="1"/>
  <c r="D488" i="1" a="1"/>
  <c r="D40" i="1" a="1"/>
  <c r="D69" i="1" a="1"/>
  <c r="D97" i="1" a="1"/>
  <c r="D126" i="1" a="1"/>
  <c r="D155" i="1" a="1"/>
  <c r="D184" i="1" a="1"/>
  <c r="D213" i="1" a="1"/>
  <c r="D241" i="1" a="1"/>
  <c r="D270" i="1" a="1"/>
  <c r="D299" i="1" a="1"/>
  <c r="D328" i="1" a="1"/>
  <c r="D357" i="1" a="1"/>
  <c r="D385" i="1" a="1"/>
  <c r="D414" i="1" a="1"/>
  <c r="D443" i="1" a="1"/>
  <c r="D472" i="1" a="1"/>
  <c r="D501" i="1" a="1"/>
  <c r="D546" i="1" a="1"/>
  <c r="D570" i="1" a="1"/>
  <c r="D594" i="1" a="1"/>
  <c r="D618" i="1" a="1"/>
  <c r="D642" i="1" a="1"/>
  <c r="D666" i="1" a="1"/>
  <c r="D690" i="1" a="1"/>
  <c r="D714" i="1" a="1"/>
  <c r="D738" i="1" a="1"/>
  <c r="D762" i="1" a="1"/>
  <c r="D786" i="1" a="1"/>
  <c r="D810" i="1" a="1"/>
  <c r="D834" i="1" a="1"/>
  <c r="D858" i="1" a="1"/>
  <c r="D534" i="1" a="1"/>
  <c r="D59" i="1" a="1"/>
  <c r="D94" i="1" a="1"/>
  <c r="D129" i="1" a="1"/>
  <c r="D163" i="1" a="1"/>
  <c r="D197" i="1" a="1"/>
  <c r="D232" i="1" a="1"/>
  <c r="D267" i="1" a="1"/>
  <c r="D301" i="1" a="1"/>
  <c r="D336" i="1" a="1"/>
  <c r="D370" i="1" a="1"/>
  <c r="D405" i="1" a="1"/>
  <c r="D439" i="1" a="1"/>
  <c r="D474" i="1" a="1"/>
  <c r="D516" i="1" a="1"/>
  <c r="D579" i="1" a="1"/>
  <c r="D638" i="1" a="1"/>
  <c r="D697" i="1" a="1"/>
  <c r="D749" i="1" a="1"/>
  <c r="D808" i="1" a="1"/>
  <c r="D867" i="1" a="1"/>
  <c r="D891" i="1" a="1"/>
  <c r="D915" i="1" a="1"/>
  <c r="D939" i="1" a="1"/>
  <c r="D963" i="1" a="1"/>
  <c r="D987" i="1" a="1"/>
  <c r="D1011" i="1" a="1"/>
  <c r="D52" i="1" a="1"/>
  <c r="D276" i="1" a="1"/>
  <c r="D354" i="1" a="1"/>
  <c r="D424" i="1" a="1"/>
  <c r="D492" i="1" a="1"/>
  <c r="D613" i="1" a="1"/>
  <c r="D737" i="1" a="1"/>
  <c r="D524" i="1" a="1"/>
  <c r="D573" i="1" a="1"/>
  <c r="D632" i="1" a="1"/>
  <c r="D691" i="1" a="1"/>
  <c r="D743" i="1" a="1"/>
  <c r="D802" i="1" a="1"/>
  <c r="D861" i="1" a="1"/>
  <c r="D70" i="1" a="1"/>
  <c r="D103" i="1" a="1"/>
  <c r="D138" i="1" a="1"/>
  <c r="D173" i="1" a="1"/>
  <c r="D208" i="1" a="1"/>
  <c r="D268" i="1" a="1"/>
  <c r="D329" i="1" a="1"/>
  <c r="D397" i="1" a="1"/>
  <c r="D467" i="1" a="1"/>
  <c r="D541" i="1" a="1"/>
  <c r="D639" i="1" a="1"/>
  <c r="D770" i="1" a="1"/>
  <c r="D115" i="1" a="1"/>
  <c r="D253" i="1" a="1"/>
  <c r="D391" i="1" a="1"/>
  <c r="D528" i="1" a="1"/>
  <c r="D643" i="1" a="1"/>
  <c r="D687" i="1" a="1"/>
  <c r="D731" i="1" a="1"/>
  <c r="D847" i="1" a="1"/>
  <c r="D758" i="1" a="1"/>
  <c r="D871" i="1" a="1"/>
  <c r="D936" i="1" a="1"/>
  <c r="D1001" i="1" a="1"/>
  <c r="D82" i="1" a="1"/>
  <c r="D359" i="1" a="1"/>
  <c r="D529" i="1" a="1"/>
  <c r="D706" i="1" a="1"/>
  <c r="D37" i="1" a="1"/>
  <c r="D348" i="1" a="1"/>
  <c r="D93" i="1" a="1"/>
  <c r="D161" i="1" a="1"/>
  <c r="D231" i="1" a="1"/>
  <c r="D300" i="1" a="1"/>
  <c r="D369" i="1" a="1"/>
  <c r="D38" i="1" a="1"/>
  <c r="D62" i="1" a="1"/>
  <c r="D86" i="1" a="1"/>
  <c r="D110" i="1" a="1"/>
  <c r="D134" i="1" a="1"/>
  <c r="D158" i="1" a="1"/>
  <c r="D182" i="1" a="1"/>
  <c r="D206" i="1" a="1"/>
  <c r="D230" i="1" a="1"/>
  <c r="D254" i="1" a="1"/>
  <c r="D278" i="1" a="1"/>
  <c r="D302" i="1" a="1"/>
  <c r="D326" i="1" a="1"/>
  <c r="D350" i="1" a="1"/>
  <c r="D374" i="1" a="1"/>
  <c r="D398" i="1" a="1"/>
  <c r="D422" i="1" a="1"/>
  <c r="D446" i="1" a="1"/>
  <c r="D470" i="1" a="1"/>
  <c r="D494" i="1" a="1"/>
  <c r="D47" i="1" a="1"/>
  <c r="D76" i="1" a="1"/>
  <c r="D105" i="1" a="1"/>
  <c r="D133" i="1" a="1"/>
  <c r="D162" i="1" a="1"/>
  <c r="D191" i="1" a="1"/>
  <c r="D220" i="1" a="1"/>
  <c r="D249" i="1" a="1"/>
  <c r="D277" i="1" a="1"/>
  <c r="D306" i="1" a="1"/>
  <c r="D335" i="1" a="1"/>
  <c r="D364" i="1" a="1"/>
  <c r="D393" i="1" a="1"/>
  <c r="D421" i="1" a="1"/>
  <c r="D450" i="1" a="1"/>
  <c r="D479" i="1" a="1"/>
  <c r="D514" i="1" a="1"/>
  <c r="D552" i="1" a="1"/>
  <c r="D576" i="1" a="1"/>
  <c r="D600" i="1" a="1"/>
  <c r="D624" i="1" a="1"/>
  <c r="D648" i="1" a="1"/>
  <c r="D672" i="1" a="1"/>
  <c r="D696" i="1" a="1"/>
  <c r="D720" i="1" a="1"/>
  <c r="D744" i="1" a="1"/>
  <c r="D768" i="1" a="1"/>
  <c r="D792" i="1" a="1"/>
  <c r="D816" i="1" a="1"/>
  <c r="D840" i="1" a="1"/>
  <c r="D864" i="1" a="1"/>
  <c r="D34" i="1" a="1"/>
  <c r="D67" i="1" a="1"/>
  <c r="D102" i="1" a="1"/>
  <c r="D137" i="1" a="1"/>
  <c r="D172" i="1" a="1"/>
  <c r="D207" i="1" a="1"/>
  <c r="D240" i="1" a="1"/>
  <c r="D275" i="1" a="1"/>
  <c r="D310" i="1" a="1"/>
  <c r="D345" i="1" a="1"/>
  <c r="D379" i="1" a="1"/>
  <c r="D413" i="1" a="1"/>
  <c r="D448" i="1" a="1"/>
  <c r="D483" i="1" a="1"/>
  <c r="D539" i="1" a="1"/>
  <c r="D592" i="1" a="1"/>
  <c r="D651" i="1" a="1"/>
  <c r="D710" i="1" a="1"/>
  <c r="D769" i="1" a="1"/>
  <c r="D821" i="1" a="1"/>
  <c r="D873" i="1" a="1"/>
  <c r="D897" i="1" a="1"/>
  <c r="D921" i="1" a="1"/>
  <c r="D945" i="1" a="1"/>
  <c r="D969" i="1" a="1"/>
  <c r="D993" i="1" a="1"/>
  <c r="D1017" i="1" a="1"/>
  <c r="D216" i="1" a="1"/>
  <c r="D303" i="1" a="1"/>
  <c r="D372" i="1" a="1"/>
  <c r="D441" i="1" a="1"/>
  <c r="D517" i="1" a="1"/>
  <c r="D652" i="1" a="1"/>
  <c r="D757" i="1" a="1"/>
  <c r="D532" i="1" a="1"/>
  <c r="D586" i="1" a="1"/>
  <c r="D645" i="1" a="1"/>
  <c r="D704" i="1" a="1"/>
  <c r="D763" i="1" a="1"/>
  <c r="D815" i="1" a="1"/>
  <c r="D35" i="1" a="1"/>
  <c r="D78" i="1" a="1"/>
  <c r="D113" i="1" a="1"/>
  <c r="D147" i="1" a="1"/>
  <c r="D181" i="1" a="1"/>
  <c r="D225" i="1" a="1"/>
  <c r="D286" i="1" a="1"/>
  <c r="D346" i="1" a="1"/>
  <c r="D415" i="1" a="1"/>
  <c r="D484" i="1" a="1"/>
  <c r="D580" i="1" a="1"/>
  <c r="D665" i="1" a="1"/>
  <c r="D783" i="1" a="1"/>
  <c r="D150" i="1" a="1"/>
  <c r="D288" i="1" a="1"/>
  <c r="D426" i="1" a="1"/>
  <c r="D548" i="1" a="1"/>
  <c r="D661" i="1" a="1"/>
  <c r="D695" i="1" a="1"/>
  <c r="D800" i="1" a="1"/>
  <c r="D863" i="1" a="1"/>
  <c r="D784" i="1" a="1"/>
  <c r="D886" i="1" a="1"/>
  <c r="D958" i="1" a="1"/>
  <c r="D1015" i="1" a="1"/>
  <c r="D186" i="1" a="1"/>
  <c r="D427" i="1" a="1"/>
  <c r="D549" i="1" a="1"/>
  <c r="D775" i="1" a="1"/>
  <c r="D142" i="1" a="1"/>
  <c r="D36" i="1" a="1"/>
  <c r="D106" i="1" a="1"/>
  <c r="D174" i="1" a="1"/>
  <c r="D244" i="1" a="1"/>
  <c r="D312" i="1" a="1"/>
  <c r="D382" i="1" a="1"/>
  <c r="D44" i="1" a="1"/>
  <c r="D68" i="1" a="1"/>
  <c r="D92" i="1" a="1"/>
  <c r="D116" i="1" a="1"/>
  <c r="D140" i="1" a="1"/>
  <c r="D164" i="1" a="1"/>
  <c r="D188" i="1" a="1"/>
  <c r="D212" i="1" a="1"/>
  <c r="D236" i="1" a="1"/>
  <c r="D260" i="1" a="1"/>
  <c r="D284" i="1" a="1"/>
  <c r="D308" i="1" a="1"/>
  <c r="D332" i="1" a="1"/>
  <c r="D356" i="1" a="1"/>
  <c r="D380" i="1" a="1"/>
  <c r="D404" i="1" a="1"/>
  <c r="D428" i="1" a="1"/>
  <c r="D452" i="1" a="1"/>
  <c r="D476" i="1" a="1"/>
  <c r="D500" i="1" a="1"/>
  <c r="D54" i="1" a="1"/>
  <c r="D83" i="1" a="1"/>
  <c r="D112" i="1" a="1"/>
  <c r="D141" i="1" a="1"/>
  <c r="D169" i="1" a="1"/>
  <c r="D198" i="1" a="1"/>
  <c r="D227" i="1" a="1"/>
  <c r="D256" i="1" a="1"/>
  <c r="D285" i="1" a="1"/>
  <c r="D313" i="1" a="1"/>
  <c r="D342" i="1" a="1"/>
  <c r="D371" i="1" a="1"/>
  <c r="D400" i="1" a="1"/>
  <c r="D429" i="1" a="1"/>
  <c r="D457" i="1" a="1"/>
  <c r="D486" i="1" a="1"/>
  <c r="D527" i="1" a="1"/>
  <c r="D558" i="1" a="1"/>
  <c r="D582" i="1" a="1"/>
  <c r="D606" i="1" a="1"/>
  <c r="D630" i="1" a="1"/>
  <c r="D654" i="1" a="1"/>
  <c r="D678" i="1" a="1"/>
  <c r="D702" i="1" a="1"/>
  <c r="D726" i="1" a="1"/>
  <c r="D750" i="1" a="1"/>
  <c r="D774" i="1" a="1"/>
  <c r="D798" i="1" a="1"/>
  <c r="D822" i="1" a="1"/>
  <c r="D846" i="1" a="1"/>
  <c r="D508" i="1" a="1"/>
  <c r="D42" i="1" a="1"/>
  <c r="D77" i="1" a="1"/>
  <c r="D111" i="1" a="1"/>
  <c r="D145" i="1" a="1"/>
  <c r="D180" i="1" a="1"/>
  <c r="D215" i="1" a="1"/>
  <c r="D250" i="1" a="1"/>
  <c r="D283" i="1" a="1"/>
  <c r="D318" i="1" a="1"/>
  <c r="D353" i="1" a="1"/>
  <c r="D388" i="1" a="1"/>
  <c r="D423" i="1" a="1"/>
  <c r="D456" i="1" a="1"/>
  <c r="D491" i="1" a="1"/>
  <c r="D553" i="1" a="1"/>
  <c r="D605" i="1" a="1"/>
  <c r="D664" i="1" a="1"/>
  <c r="D723" i="1" a="1"/>
  <c r="D782" i="1" a="1"/>
  <c r="D841" i="1" a="1"/>
  <c r="D879" i="1" a="1"/>
  <c r="D903" i="1" a="1"/>
  <c r="D927" i="1" a="1"/>
  <c r="D951" i="1" a="1"/>
  <c r="D975" i="1" a="1"/>
  <c r="D999" i="1" a="1"/>
  <c r="D1023" i="1" a="1"/>
  <c r="D243" i="1" a="1"/>
  <c r="D319" i="1" a="1"/>
  <c r="D389" i="1" a="1"/>
  <c r="D459" i="1" a="1"/>
  <c r="D554" i="1" a="1"/>
  <c r="D685" i="1" a="1"/>
  <c r="D796" i="1" a="1"/>
  <c r="D547" i="1" a="1"/>
  <c r="D599" i="1" a="1"/>
  <c r="D658" i="1" a="1"/>
  <c r="D717" i="1" a="1"/>
  <c r="D776" i="1" a="1"/>
  <c r="D835" i="1" a="1"/>
  <c r="D43" i="1" a="1"/>
  <c r="D87" i="1" a="1"/>
  <c r="D121" i="1" a="1"/>
  <c r="D156" i="1" a="1"/>
  <c r="D190" i="1" a="1"/>
  <c r="D233" i="1" a="1"/>
  <c r="D294" i="1" a="1"/>
  <c r="D363" i="1" a="1"/>
  <c r="D432" i="1" a="1"/>
  <c r="D502" i="1" a="1"/>
  <c r="D593" i="1" a="1"/>
  <c r="D698" i="1" a="1"/>
  <c r="D46" i="1" a="1"/>
  <c r="D185" i="1" a="1"/>
  <c r="D323" i="1" a="1"/>
  <c r="D461" i="1" a="1"/>
  <c r="D556" i="1" a="1"/>
  <c r="D669" i="1" a="1"/>
  <c r="D705" i="1" a="1"/>
  <c r="D824" i="1" a="1"/>
  <c r="D591" i="1" a="1"/>
  <c r="D817" i="1" a="1"/>
  <c r="D900" i="1" a="1"/>
  <c r="D972" i="1" a="1"/>
  <c r="D1030" i="1" a="1"/>
  <c r="D221" i="1" a="1"/>
  <c r="D462" i="1" a="1"/>
  <c r="D662" i="1" a="1"/>
  <c r="D801" i="1" a="1"/>
  <c r="D210" i="1" a="1"/>
  <c r="D58" i="1" a="1"/>
  <c r="D127" i="1" a="1"/>
  <c r="D196" i="1" a="1"/>
  <c r="D265" i="1" a="1"/>
  <c r="D334" i="1" a="1"/>
  <c r="D403" i="1" a="1"/>
  <c r="D50" i="1" a="1"/>
  <c r="D74" i="1" a="1"/>
  <c r="D98" i="1" a="1"/>
  <c r="D122" i="1" a="1"/>
  <c r="D146" i="1" a="1"/>
  <c r="D170" i="1" a="1"/>
  <c r="D194" i="1" a="1"/>
  <c r="D218" i="1" a="1"/>
  <c r="D242" i="1" a="1"/>
  <c r="D266" i="1" a="1"/>
  <c r="D290" i="1" a="1"/>
  <c r="D314" i="1" a="1"/>
  <c r="D338" i="1" a="1"/>
  <c r="D362" i="1" a="1"/>
  <c r="D386" i="1" a="1"/>
  <c r="D410" i="1" a="1"/>
  <c r="D434" i="1" a="1"/>
  <c r="D458" i="1" a="1"/>
  <c r="D482" i="1" a="1"/>
  <c r="D33" i="1" a="1"/>
  <c r="D61" i="1" a="1"/>
  <c r="D90" i="1" a="1"/>
  <c r="D119" i="1" a="1"/>
  <c r="D148" i="1" a="1"/>
  <c r="D177" i="1" a="1"/>
  <c r="D205" i="1" a="1"/>
  <c r="D234" i="1" a="1"/>
  <c r="D263" i="1" a="1"/>
  <c r="D292" i="1" a="1"/>
  <c r="D321" i="1" a="1"/>
  <c r="D349" i="1" a="1"/>
  <c r="D378" i="1" a="1"/>
  <c r="D407" i="1" a="1"/>
  <c r="D436" i="1" a="1"/>
  <c r="D465" i="1" a="1"/>
  <c r="D493" i="1" a="1"/>
  <c r="D540" i="1" a="1"/>
  <c r="D564" i="1" a="1"/>
  <c r="D588" i="1" a="1"/>
  <c r="D612" i="1" a="1"/>
  <c r="D636" i="1" a="1"/>
  <c r="D660" i="1" a="1"/>
  <c r="D684" i="1" a="1"/>
  <c r="D708" i="1" a="1"/>
  <c r="D732" i="1" a="1"/>
  <c r="D756" i="1" a="1"/>
  <c r="D780" i="1" a="1"/>
  <c r="D804" i="1" a="1"/>
  <c r="D828" i="1" a="1"/>
  <c r="D852" i="1" a="1"/>
  <c r="D521" i="1" a="1"/>
  <c r="D51" i="1" a="1"/>
  <c r="D85" i="1" a="1"/>
  <c r="D120" i="1" a="1"/>
  <c r="D154" i="1" a="1"/>
  <c r="D189" i="1" a="1"/>
  <c r="D223" i="1" a="1"/>
  <c r="D258" i="1" a="1"/>
  <c r="D293" i="1" a="1"/>
  <c r="D327" i="1" a="1"/>
  <c r="D361" i="1" a="1"/>
  <c r="D396" i="1" a="1"/>
  <c r="D431" i="1" a="1"/>
  <c r="D466" i="1" a="1"/>
  <c r="D499" i="1" a="1"/>
  <c r="D566" i="1" a="1"/>
  <c r="D625" i="1" a="1"/>
  <c r="D677" i="1" a="1"/>
  <c r="D736" i="1" a="1"/>
  <c r="D795" i="1" a="1"/>
  <c r="D854" i="1" a="1"/>
  <c r="D885" i="1" a="1"/>
  <c r="D909" i="1" a="1"/>
  <c r="D933" i="1" a="1"/>
  <c r="D957" i="1" a="1"/>
  <c r="D981" i="1" a="1"/>
  <c r="D1005" i="1" a="1"/>
  <c r="D1029" i="1" a="1"/>
  <c r="D259" i="1" a="1"/>
  <c r="D337" i="1" a="1"/>
  <c r="D406" i="1" a="1"/>
  <c r="D475" i="1" a="1"/>
  <c r="D567" i="1" a="1"/>
  <c r="D711" i="1" a="1"/>
  <c r="D509" i="1" a="1"/>
  <c r="D560" i="1" a="1"/>
  <c r="D619" i="1" a="1"/>
  <c r="D671" i="1" a="1"/>
  <c r="D730" i="1" a="1"/>
  <c r="D789" i="1" a="1"/>
  <c r="D848" i="1" a="1"/>
  <c r="D60" i="1" a="1"/>
  <c r="D95" i="1" a="1"/>
  <c r="D130" i="1" a="1"/>
  <c r="D165" i="1" a="1"/>
  <c r="D199" i="1" a="1"/>
  <c r="D251" i="1" a="1"/>
  <c r="D311" i="1" a="1"/>
  <c r="D381" i="1" a="1"/>
  <c r="D449" i="1" a="1"/>
  <c r="D525" i="1" a="1"/>
  <c r="D626" i="1" a="1"/>
  <c r="D724" i="1" a="1"/>
  <c r="D81" i="1" a="1"/>
  <c r="D219" i="1" a="1"/>
  <c r="D358" i="1" a="1"/>
  <c r="D496" i="1" a="1"/>
  <c r="D574" i="1" a="1"/>
  <c r="D679" i="1" a="1"/>
  <c r="D713" i="1" a="1"/>
  <c r="D839" i="1" a="1"/>
  <c r="D740" i="1" a="1"/>
  <c r="D832" i="1" a="1"/>
  <c r="D914" i="1" a="1"/>
  <c r="D986" i="1" a="1"/>
  <c r="D48" i="1" a="1"/>
  <c r="D289" i="1" a="1"/>
  <c r="D507" i="1" a="1"/>
  <c r="D680" i="1" a="1"/>
  <c r="D849" i="1" a="1"/>
  <c r="D280" i="1" a="1"/>
  <c r="D71" i="1" a="1"/>
  <c r="D139" i="1" a="1"/>
  <c r="D209" i="1" a="1"/>
  <c r="D279" i="1" a="1"/>
  <c r="D347" i="1" a="1"/>
  <c r="D417" i="1" a="1"/>
  <c r="D438" i="1" a="1"/>
  <c r="D506" i="1" a="1"/>
  <c r="D583" i="1" a="1"/>
  <c r="D627" i="1" a="1"/>
  <c r="D748" i="1" a="1"/>
  <c r="D878" i="1" a="1"/>
  <c r="D929" i="1" a="1"/>
  <c r="D979" i="1" a="1"/>
  <c r="D117" i="1" a="1"/>
  <c r="D394" i="1" a="1"/>
  <c r="D575" i="1" a="1"/>
  <c r="D793" i="1" a="1"/>
  <c r="D175" i="1" a="1"/>
  <c r="D418" i="1" a="1"/>
  <c r="D561" i="1" a="1"/>
  <c r="D620" i="1" a="1"/>
  <c r="D759" i="1" a="1"/>
  <c r="D876" i="1" a="1"/>
  <c r="D934" i="1" a="1"/>
  <c r="D991" i="1" a="1"/>
  <c r="D689" i="1" a="1"/>
  <c r="D826" i="1" a="1"/>
  <c r="D419" i="1" a="1"/>
  <c r="D608" i="1" a="1"/>
  <c r="D888" i="1" a="1"/>
  <c r="D992" i="1" a="1"/>
  <c r="D160" i="1" a="1"/>
  <c r="D298" i="1" a="1"/>
  <c r="D435" i="1" a="1"/>
  <c r="D692" i="1" a="1"/>
  <c r="D859" i="1" a="1"/>
  <c r="D955" i="1" a="1"/>
  <c r="D166" i="1" a="1"/>
  <c r="D420" i="1" a="1"/>
  <c r="D622" i="1" a="1"/>
  <c r="D918" i="1" a="1"/>
  <c r="D598" i="1" a="1"/>
  <c r="D739" i="1" a="1"/>
  <c r="D881" i="1" a="1"/>
  <c r="D996" i="1" a="1"/>
  <c r="D132" i="1" a="1"/>
  <c r="D271" i="1" a="1"/>
  <c r="D409" i="1" a="1"/>
  <c r="D682" i="1" a="1"/>
  <c r="D830" i="1" a="1"/>
  <c r="D948" i="1" a="1"/>
  <c r="D455" i="1" a="1"/>
  <c r="D614" i="1" a="1"/>
  <c r="D882" i="1" a="1"/>
  <c r="D100" i="1" a="1"/>
  <c r="D238" i="1" a="1"/>
  <c r="D376" i="1" a="1"/>
  <c r="D603" i="1" a="1"/>
  <c r="D778" i="1" a="1"/>
  <c r="D931" i="1" a="1"/>
  <c r="D504" i="1" a="1"/>
  <c r="D767" i="1" a="1"/>
  <c r="D894" i="1" a="1"/>
  <c r="D1009" i="1" a="1"/>
  <c r="D204" i="1" a="1"/>
  <c r="D73" i="1" a="1"/>
  <c r="D143" i="1" a="1"/>
  <c r="D211" i="1" a="1"/>
  <c r="D281" i="1" a="1"/>
  <c r="D351" i="1" a="1"/>
  <c r="D433" i="1" a="1"/>
  <c r="D536" i="1" a="1"/>
  <c r="D712" i="1" a="1"/>
  <c r="D814" i="1" a="1"/>
  <c r="D480" i="1" a="1"/>
  <c r="D621" i="1" a="1"/>
  <c r="D877" i="1" a="1"/>
  <c r="D1003" i="1" a="1"/>
  <c r="D109" i="1" a="1"/>
  <c r="D247" i="1" a="1"/>
  <c r="D387" i="1" a="1"/>
  <c r="D633" i="1" a="1"/>
  <c r="D785" i="1" a="1"/>
  <c r="D926" i="1" a="1"/>
  <c r="D63" i="1" a="1"/>
  <c r="D339" i="1" a="1"/>
  <c r="D542" i="1" a="1"/>
  <c r="D797" i="1" a="1"/>
  <c r="D976" i="1" a="1"/>
  <c r="D611" i="1" a="1"/>
  <c r="D752" i="1" a="1"/>
  <c r="D928" i="1" a="1"/>
  <c r="D64" i="1" a="1"/>
  <c r="D183" i="1" a="1"/>
  <c r="D322" i="1" a="1"/>
  <c r="D543" i="1" a="1"/>
  <c r="D764" i="1" a="1"/>
  <c r="D901" i="1" a="1"/>
  <c r="D1016" i="1" a="1"/>
  <c r="D568" i="1" a="1"/>
  <c r="D799" i="1" a="1"/>
  <c r="D997" i="1" a="1"/>
  <c r="D118" i="1" a="1"/>
  <c r="D257" i="1" a="1"/>
  <c r="D395" i="1" a="1"/>
  <c r="D683" i="1" a="1"/>
  <c r="D843" i="1" a="1"/>
  <c r="D978" i="1" a="1"/>
  <c r="D628" i="1" a="1"/>
  <c r="D853" i="1" a="1"/>
  <c r="D980" i="1" a="1"/>
  <c r="D239" i="1" a="1"/>
  <c r="D490" i="1" a="1"/>
  <c r="D844" i="1" a="1"/>
  <c r="D88" i="1" a="1"/>
  <c r="D971" i="1" a="1"/>
  <c r="D330" i="1" a="1"/>
  <c r="D604" i="1" a="1"/>
  <c r="D813" i="1" a="1"/>
  <c r="D884" i="1" a="1"/>
  <c r="D895" i="1" a="1"/>
  <c r="D650" i="1" a="1"/>
  <c r="D1028" i="1" a="1"/>
  <c r="D866" i="1" a="1"/>
  <c r="D932" i="1" a="1"/>
  <c r="D545" i="1" a="1"/>
  <c r="D942" i="1" a="1"/>
  <c r="D559" i="1" a="1"/>
  <c r="O32" i="1" a="1"/>
  <c r="O56" i="1" a="1"/>
  <c r="O80" i="1" a="1"/>
  <c r="O104" i="1" a="1"/>
  <c r="O128" i="1" a="1"/>
  <c r="O152" i="1" a="1"/>
  <c r="O176" i="1" a="1"/>
  <c r="O200" i="1" a="1"/>
  <c r="O224" i="1" a="1"/>
  <c r="O248" i="1" a="1"/>
  <c r="O272" i="1" a="1"/>
  <c r="O296" i="1" a="1"/>
  <c r="O320" i="1" a="1"/>
  <c r="O344" i="1" a="1"/>
  <c r="O368" i="1" a="1"/>
  <c r="O392" i="1" a="1"/>
  <c r="O416" i="1" a="1"/>
  <c r="O440" i="1" a="1"/>
  <c r="O464" i="1" a="1"/>
  <c r="O488" i="1" a="1"/>
  <c r="O512" i="1" a="1"/>
  <c r="O536" i="1" a="1"/>
  <c r="O560" i="1" a="1"/>
  <c r="O584" i="1" a="1"/>
  <c r="O608" i="1" a="1"/>
  <c r="O632" i="1" a="1"/>
  <c r="O656" i="1" a="1"/>
  <c r="O680" i="1" a="1"/>
  <c r="O704" i="1" a="1"/>
  <c r="O728" i="1" a="1"/>
  <c r="O752" i="1" a="1"/>
  <c r="O776" i="1" a="1"/>
  <c r="O52" i="1" a="1"/>
  <c r="O111" i="1" a="1"/>
  <c r="O163" i="1" a="1"/>
  <c r="O222" i="1" a="1"/>
  <c r="O281" i="1" a="1"/>
  <c r="O340" i="1" a="1"/>
  <c r="O399" i="1" a="1"/>
  <c r="O451" i="1" a="1"/>
  <c r="O510" i="1" a="1"/>
  <c r="O569" i="1" a="1"/>
  <c r="O628" i="1" a="1"/>
  <c r="O687" i="1" a="1"/>
  <c r="O739" i="1" a="1"/>
  <c r="O33" i="1" a="1"/>
  <c r="O85" i="1" a="1"/>
  <c r="O144" i="1" a="1"/>
  <c r="O203" i="1" a="1"/>
  <c r="O262" i="1" a="1"/>
  <c r="O88" i="1" a="1"/>
  <c r="O135" i="1" a="1"/>
  <c r="O198" i="1" a="1"/>
  <c r="O291" i="1" a="1"/>
  <c r="O319" i="1" a="1"/>
  <c r="O355" i="1" a="1"/>
  <c r="O455" i="1" a="1"/>
  <c r="O498" i="1" a="1"/>
  <c r="O591" i="1" a="1"/>
  <c r="O619" i="1" a="1"/>
  <c r="O712" i="1" a="1"/>
  <c r="O755" i="1" a="1"/>
  <c r="O804" i="1" a="1"/>
  <c r="O856" i="1" a="1"/>
  <c r="O902" i="1" a="1"/>
  <c r="O948" i="1" a="1"/>
  <c r="O1000" i="1" a="1"/>
  <c r="O49" i="1" a="1"/>
  <c r="O96" i="1" a="1"/>
  <c r="O191" i="1" a="1"/>
  <c r="O261" i="1" a="1"/>
  <c r="O377" i="1" a="1"/>
  <c r="O413" i="1" a="1"/>
  <c r="O513" i="1" a="1"/>
  <c r="O541" i="1" a="1"/>
  <c r="O627" i="1" a="1"/>
  <c r="O677" i="1" a="1"/>
  <c r="O727" i="1" a="1"/>
  <c r="O798" i="1" a="1"/>
  <c r="O850" i="1" a="1"/>
  <c r="O896" i="1" a="1"/>
  <c r="O942" i="1" a="1"/>
  <c r="O994" i="1" a="1"/>
  <c r="O42" i="1" a="1"/>
  <c r="O136" i="1" a="1"/>
  <c r="O199" i="1" a="1"/>
  <c r="O246" i="1" a="1"/>
  <c r="O299" i="1" a="1"/>
  <c r="O328" i="1" a="1"/>
  <c r="O435" i="1" a="1"/>
  <c r="O463" i="1" a="1"/>
  <c r="O499" i="1" a="1"/>
  <c r="O599" i="1" a="1"/>
  <c r="O642" i="1" a="1"/>
  <c r="O735" i="1" a="1"/>
  <c r="O763" i="1" a="1"/>
  <c r="O831" i="1" a="1"/>
  <c r="O877" i="1" a="1"/>
  <c r="O929" i="1" a="1"/>
  <c r="O97" i="1" a="1"/>
  <c r="O171" i="1" a="1"/>
  <c r="O274" i="1" a="1"/>
  <c r="O400" i="1" a="1"/>
  <c r="O514" i="1" a="1"/>
  <c r="O589" i="1" a="1"/>
  <c r="O657" i="1" a="1"/>
  <c r="O714" i="1" a="1"/>
  <c r="O780" i="1" a="1"/>
  <c r="O815" i="1" a="1"/>
  <c r="O894" i="1" a="1"/>
  <c r="O938" i="1" a="1"/>
  <c r="O985" i="1" a="1"/>
  <c r="O45" i="1" a="1"/>
  <c r="O99" i="1" a="1"/>
  <c r="O202" i="1" a="1"/>
  <c r="O286" i="1" a="1"/>
  <c r="O343" i="1" a="1"/>
  <c r="O409" i="1" a="1"/>
  <c r="O457" i="1" a="1"/>
  <c r="O504" i="1" a="1"/>
  <c r="O618" i="1" a="1"/>
  <c r="O732" i="1" a="1"/>
  <c r="O834" i="1" a="1"/>
  <c r="O868" i="1" a="1"/>
  <c r="O946" i="1" a="1"/>
  <c r="O993" i="1" a="1"/>
  <c r="O77" i="1" a="1"/>
  <c r="O181" i="1" a="1"/>
  <c r="O234" i="1" a="1"/>
  <c r="O372" i="1" a="1"/>
  <c r="O467" i="1" a="1"/>
  <c r="O581" i="1" a="1"/>
  <c r="D451" i="1" a="1"/>
  <c r="D518" i="1" a="1"/>
  <c r="D601" i="1" a="1"/>
  <c r="D635" i="1" a="1"/>
  <c r="D766" i="1" a="1"/>
  <c r="D893" i="1" a="1"/>
  <c r="D943" i="1" a="1"/>
  <c r="D994" i="1" a="1"/>
  <c r="D151" i="1" a="1"/>
  <c r="D497" i="1" a="1"/>
  <c r="D644" i="1" a="1"/>
  <c r="D825" i="1" a="1"/>
  <c r="D245" i="1" a="1"/>
  <c r="D478" i="1" a="1"/>
  <c r="D571" i="1" a="1"/>
  <c r="D641" i="1" a="1"/>
  <c r="D836" i="1" a="1"/>
  <c r="D887" i="1" a="1"/>
  <c r="D944" i="1" a="1"/>
  <c r="D1002" i="1" a="1"/>
  <c r="D725" i="1" a="1"/>
  <c r="D868" i="1" a="1"/>
  <c r="D511" i="1" a="1"/>
  <c r="D631" i="1" a="1"/>
  <c r="D906" i="1" a="1"/>
  <c r="D41" i="1" a="1"/>
  <c r="D195" i="1" a="1"/>
  <c r="D333" i="1" a="1"/>
  <c r="D587" i="1" a="1"/>
  <c r="D772" i="1" a="1"/>
  <c r="D880" i="1" a="1"/>
  <c r="D995" i="1" a="1"/>
  <c r="D235" i="1" a="1"/>
  <c r="D468" i="1" a="1"/>
  <c r="D668" i="1" a="1"/>
  <c r="D947" i="1" a="1"/>
  <c r="D634" i="1" a="1"/>
  <c r="D773" i="1" a="1"/>
  <c r="D910" i="1" a="1"/>
  <c r="D1014" i="1" a="1"/>
  <c r="D167" i="1" a="1"/>
  <c r="D305" i="1" a="1"/>
  <c r="D469" i="1" a="1"/>
  <c r="D718" i="1" a="1"/>
  <c r="D851" i="1" a="1"/>
  <c r="D988" i="1" a="1"/>
  <c r="D515" i="1" a="1"/>
  <c r="D673" i="1" a="1"/>
  <c r="D911" i="1" a="1"/>
  <c r="D135" i="1" a="1"/>
  <c r="D273" i="1" a="1"/>
  <c r="D411" i="1" a="1"/>
  <c r="D649" i="1" a="1"/>
  <c r="D831" i="1" a="1"/>
  <c r="D949" i="1" a="1"/>
  <c r="D569" i="1" a="1"/>
  <c r="D812" i="1" a="1"/>
  <c r="D912" i="1" a="1"/>
  <c r="D1027" i="1" a="1"/>
  <c r="D274" i="1" a="1"/>
  <c r="D89" i="1" a="1"/>
  <c r="D159" i="1" a="1"/>
  <c r="D228" i="1" a="1"/>
  <c r="D297" i="1" a="1"/>
  <c r="D366" i="1" a="1"/>
  <c r="D447" i="1" a="1"/>
  <c r="D596" i="1" a="1"/>
  <c r="D735" i="1" a="1"/>
  <c r="D896" i="1" a="1"/>
  <c r="D523" i="1" a="1"/>
  <c r="D701" i="1" a="1"/>
  <c r="D917" i="1" a="1"/>
  <c r="D1021" i="1" a="1"/>
  <c r="D144" i="1" a="1"/>
  <c r="D282" i="1" a="1"/>
  <c r="D453" i="1" a="1"/>
  <c r="D656" i="1" a="1"/>
  <c r="D818" i="1" a="1"/>
  <c r="D966" i="1" a="1"/>
  <c r="D131" i="1" a="1"/>
  <c r="D408" i="1" a="1"/>
  <c r="D563" i="1" a="1"/>
  <c r="D829" i="1" a="1"/>
  <c r="D1004" i="1" a="1"/>
  <c r="D647" i="1" a="1"/>
  <c r="D807" i="1" a="1"/>
  <c r="D967" i="1" a="1"/>
  <c r="D79" i="1" a="1"/>
  <c r="D217" i="1" a="1"/>
  <c r="D355" i="1" a="1"/>
  <c r="D589" i="1" a="1"/>
  <c r="D787" i="1" a="1"/>
  <c r="D919" i="1" a="1"/>
  <c r="D442" i="1" a="1"/>
  <c r="D637" i="1" a="1"/>
  <c r="D820" i="1" a="1"/>
  <c r="D1026" i="1" a="1"/>
  <c r="D153" i="1" a="1"/>
  <c r="D291" i="1" a="1"/>
  <c r="D489" i="1" a="1"/>
  <c r="D729" i="1" a="1"/>
  <c r="D892" i="1" a="1"/>
  <c r="D1018" i="1" a="1"/>
  <c r="D674" i="1" a="1"/>
  <c r="D883" i="1" a="1"/>
  <c r="D998" i="1" a="1"/>
  <c r="D309" i="1" a="1"/>
  <c r="D640" i="1" a="1"/>
  <c r="D904" i="1" a="1"/>
  <c r="D581" i="1" a="1"/>
  <c r="D123" i="1" a="1"/>
  <c r="D734" i="1" a="1"/>
  <c r="D875" i="1" a="1"/>
  <c r="D460" i="1" a="1"/>
  <c r="D1000" i="1" a="1"/>
  <c r="D399" i="1" a="1"/>
  <c r="D505" i="1" a="1"/>
  <c r="D520" i="1" a="1"/>
  <c r="D982" i="1" a="1"/>
  <c r="D445" i="1" a="1"/>
  <c r="D823" i="1" a="1"/>
  <c r="D226" i="1" a="1"/>
  <c r="D953" i="1" a="1"/>
  <c r="O38" i="1" a="1"/>
  <c r="O62" i="1" a="1"/>
  <c r="O86" i="1" a="1"/>
  <c r="O110" i="1" a="1"/>
  <c r="O134" i="1" a="1"/>
  <c r="O158" i="1" a="1"/>
  <c r="O182" i="1" a="1"/>
  <c r="O206" i="1" a="1"/>
  <c r="O230" i="1" a="1"/>
  <c r="O254" i="1" a="1"/>
  <c r="O278" i="1" a="1"/>
  <c r="O302" i="1" a="1"/>
  <c r="O326" i="1" a="1"/>
  <c r="O350" i="1" a="1"/>
  <c r="O374" i="1" a="1"/>
  <c r="O398" i="1" a="1"/>
  <c r="O422" i="1" a="1"/>
  <c r="O446" i="1" a="1"/>
  <c r="O470" i="1" a="1"/>
  <c r="O494" i="1" a="1"/>
  <c r="O518" i="1" a="1"/>
  <c r="O542" i="1" a="1"/>
  <c r="O566" i="1" a="1"/>
  <c r="O590" i="1" a="1"/>
  <c r="O614" i="1" a="1"/>
  <c r="O638" i="1" a="1"/>
  <c r="O662" i="1" a="1"/>
  <c r="O686" i="1" a="1"/>
  <c r="O710" i="1" a="1"/>
  <c r="O734" i="1" a="1"/>
  <c r="O758" i="1" a="1"/>
  <c r="O782" i="1" a="1"/>
  <c r="O65" i="1" a="1"/>
  <c r="O124" i="1" a="1"/>
  <c r="O183" i="1" a="1"/>
  <c r="O235" i="1" a="1"/>
  <c r="O294" i="1" a="1"/>
  <c r="O353" i="1" a="1"/>
  <c r="O412" i="1" a="1"/>
  <c r="O471" i="1" a="1"/>
  <c r="O523" i="1" a="1"/>
  <c r="O582" i="1" a="1"/>
  <c r="O641" i="1" a="1"/>
  <c r="O700" i="1" a="1"/>
  <c r="O759" i="1" a="1"/>
  <c r="O46" i="1" a="1"/>
  <c r="O105" i="1" a="1"/>
  <c r="O157" i="1" a="1"/>
  <c r="O216" i="1" a="1"/>
  <c r="O275" i="1" a="1"/>
  <c r="O103" i="1" a="1"/>
  <c r="O151" i="1" a="1"/>
  <c r="O221" i="1" a="1"/>
  <c r="O298" i="1" a="1"/>
  <c r="O334" i="1" a="1"/>
  <c r="O405" i="1" a="1"/>
  <c r="O462" i="1" a="1"/>
  <c r="O505" i="1" a="1"/>
  <c r="O598" i="1" a="1"/>
  <c r="O648" i="1" a="1"/>
  <c r="O719" i="1" a="1"/>
  <c r="O762" i="1" a="1"/>
  <c r="O817" i="1" a="1"/>
  <c r="O869" i="1" a="1"/>
  <c r="O915" i="1" a="1"/>
  <c r="O961" i="1" a="1"/>
  <c r="O1013" i="1" a="1"/>
  <c r="O57" i="1" a="1"/>
  <c r="O120" i="1" a="1"/>
  <c r="O214" i="1" a="1"/>
  <c r="O277" i="1" a="1"/>
  <c r="O384" i="1" a="1"/>
  <c r="O420" i="1" a="1"/>
  <c r="O520" i="1" a="1"/>
  <c r="O563" i="1" a="1"/>
  <c r="O634" i="1" a="1"/>
  <c r="O684" i="1" a="1"/>
  <c r="O777" i="1" a="1"/>
  <c r="O811" i="1" a="1"/>
  <c r="O863" i="1" a="1"/>
  <c r="O909" i="1" a="1"/>
  <c r="O955" i="1" a="1"/>
  <c r="O1007" i="1" a="1"/>
  <c r="O66" i="1" a="1"/>
  <c r="O160" i="1" a="1"/>
  <c r="O207" i="1" a="1"/>
  <c r="O270" i="1" a="1"/>
  <c r="O306" i="1" a="1"/>
  <c r="O335" i="1" a="1"/>
  <c r="O442" i="1" a="1"/>
  <c r="O478" i="1" a="1"/>
  <c r="O549" i="1" a="1"/>
  <c r="O606" i="1" a="1"/>
  <c r="O649" i="1" a="1"/>
  <c r="O742" i="1" a="1"/>
  <c r="O792" i="1" a="1"/>
  <c r="O844" i="1" a="1"/>
  <c r="O890" i="1" a="1"/>
  <c r="O936" i="1" a="1"/>
  <c r="O117" i="1" a="1"/>
  <c r="O180" i="1" a="1"/>
  <c r="O323" i="1" a="1"/>
  <c r="O437" i="1" a="1"/>
  <c r="O532" i="1" a="1"/>
  <c r="O609" i="1" a="1"/>
  <c r="O675" i="1" a="1"/>
  <c r="O723" i="1" a="1"/>
  <c r="O789" i="1" a="1"/>
  <c r="O825" i="1" a="1"/>
  <c r="O912" i="1" a="1"/>
  <c r="O953" i="1" a="1"/>
  <c r="O1001" i="1" a="1"/>
  <c r="O55" i="1" a="1"/>
  <c r="O108" i="1" a="1"/>
  <c r="O244" i="1" a="1"/>
  <c r="O295" i="1" a="1"/>
  <c r="O352" i="1" a="1"/>
  <c r="O418" i="1" a="1"/>
  <c r="O475" i="1" a="1"/>
  <c r="O552" i="1" a="1"/>
  <c r="O629" i="1" a="1"/>
  <c r="O743" i="1" a="1"/>
  <c r="O842" i="1" a="1"/>
  <c r="O878" i="1" a="1"/>
  <c r="O954" i="1" a="1"/>
  <c r="O1002" i="1" a="1"/>
  <c r="O119" i="1" a="1"/>
  <c r="O193" i="1" a="1"/>
  <c r="O276" i="1" a="1"/>
  <c r="O390" i="1" a="1"/>
  <c r="O515" i="1" a="1"/>
  <c r="O610" i="1" a="1"/>
  <c r="D473" i="1" a="1"/>
  <c r="D538" i="1" a="1"/>
  <c r="D609" i="1" a="1"/>
  <c r="D653" i="1" a="1"/>
  <c r="D809" i="1" a="1"/>
  <c r="D907" i="1" a="1"/>
  <c r="D950" i="1" a="1"/>
  <c r="D1008" i="1" a="1"/>
  <c r="D255" i="1" a="1"/>
  <c r="D519" i="1" a="1"/>
  <c r="D670" i="1" a="1"/>
  <c r="D72" i="1" a="1"/>
  <c r="D315" i="1" a="1"/>
  <c r="D510" i="1" a="1"/>
  <c r="D584" i="1" a="1"/>
  <c r="D700" i="1" a="1"/>
  <c r="D845" i="1" a="1"/>
  <c r="D905" i="1" a="1"/>
  <c r="D962" i="1" a="1"/>
  <c r="D1020" i="1" a="1"/>
  <c r="D781" i="1" a="1"/>
  <c r="D954" i="1" a="1"/>
  <c r="D537" i="1" a="1"/>
  <c r="D667" i="1" a="1"/>
  <c r="D946" i="1" a="1"/>
  <c r="D91" i="1" a="1"/>
  <c r="D229" i="1" a="1"/>
  <c r="D367" i="1" a="1"/>
  <c r="D610" i="1" a="1"/>
  <c r="D806" i="1" a="1"/>
  <c r="D908" i="1" a="1"/>
  <c r="D1013" i="1" a="1"/>
  <c r="D304" i="1" a="1"/>
  <c r="D498" i="1" a="1"/>
  <c r="D761" i="1" a="1"/>
  <c r="D454" i="1" a="1"/>
  <c r="D657" i="1" a="1"/>
  <c r="D819" i="1" a="1"/>
  <c r="D938" i="1" a="1"/>
  <c r="D45" i="1" a="1"/>
  <c r="D202" i="1" a="1"/>
  <c r="D340" i="1" a="1"/>
  <c r="D602" i="1" a="1"/>
  <c r="D741" i="1" a="1"/>
  <c r="D890" i="1" a="1"/>
  <c r="D1006" i="1" a="1"/>
  <c r="D555" i="1" a="1"/>
  <c r="D707" i="1" a="1"/>
  <c r="D968" i="1" a="1"/>
  <c r="D168" i="1" a="1"/>
  <c r="D307" i="1" a="1"/>
  <c r="D471" i="1" a="1"/>
  <c r="D719" i="1" a="1"/>
  <c r="D874" i="1" a="1"/>
  <c r="D989" i="1" a="1"/>
  <c r="D615" i="1" a="1"/>
  <c r="D833" i="1" a="1"/>
  <c r="D952" i="1" a="1"/>
  <c r="D66" i="1" a="1"/>
  <c r="D39" i="1" a="1"/>
  <c r="D108" i="1" a="1"/>
  <c r="D178" i="1" a="1"/>
  <c r="D246" i="1" a="1"/>
  <c r="D316" i="1" a="1"/>
  <c r="D384" i="1" a="1"/>
  <c r="D463" i="1" a="1"/>
  <c r="D655" i="1" a="1"/>
  <c r="D771" i="1" a="1"/>
  <c r="D925" i="1" a="1"/>
  <c r="D562" i="1" a="1"/>
  <c r="D747" i="1" a="1"/>
  <c r="D935" i="1" a="1"/>
  <c r="D57" i="1" a="1"/>
  <c r="D179" i="1" a="1"/>
  <c r="D317" i="1" a="1"/>
  <c r="D551" i="1" a="1"/>
  <c r="D715" i="1" a="1"/>
  <c r="D869" i="1" a="1"/>
  <c r="D984" i="1" a="1"/>
  <c r="D201" i="1" a="1"/>
  <c r="D481" i="1" a="1"/>
  <c r="D681" i="1" a="1"/>
  <c r="D850" i="1" a="1"/>
  <c r="D437" i="1" a="1"/>
  <c r="D693" i="1" a="1"/>
  <c r="D870" i="1" a="1"/>
  <c r="D985" i="1" a="1"/>
  <c r="D114" i="1" a="1"/>
  <c r="D252" i="1" a="1"/>
  <c r="D390" i="1" a="1"/>
  <c r="D659" i="1" a="1"/>
  <c r="D842" i="1" a="1"/>
  <c r="D959" i="1" a="1"/>
  <c r="D503" i="1" a="1"/>
  <c r="D694" i="1" a="1"/>
  <c r="D862" i="1" a="1"/>
  <c r="D65" i="1" a="1"/>
  <c r="D187" i="1" a="1"/>
  <c r="D325" i="1" a="1"/>
  <c r="D544" i="1" a="1"/>
  <c r="D765" i="1" a="1"/>
  <c r="D920" i="1" a="1"/>
  <c r="D444" i="1" a="1"/>
  <c r="D754" i="1" a="1"/>
  <c r="D923" i="1" a="1"/>
  <c r="D101" i="1" a="1"/>
  <c r="D53" i="1" a="1"/>
  <c r="D709" i="1" a="1"/>
  <c r="D961" i="1" a="1"/>
  <c r="D721" i="1" a="1"/>
  <c r="D430" i="1" a="1"/>
  <c r="D924" i="1" a="1"/>
  <c r="D990" i="1" a="1"/>
  <c r="D686" i="1" a="1"/>
  <c r="D377" i="1" a="1"/>
  <c r="D295" i="1" a="1"/>
  <c r="D791" i="1" a="1"/>
  <c r="D803" i="1" a="1"/>
  <c r="D343" i="1" a="1"/>
  <c r="D675" i="1" a="1"/>
  <c r="D365" i="1" a="1"/>
  <c r="D477" i="1" a="1"/>
  <c r="D1010" i="1" a="1"/>
  <c r="O44" i="1" a="1"/>
  <c r="O68" i="1" a="1"/>
  <c r="O92" i="1" a="1"/>
  <c r="O116" i="1" a="1"/>
  <c r="O140" i="1" a="1"/>
  <c r="O164" i="1" a="1"/>
  <c r="O188" i="1" a="1"/>
  <c r="O212" i="1" a="1"/>
  <c r="O236" i="1" a="1"/>
  <c r="O260" i="1" a="1"/>
  <c r="O284" i="1" a="1"/>
  <c r="O308" i="1" a="1"/>
  <c r="O332" i="1" a="1"/>
  <c r="O356" i="1" a="1"/>
  <c r="O380" i="1" a="1"/>
  <c r="O404" i="1" a="1"/>
  <c r="O428" i="1" a="1"/>
  <c r="O452" i="1" a="1"/>
  <c r="O476" i="1" a="1"/>
  <c r="O500" i="1" a="1"/>
  <c r="O524" i="1" a="1"/>
  <c r="O548" i="1" a="1"/>
  <c r="O572" i="1" a="1"/>
  <c r="O596" i="1" a="1"/>
  <c r="O620" i="1" a="1"/>
  <c r="O644" i="1" a="1"/>
  <c r="O668" i="1" a="1"/>
  <c r="O692" i="1" a="1"/>
  <c r="O716" i="1" a="1"/>
  <c r="O740" i="1" a="1"/>
  <c r="O764" i="1" a="1"/>
  <c r="O788" i="1" a="1"/>
  <c r="O78" i="1" a="1"/>
  <c r="O137" i="1" a="1"/>
  <c r="O196" i="1" a="1"/>
  <c r="O255" i="1" a="1"/>
  <c r="O307" i="1" a="1"/>
  <c r="O366" i="1" a="1"/>
  <c r="O425" i="1" a="1"/>
  <c r="O484" i="1" a="1"/>
  <c r="O543" i="1" a="1"/>
  <c r="O595" i="1" a="1"/>
  <c r="O654" i="1" a="1"/>
  <c r="O713" i="1" a="1"/>
  <c r="O772" i="1" a="1"/>
  <c r="O59" i="1" a="1"/>
  <c r="O118" i="1" a="1"/>
  <c r="O177" i="1" a="1"/>
  <c r="O229" i="1" a="1"/>
  <c r="O41" i="1" a="1"/>
  <c r="O112" i="1" a="1"/>
  <c r="O159" i="1" a="1"/>
  <c r="O245" i="1" a="1"/>
  <c r="O305" i="1" a="1"/>
  <c r="O341" i="1" a="1"/>
  <c r="O441" i="1" a="1"/>
  <c r="O469" i="1" a="1"/>
  <c r="O555" i="1" a="1"/>
  <c r="O605" i="1" a="1"/>
  <c r="O655" i="1" a="1"/>
  <c r="O741" i="1" a="1"/>
  <c r="O769" i="1" a="1"/>
  <c r="O830" i="1" a="1"/>
  <c r="O876" i="1" a="1"/>
  <c r="O928" i="1" a="1"/>
  <c r="O974" i="1" a="1"/>
  <c r="O1020" i="1" a="1"/>
  <c r="O73" i="1" a="1"/>
  <c r="O143" i="1" a="1"/>
  <c r="O238" i="1" a="1"/>
  <c r="O363" i="1" a="1"/>
  <c r="O391" i="1" a="1"/>
  <c r="O427" i="1" a="1"/>
  <c r="O527" i="1" a="1"/>
  <c r="O570" i="1" a="1"/>
  <c r="O663" i="1" a="1"/>
  <c r="O691" i="1" a="1"/>
  <c r="O784" i="1" a="1"/>
  <c r="O824" i="1" a="1"/>
  <c r="O870" i="1" a="1"/>
  <c r="O922" i="1" a="1"/>
  <c r="O968" i="1" a="1"/>
  <c r="O1014" i="1" a="1"/>
  <c r="O89" i="1" a="1"/>
  <c r="O175" i="1" a="1"/>
  <c r="O223" i="1" a="1"/>
  <c r="O285" i="1" a="1"/>
  <c r="O313" i="1" a="1"/>
  <c r="O342" i="1" a="1"/>
  <c r="O449" i="1" a="1"/>
  <c r="O485" i="1" a="1"/>
  <c r="O585" i="1" a="1"/>
  <c r="O613" i="1" a="1"/>
  <c r="O699" i="1" a="1"/>
  <c r="O749" i="1" a="1"/>
  <c r="O805" i="1" a="1"/>
  <c r="O857" i="1" a="1"/>
  <c r="O903" i="1" a="1"/>
  <c r="O35" i="1" a="1"/>
  <c r="O129" i="1" a="1"/>
  <c r="O192" i="1" a="1"/>
  <c r="O371" i="1" a="1"/>
  <c r="O466" i="1" a="1"/>
  <c r="O571" i="1" a="1"/>
  <c r="O637" i="1" a="1"/>
  <c r="O685" i="1" a="1"/>
  <c r="O751" i="1" a="1"/>
  <c r="O799" i="1" a="1"/>
  <c r="O833" i="1" a="1"/>
  <c r="O920" i="1" a="1"/>
  <c r="O962" i="1" a="1"/>
  <c r="O1009" i="1" a="1"/>
  <c r="O67" i="1" a="1"/>
  <c r="O149" i="1" a="1"/>
  <c r="O256" i="1" a="1"/>
  <c r="O304" i="1" a="1"/>
  <c r="O361" i="1" a="1"/>
  <c r="O429" i="1" a="1"/>
  <c r="O486" i="1" a="1"/>
  <c r="O561" i="1" a="1"/>
  <c r="O666" i="1" a="1"/>
  <c r="O761" i="1" a="1"/>
  <c r="O852" i="1" a="1"/>
  <c r="O886" i="1" a="1"/>
  <c r="O970" i="1" a="1"/>
  <c r="O1017" i="1" a="1"/>
  <c r="O130" i="1" a="1"/>
  <c r="O213" i="1" a="1"/>
  <c r="O324" i="1" a="1"/>
  <c r="O401" i="1" a="1"/>
  <c r="O533" i="1" a="1"/>
  <c r="O647" i="1" a="1"/>
  <c r="D485" i="1" a="1"/>
  <c r="D565" i="1" a="1"/>
  <c r="D617" i="1" a="1"/>
  <c r="D722" i="1" a="1"/>
  <c r="D856" i="1" a="1"/>
  <c r="D922" i="1" a="1"/>
  <c r="D965" i="1" a="1"/>
  <c r="D1022" i="1" a="1"/>
  <c r="D324" i="1" a="1"/>
  <c r="D557" i="1" a="1"/>
  <c r="D688" i="1" a="1"/>
  <c r="D107" i="1" a="1"/>
  <c r="D383" i="1" a="1"/>
  <c r="D522" i="1" a="1"/>
  <c r="D607" i="1" a="1"/>
  <c r="D746" i="1" a="1"/>
  <c r="D857" i="1" a="1"/>
  <c r="D916" i="1" a="1"/>
  <c r="D973" i="1" a="1"/>
  <c r="D550" i="1" a="1"/>
  <c r="D805" i="1" a="1"/>
  <c r="D1012" i="1" a="1"/>
  <c r="D572" i="1" a="1"/>
  <c r="D760" i="1" a="1"/>
  <c r="D974" i="1" a="1"/>
  <c r="D125" i="1" a="1"/>
  <c r="D264" i="1" a="1"/>
  <c r="D402" i="1" a="1"/>
  <c r="D646" i="1" a="1"/>
  <c r="D827" i="1" a="1"/>
  <c r="D937" i="1" a="1"/>
  <c r="D96" i="1" a="1"/>
  <c r="D373" i="1" a="1"/>
  <c r="D526" i="1" a="1"/>
  <c r="D838" i="1" a="1"/>
  <c r="D513" i="1" a="1"/>
  <c r="D703" i="1" a="1"/>
  <c r="D860" i="1" a="1"/>
  <c r="D956" i="1" a="1"/>
  <c r="D99" i="1" a="1"/>
  <c r="D237" i="1" a="1"/>
  <c r="D375" i="1" a="1"/>
  <c r="D623" i="1" a="1"/>
  <c r="D777" i="1" a="1"/>
  <c r="D930" i="1" a="1"/>
  <c r="D425" i="1" a="1"/>
  <c r="D578" i="1" a="1"/>
  <c r="D811" i="1" a="1"/>
  <c r="D49" i="1" a="1"/>
  <c r="D203" i="1" a="1"/>
  <c r="D341" i="1" a="1"/>
  <c r="D531" i="1" a="1"/>
  <c r="D742" i="1" a="1"/>
  <c r="D902" i="1" a="1"/>
  <c r="D1007" i="1" a="1"/>
  <c r="D733" i="1" a="1"/>
  <c r="D865" i="1" a="1"/>
  <c r="D970" i="1" a="1"/>
  <c r="D136" i="1" a="1"/>
  <c r="D55" i="1" a="1"/>
  <c r="D124" i="1" a="1"/>
  <c r="D193" i="1" a="1"/>
  <c r="D262" i="1" a="1"/>
  <c r="D331" i="1" a="1"/>
  <c r="D401" i="1" a="1"/>
  <c r="D495" i="1" a="1"/>
  <c r="D676" i="1" a="1"/>
  <c r="D794" i="1" a="1"/>
  <c r="D983" i="1" a="1"/>
  <c r="D585" i="1" a="1"/>
  <c r="D837" i="1" a="1"/>
  <c r="D964" i="1" a="1"/>
  <c r="D75" i="1" a="1"/>
  <c r="D214" i="1" a="1"/>
  <c r="D352" i="1" a="1"/>
  <c r="D597" i="1" a="1"/>
  <c r="D751" i="1" a="1"/>
  <c r="D898" i="1" a="1"/>
  <c r="D1024" i="1" a="1"/>
  <c r="D269" i="1" a="1"/>
  <c r="D512" i="1" a="1"/>
  <c r="D727" i="1" a="1"/>
  <c r="D889" i="1" a="1"/>
  <c r="D577" i="1" a="1"/>
  <c r="D716" i="1" a="1"/>
  <c r="D899" i="1" a="1"/>
  <c r="D1025" i="1" a="1"/>
  <c r="D149" i="1" a="1"/>
  <c r="D287" i="1" a="1"/>
  <c r="D487" i="1" a="1"/>
  <c r="D728" i="1" a="1"/>
  <c r="D872" i="1" a="1"/>
  <c r="D977" i="1" a="1"/>
  <c r="D530" i="1" a="1"/>
  <c r="D753" i="1" a="1"/>
  <c r="D940" i="1" a="1"/>
  <c r="D84" i="1" a="1"/>
  <c r="D222" i="1" a="1"/>
  <c r="D360" i="1" a="1"/>
  <c r="D590" i="1" a="1"/>
  <c r="D788" i="1" a="1"/>
  <c r="D960" i="1" a="1"/>
  <c r="D533" i="1" a="1"/>
  <c r="D790" i="1" a="1"/>
  <c r="D941" i="1" a="1"/>
  <c r="D171" i="1" a="1"/>
  <c r="D261" i="1" a="1"/>
  <c r="D779" i="1" a="1"/>
  <c r="D1019" i="1" a="1"/>
  <c r="D855" i="1" a="1"/>
  <c r="D663" i="1" a="1"/>
  <c r="D157" i="1" a="1"/>
  <c r="D535" i="1" a="1"/>
  <c r="D616" i="1" a="1"/>
  <c r="D629" i="1" a="1"/>
  <c r="D412" i="1" a="1"/>
  <c r="D913" i="1" a="1"/>
  <c r="D595" i="1" a="1"/>
  <c r="D745" i="1" a="1"/>
  <c r="D192" i="1" a="1"/>
  <c r="D755" i="1" a="1"/>
  <c r="D699" i="1" a="1"/>
  <c r="D31" i="1" a="1"/>
  <c r="O50" i="1" a="1"/>
  <c r="O74" i="1" a="1"/>
  <c r="O98" i="1" a="1"/>
  <c r="O122" i="1" a="1"/>
  <c r="O146" i="1" a="1"/>
  <c r="O170" i="1" a="1"/>
  <c r="O194" i="1" a="1"/>
  <c r="O218" i="1" a="1"/>
  <c r="O242" i="1" a="1"/>
  <c r="O266" i="1" a="1"/>
  <c r="O290" i="1" a="1"/>
  <c r="O314" i="1" a="1"/>
  <c r="O338" i="1" a="1"/>
  <c r="O362" i="1" a="1"/>
  <c r="O386" i="1" a="1"/>
  <c r="O410" i="1" a="1"/>
  <c r="O434" i="1" a="1"/>
  <c r="O458" i="1" a="1"/>
  <c r="O482" i="1" a="1"/>
  <c r="O506" i="1" a="1"/>
  <c r="O530" i="1" a="1"/>
  <c r="O554" i="1" a="1"/>
  <c r="O578" i="1" a="1"/>
  <c r="O602" i="1" a="1"/>
  <c r="O626" i="1" a="1"/>
  <c r="O650" i="1" a="1"/>
  <c r="O674" i="1" a="1"/>
  <c r="O698" i="1" a="1"/>
  <c r="O722" i="1" a="1"/>
  <c r="O746" i="1" a="1"/>
  <c r="O770" i="1" a="1"/>
  <c r="O39" i="1" a="1"/>
  <c r="O91" i="1" a="1"/>
  <c r="O150" i="1" a="1"/>
  <c r="O209" i="1" a="1"/>
  <c r="O268" i="1" a="1"/>
  <c r="O327" i="1" a="1"/>
  <c r="O379" i="1" a="1"/>
  <c r="O438" i="1" a="1"/>
  <c r="O497" i="1" a="1"/>
  <c r="O556" i="1" a="1"/>
  <c r="O615" i="1" a="1"/>
  <c r="O667" i="1" a="1"/>
  <c r="O726" i="1" a="1"/>
  <c r="O785" i="1" a="1"/>
  <c r="O72" i="1" a="1"/>
  <c r="O131" i="1" a="1"/>
  <c r="O190" i="1" a="1"/>
  <c r="O249" i="1" a="1"/>
  <c r="O64" i="1" a="1"/>
  <c r="O127" i="1" a="1"/>
  <c r="O174" i="1" a="1"/>
  <c r="O269" i="1" a="1"/>
  <c r="O312" i="1" a="1"/>
  <c r="O348" i="1" a="1"/>
  <c r="O448" i="1" a="1"/>
  <c r="O491" i="1" a="1"/>
  <c r="O562" i="1" a="1"/>
  <c r="O612" i="1" a="1"/>
  <c r="O705" i="1" a="1"/>
  <c r="O748" i="1" a="1"/>
  <c r="O797" i="1" a="1"/>
  <c r="O843" i="1" a="1"/>
  <c r="O889" i="1" a="1"/>
  <c r="O941" i="1" a="1"/>
  <c r="O987" i="1" a="1"/>
  <c r="O34" i="1" a="1"/>
  <c r="O81" i="1" a="1"/>
  <c r="O167" i="1" a="1"/>
  <c r="O253" i="1" a="1"/>
  <c r="O370" i="1" a="1"/>
  <c r="O406" i="1" a="1"/>
  <c r="O477" i="1" a="1"/>
  <c r="O534" i="1" a="1"/>
  <c r="O577" i="1" a="1"/>
  <c r="O670" i="1" a="1"/>
  <c r="O720" i="1" a="1"/>
  <c r="O791" i="1" a="1"/>
  <c r="O837" i="1" a="1"/>
  <c r="O883" i="1" a="1"/>
  <c r="O935" i="1" a="1"/>
  <c r="O981" i="1" a="1"/>
  <c r="O1027" i="1" a="1"/>
  <c r="O113" i="1" a="1"/>
  <c r="O184" i="1" a="1"/>
  <c r="O231" i="1" a="1"/>
  <c r="O292" i="1" a="1"/>
  <c r="O321" i="1" a="1"/>
  <c r="O349" i="1" a="1"/>
  <c r="O456" i="1" a="1"/>
  <c r="O492" i="1" a="1"/>
  <c r="O592" i="1" a="1"/>
  <c r="O635" i="1" a="1"/>
  <c r="O706" i="1" a="1"/>
  <c r="O756" i="1" a="1"/>
  <c r="O818" i="1" a="1"/>
  <c r="O864" i="1" a="1"/>
  <c r="O916" i="1" a="1"/>
  <c r="O76" i="1" a="1"/>
  <c r="O139" i="1" a="1"/>
  <c r="O233" i="1" a="1"/>
  <c r="O389" i="1" a="1"/>
  <c r="O503" i="1" a="1"/>
  <c r="O580" i="1" a="1"/>
  <c r="O646" i="1" a="1"/>
  <c r="O703" i="1" a="1"/>
  <c r="O771" i="1" a="1"/>
  <c r="O807" i="1" a="1"/>
  <c r="O851" i="1" a="1"/>
  <c r="O930" i="1" a="1"/>
  <c r="O977" i="1" a="1"/>
  <c r="O1024" i="1" a="1"/>
  <c r="O87" i="1" a="1"/>
  <c r="O161" i="1" a="1"/>
  <c r="O265" i="1" a="1"/>
  <c r="O315" i="1" a="1"/>
  <c r="O381" i="1" a="1"/>
  <c r="O447" i="1" a="1"/>
  <c r="O495" i="1" a="1"/>
  <c r="O600" i="1" a="1"/>
  <c r="O695" i="1" a="1"/>
  <c r="O816" i="1" a="1"/>
  <c r="O860" i="1" a="1"/>
  <c r="O904" i="1" a="1"/>
  <c r="O978" i="1" a="1"/>
  <c r="O36" i="1" a="1"/>
  <c r="O172" i="1" a="1"/>
  <c r="O225" i="1" a="1"/>
  <c r="O333" i="1" a="1"/>
  <c r="O419" i="1" a="1"/>
  <c r="O544" i="1" a="1"/>
  <c r="O658" i="1" a="1"/>
  <c r="O676" i="1" a="1"/>
  <c r="O753" i="1" a="1"/>
  <c r="O808" i="1" a="1"/>
  <c r="O921" i="1" a="1"/>
  <c r="O986" i="1" a="1"/>
  <c r="O58" i="1" a="1"/>
  <c r="O141" i="1" a="1"/>
  <c r="O215" i="1" a="1"/>
  <c r="O142" i="1" a="1"/>
  <c r="O217" i="1" a="1"/>
  <c r="O365" i="1" a="1"/>
  <c r="O460" i="1" a="1"/>
  <c r="O537" i="1" a="1"/>
  <c r="O603" i="1" a="1"/>
  <c r="O669" i="1" a="1"/>
  <c r="O717" i="1" a="1"/>
  <c r="O783" i="1" a="1"/>
  <c r="O846" i="1" a="1"/>
  <c r="O880" i="1" a="1"/>
  <c r="O37" i="1" a="1"/>
  <c r="O232" i="1" a="1"/>
  <c r="O322" i="1" a="1"/>
  <c r="O465" i="1" a="1"/>
  <c r="O594" i="1" a="1"/>
  <c r="O693" i="1" a="1"/>
  <c r="O779" i="1" a="1"/>
  <c r="O832" i="1" a="1"/>
  <c r="O960" i="1" a="1"/>
  <c r="O1028" i="1" a="1"/>
  <c r="O165" i="1" a="1"/>
  <c r="O395" i="1" a="1"/>
  <c r="O538" i="1" a="1"/>
  <c r="O681" i="1" a="1"/>
  <c r="O859" i="1" a="1"/>
  <c r="O911" i="1" a="1"/>
  <c r="O40" i="1" a="1"/>
  <c r="O219" i="1" a="1"/>
  <c r="O424" i="1" a="1"/>
  <c r="O496" i="1" a="1"/>
  <c r="O624" i="1" a="1"/>
  <c r="O767" i="1" a="1"/>
  <c r="O861" i="1" a="1"/>
  <c r="O951" i="1" a="1"/>
  <c r="O94" i="1" a="1"/>
  <c r="O186" i="1" a="1"/>
  <c r="O282" i="1" a="1"/>
  <c r="O354" i="1" a="1"/>
  <c r="O539" i="1" a="1"/>
  <c r="O725" i="1" a="1"/>
  <c r="O848" i="1" a="1"/>
  <c r="O940" i="1" a="1"/>
  <c r="O1019" i="1" a="1"/>
  <c r="O148" i="1" a="1"/>
  <c r="O311" i="1" a="1"/>
  <c r="O454" i="1" a="1"/>
  <c r="O568" i="1" a="1"/>
  <c r="O711" i="1" a="1"/>
  <c r="O838" i="1" a="1"/>
  <c r="O965" i="1" a="1"/>
  <c r="O1030" i="1" a="1"/>
  <c r="O905" i="1" a="1"/>
  <c r="O155" i="1" a="1"/>
  <c r="O444" i="1" a="1"/>
  <c r="O659" i="1" a="1"/>
  <c r="O827" i="1" a="1"/>
  <c r="O967" i="1" a="1"/>
  <c r="O138" i="1" a="1"/>
  <c r="O273" i="1" a="1"/>
  <c r="O432" i="1" a="1"/>
  <c r="O645" i="1" a="1"/>
  <c r="O907" i="1" a="1"/>
  <c r="O84" i="1" a="1"/>
  <c r="O303" i="1" a="1"/>
  <c r="O474" i="1" a="1"/>
  <c r="O718" i="1" a="1"/>
  <c r="O855" i="1" a="1"/>
  <c r="O969" i="1" a="1"/>
  <c r="O211" i="1" a="1"/>
  <c r="O421" i="1" a="1"/>
  <c r="O115" i="1" a="1"/>
  <c r="O283" i="1" a="1"/>
  <c r="O397" i="1" a="1"/>
  <c r="O483" i="1" a="1"/>
  <c r="O683" i="1" a="1"/>
  <c r="O823" i="1" a="1"/>
  <c r="O891" i="1" a="1"/>
  <c r="O990" i="1" a="1"/>
  <c r="O208" i="1" a="1"/>
  <c r="O301" i="1" a="1"/>
  <c r="O387" i="1" a="1"/>
  <c r="O487" i="1" a="1"/>
  <c r="O573" i="1" a="1"/>
  <c r="O701" i="1" a="1"/>
  <c r="O918" i="1" a="1"/>
  <c r="O330" i="1" a="1"/>
  <c r="O787" i="1" a="1"/>
  <c r="O1003" i="1" a="1"/>
  <c r="O388" i="1" a="1"/>
  <c r="O660" i="1" a="1"/>
  <c r="O51" i="1" a="1"/>
  <c r="O417" i="1" a="1"/>
  <c r="O760" i="1" a="1"/>
  <c r="O982" i="1" a="1"/>
  <c r="O53" i="1" a="1"/>
  <c r="O690" i="1" a="1"/>
  <c r="O778" i="1" a="1"/>
  <c r="O535" i="1" a="1"/>
  <c r="O947" i="1" a="1"/>
  <c r="O793" i="1" a="1"/>
  <c r="O633" i="1" a="1"/>
  <c r="O479" i="1" a="1"/>
  <c r="O490" i="1" a="1"/>
  <c r="O507" i="1" a="1"/>
  <c r="O845" i="1" a="1"/>
  <c r="O550" i="1" a="1"/>
  <c r="O564" i="1" a="1"/>
  <c r="O197" i="1" a="1"/>
  <c r="O923" i="1" a="1"/>
  <c r="K33" i="1" a="1"/>
  <c r="K57" i="1" a="1"/>
  <c r="K81" i="1" a="1"/>
  <c r="K105" i="1" a="1"/>
  <c r="K129" i="1" a="1"/>
  <c r="K153" i="1" a="1"/>
  <c r="K177" i="1" a="1"/>
  <c r="K201" i="1" a="1"/>
  <c r="K225" i="1" a="1"/>
  <c r="K249" i="1" a="1"/>
  <c r="K273" i="1" a="1"/>
  <c r="K297" i="1" a="1"/>
  <c r="K321" i="1" a="1"/>
  <c r="K345" i="1" a="1"/>
  <c r="K369" i="1" a="1"/>
  <c r="K393" i="1" a="1"/>
  <c r="K417" i="1" a="1"/>
  <c r="K441" i="1" a="1"/>
  <c r="K465" i="1" a="1"/>
  <c r="K489" i="1" a="1"/>
  <c r="K47" i="1" a="1"/>
  <c r="K76" i="1" a="1"/>
  <c r="K104" i="1" a="1"/>
  <c r="K133" i="1" a="1"/>
  <c r="K162" i="1" a="1"/>
  <c r="K191" i="1" a="1"/>
  <c r="K220" i="1" a="1"/>
  <c r="K248" i="1" a="1"/>
  <c r="K277" i="1" a="1"/>
  <c r="K306" i="1" a="1"/>
  <c r="K335" i="1" a="1"/>
  <c r="K364" i="1" a="1"/>
  <c r="K55" i="1" a="1"/>
  <c r="K84" i="1" a="1"/>
  <c r="K113" i="1" a="1"/>
  <c r="K142" i="1" a="1"/>
  <c r="K170" i="1" a="1"/>
  <c r="K199" i="1" a="1"/>
  <c r="K228" i="1" a="1"/>
  <c r="K257" i="1" a="1"/>
  <c r="K286" i="1" a="1"/>
  <c r="K314" i="1" a="1"/>
  <c r="K343" i="1" a="1"/>
  <c r="K372" i="1" a="1"/>
  <c r="K401" i="1" a="1"/>
  <c r="K430" i="1" a="1"/>
  <c r="K458" i="1" a="1"/>
  <c r="K487" i="1" a="1"/>
  <c r="K534" i="1" a="1"/>
  <c r="K67" i="1" a="1"/>
  <c r="K110" i="1" a="1"/>
  <c r="K154" i="1" a="1"/>
  <c r="K197" i="1" a="1"/>
  <c r="K240" i="1" a="1"/>
  <c r="K283" i="1" a="1"/>
  <c r="K326" i="1" a="1"/>
  <c r="K370" i="1" a="1"/>
  <c r="K440" i="1" a="1"/>
  <c r="K503" i="1" a="1"/>
  <c r="K545" i="1" a="1"/>
  <c r="K591" i="1" a="1"/>
  <c r="K637" i="1" a="1"/>
  <c r="K689" i="1" a="1"/>
  <c r="K735" i="1" a="1"/>
  <c r="K773" i="1" a="1"/>
  <c r="K797" i="1" a="1"/>
  <c r="K821" i="1" a="1"/>
  <c r="K845" i="1" a="1"/>
  <c r="K60" i="1" a="1"/>
  <c r="K103" i="1" a="1"/>
  <c r="K146" i="1" a="1"/>
  <c r="K190" i="1" a="1"/>
  <c r="K233" i="1" a="1"/>
  <c r="K276" i="1" a="1"/>
  <c r="K319" i="1" a="1"/>
  <c r="K362" i="1" a="1"/>
  <c r="K426" i="1" a="1"/>
  <c r="K497" i="1" a="1"/>
  <c r="K546" i="1" a="1"/>
  <c r="K592" i="1" a="1"/>
  <c r="K638" i="1" a="1"/>
  <c r="K690" i="1" a="1"/>
  <c r="K736" i="1" a="1"/>
  <c r="K774" i="1" a="1"/>
  <c r="K798" i="1" a="1"/>
  <c r="K822" i="1" a="1"/>
  <c r="K846" i="1" a="1"/>
  <c r="K870" i="1" a="1"/>
  <c r="K894" i="1" a="1"/>
  <c r="K918" i="1" a="1"/>
  <c r="K942" i="1" a="1"/>
  <c r="K96" i="1" a="1"/>
  <c r="K168" i="1" a="1"/>
  <c r="K230" i="1" a="1"/>
  <c r="K282" i="1" a="1"/>
  <c r="K355" i="1" a="1"/>
  <c r="K469" i="1" a="1"/>
  <c r="K515" i="1" a="1"/>
  <c r="K556" i="1" a="1"/>
  <c r="K611" i="1" a="1"/>
  <c r="K674" i="1" a="1"/>
  <c r="K729" i="1" a="1"/>
  <c r="K775" i="1" a="1"/>
  <c r="K811" i="1" a="1"/>
  <c r="K847" i="1" a="1"/>
  <c r="K899" i="1" a="1"/>
  <c r="K951" i="1" a="1"/>
  <c r="K975" i="1" a="1"/>
  <c r="K999" i="1" a="1"/>
  <c r="K1023" i="1" a="1"/>
  <c r="K432" i="1" a="1"/>
  <c r="K36" i="1" a="1"/>
  <c r="K88" i="1" a="1"/>
  <c r="K150" i="1" a="1"/>
  <c r="K222" i="1" a="1"/>
  <c r="K295" i="1" a="1"/>
  <c r="K347" i="1" a="1"/>
  <c r="K424" i="1" a="1"/>
  <c r="K470" i="1" a="1"/>
  <c r="K542" i="1" a="1"/>
  <c r="K613" i="1" a="1"/>
  <c r="K675" i="1" a="1"/>
  <c r="K738" i="1" a="1"/>
  <c r="K783" i="1" a="1"/>
  <c r="K819" i="1" a="1"/>
  <c r="K861" i="1" a="1"/>
  <c r="K920" i="1" a="1"/>
  <c r="K958" i="1" a="1"/>
  <c r="K982" i="1" a="1"/>
  <c r="K1006" i="1" a="1"/>
  <c r="K1030" i="1" a="1"/>
  <c r="K434" i="1" a="1"/>
  <c r="K550" i="1" a="1"/>
  <c r="K636" i="1" a="1"/>
  <c r="K684" i="1" a="1"/>
  <c r="K731" i="1" a="1"/>
  <c r="K82" i="1" a="1"/>
  <c r="K144" i="1" a="1"/>
  <c r="K238" i="1" a="1"/>
  <c r="K317" i="1" a="1"/>
  <c r="K537" i="1" a="1"/>
  <c r="K632" i="1" a="1"/>
  <c r="K685" i="1" a="1"/>
  <c r="K766" i="1" a="1"/>
  <c r="K820" i="1" a="1"/>
  <c r="K862" i="1" a="1"/>
  <c r="K948" i="1" a="1"/>
  <c r="K984" i="1" a="1"/>
  <c r="K1020" i="1" a="1"/>
  <c r="K538" i="1" a="1"/>
  <c r="K695" i="1" a="1"/>
  <c r="K813" i="1" a="1"/>
  <c r="K910" i="1" a="1"/>
  <c r="K985" i="1" a="1"/>
  <c r="K392" i="1" a="1"/>
  <c r="K493" i="1" a="1"/>
  <c r="K614" i="1" a="1"/>
  <c r="K879" i="1" a="1"/>
  <c r="K391" i="1" a="1"/>
  <c r="K448" i="1" a="1"/>
  <c r="K514" i="1" a="1"/>
  <c r="K569" i="1" a="1"/>
  <c r="K705" i="1" a="1"/>
  <c r="K855" i="1" a="1"/>
  <c r="K925" i="1" a="1"/>
  <c r="K71" i="1" a="1"/>
  <c r="K194" i="1" a="1"/>
  <c r="K288" i="1" a="1"/>
  <c r="K549" i="1" a="1"/>
  <c r="K778" i="1" a="1"/>
  <c r="K949" i="1" a="1"/>
  <c r="K505" i="1" a="1"/>
  <c r="K655" i="1" a="1"/>
  <c r="K927" i="1" a="1"/>
  <c r="K236" i="1" a="1"/>
  <c r="K330" i="1" a="1"/>
  <c r="K484" i="1" a="1"/>
  <c r="K599" i="1" a="1"/>
  <c r="K741" i="1" a="1"/>
  <c r="K824" i="1" a="1"/>
  <c r="K897" i="1" a="1"/>
  <c r="K944" i="1" a="1"/>
  <c r="K1009" i="1" a="1"/>
  <c r="K122" i="1" a="1"/>
  <c r="K502" i="1" a="1"/>
  <c r="K585" i="1" a="1"/>
  <c r="K711" i="1" a="1"/>
  <c r="K772" i="1" a="1"/>
  <c r="K928" i="1" a="1"/>
  <c r="K793" i="1" a="1"/>
  <c r="K431" i="1" a="1"/>
  <c r="K196" i="1" a="1"/>
  <c r="K289" i="1" a="1"/>
  <c r="K400" i="1" a="1"/>
  <c r="K571" i="1" a="1"/>
  <c r="K680" i="1" a="1"/>
  <c r="K800" i="1" a="1"/>
  <c r="K898" i="1" a="1"/>
  <c r="K967" i="1" a="1"/>
  <c r="K1010" i="1" a="1"/>
  <c r="K507" i="1" a="1"/>
  <c r="K635" i="1" a="1"/>
  <c r="K730" i="1" a="1"/>
  <c r="K152" i="1" a="1"/>
  <c r="K290" i="1" a="1"/>
  <c r="K383" i="1" a="1"/>
  <c r="K486" i="1" a="1"/>
  <c r="K606" i="1" a="1"/>
  <c r="K744" i="1" a="1"/>
  <c r="K913" i="1" a="1"/>
  <c r="K968" i="1" a="1"/>
  <c r="K49" i="1" a="1"/>
  <c r="K575" i="1" a="1"/>
  <c r="K669" i="1" a="1"/>
  <c r="K866" i="1" a="1"/>
  <c r="K914" i="1" a="1"/>
  <c r="K203" i="1" a="1"/>
  <c r="K368" i="1" a="1"/>
  <c r="K544" i="1" a="1"/>
  <c r="K670" i="1" a="1"/>
  <c r="K750" i="1" a="1"/>
  <c r="K831" i="1" a="1"/>
  <c r="K950" i="1" a="1"/>
  <c r="K1015" i="1" a="1"/>
  <c r="K474" i="1" a="1"/>
  <c r="K656" i="1" a="1"/>
  <c r="K868" i="1" a="1"/>
  <c r="K80" i="1" a="1"/>
  <c r="K204" i="1" a="1"/>
  <c r="K412" i="1" a="1"/>
  <c r="K577" i="1" a="1"/>
  <c r="K703" i="1" a="1"/>
  <c r="K844" i="1" a="1"/>
  <c r="K1004" i="1" a="1"/>
  <c r="K513" i="1" a="1"/>
  <c r="K583" i="1" a="1"/>
  <c r="K872" i="1" a="1"/>
  <c r="K595" i="1" a="1"/>
  <c r="K373" i="1" a="1"/>
  <c r="K835" i="1" a="1"/>
  <c r="K519" i="1" a="1"/>
  <c r="K609" i="1" a="1"/>
  <c r="K280" i="1" a="1"/>
  <c r="K896" i="1" a="1"/>
  <c r="K615" i="1" a="1"/>
  <c r="K752" i="1" a="1"/>
  <c r="K996" i="1" a="1"/>
  <c r="K869" i="1" a="1"/>
  <c r="K691" i="1" a="1"/>
  <c r="K629" i="1" a="1"/>
  <c r="G32" i="1" a="1"/>
  <c r="G56" i="1" a="1"/>
  <c r="G80" i="1" a="1"/>
  <c r="G104" i="1" a="1"/>
  <c r="G128" i="1" a="1"/>
  <c r="G152" i="1" a="1"/>
  <c r="G176" i="1" a="1"/>
  <c r="G200" i="1" a="1"/>
  <c r="G224" i="1" a="1"/>
  <c r="G248" i="1" a="1"/>
  <c r="G272" i="1" a="1"/>
  <c r="G296" i="1" a="1"/>
  <c r="G320" i="1" a="1"/>
  <c r="G344" i="1" a="1"/>
  <c r="G39" i="1" a="1"/>
  <c r="G63" i="1" a="1"/>
  <c r="G87" i="1" a="1"/>
  <c r="G111" i="1" a="1"/>
  <c r="G135" i="1" a="1"/>
  <c r="G159" i="1" a="1"/>
  <c r="G183" i="1" a="1"/>
  <c r="G207" i="1" a="1"/>
  <c r="G231" i="1" a="1"/>
  <c r="G255" i="1" a="1"/>
  <c r="G279" i="1" a="1"/>
  <c r="G303" i="1" a="1"/>
  <c r="G327" i="1" a="1"/>
  <c r="G351" i="1" a="1"/>
  <c r="G58" i="1" a="1"/>
  <c r="G106" i="1" a="1"/>
  <c r="G154" i="1" a="1"/>
  <c r="G202" i="1" a="1"/>
  <c r="G250" i="1" a="1"/>
  <c r="G298" i="1" a="1"/>
  <c r="G346" i="1" a="1"/>
  <c r="G394" i="1" a="1"/>
  <c r="G446" i="1" a="1"/>
  <c r="G492" i="1" a="1"/>
  <c r="G538" i="1" a="1"/>
  <c r="G562" i="1" a="1"/>
  <c r="G586" i="1" a="1"/>
  <c r="G610" i="1" a="1"/>
  <c r="G634" i="1" a="1"/>
  <c r="G658" i="1" a="1"/>
  <c r="G682" i="1" a="1"/>
  <c r="G706" i="1" a="1"/>
  <c r="G66" i="1" a="1"/>
  <c r="G162" i="1" a="1"/>
  <c r="G258" i="1" a="1"/>
  <c r="G354" i="1" a="1"/>
  <c r="G401" i="1" a="1"/>
  <c r="G447" i="1" a="1"/>
  <c r="G499" i="1" a="1"/>
  <c r="G43" i="1" a="1"/>
  <c r="G139" i="1" a="1"/>
  <c r="G235" i="1" a="1"/>
  <c r="G331" i="1" a="1"/>
  <c r="G391" i="1" a="1"/>
  <c r="G438" i="1" a="1"/>
  <c r="G524" i="1" a="1"/>
  <c r="G47" i="1" a="1"/>
  <c r="G143" i="1" a="1"/>
  <c r="G239" i="1" a="1"/>
  <c r="G335" i="1" a="1"/>
  <c r="G410" i="1" a="1"/>
  <c r="G457" i="1" a="1"/>
  <c r="G504" i="1" a="1"/>
  <c r="G551" i="1" a="1"/>
  <c r="G579" i="1" a="1"/>
  <c r="G608" i="1" a="1"/>
  <c r="G637" i="1" a="1"/>
  <c r="G666" i="1" a="1"/>
  <c r="G695" i="1" a="1"/>
  <c r="G733" i="1" a="1"/>
  <c r="G757" i="1" a="1"/>
  <c r="G781" i="1" a="1"/>
  <c r="G46" i="1" a="1"/>
  <c r="G137" i="1" a="1"/>
  <c r="G264" i="1" a="1"/>
  <c r="G366" i="1" a="1"/>
  <c r="G432" i="1" a="1"/>
  <c r="G480" i="1" a="1"/>
  <c r="G527" i="1" a="1"/>
  <c r="G606" i="1" a="1"/>
  <c r="G692" i="1" a="1"/>
  <c r="G767" i="1" a="1"/>
  <c r="G807" i="1" a="1"/>
  <c r="G831" i="1" a="1"/>
  <c r="G855" i="1" a="1"/>
  <c r="G103" i="1" a="1"/>
  <c r="G220" i="1" a="1"/>
  <c r="G311" i="1" a="1"/>
  <c r="G396" i="1" a="1"/>
  <c r="G471" i="1" a="1"/>
  <c r="G554" i="1" a="1"/>
  <c r="G624" i="1" a="1"/>
  <c r="G675" i="1" a="1"/>
  <c r="G724" i="1" a="1"/>
  <c r="G782" i="1" a="1"/>
  <c r="G108" i="1" a="1"/>
  <c r="G199" i="1" a="1"/>
  <c r="G316" i="1" a="1"/>
  <c r="G464" i="1" a="1"/>
  <c r="G540" i="1" a="1"/>
  <c r="G609" i="1" a="1"/>
  <c r="G661" i="1" a="1"/>
  <c r="G734" i="1" a="1"/>
  <c r="G777" i="1" a="1"/>
  <c r="G52" i="1" a="1"/>
  <c r="G127" i="1" a="1"/>
  <c r="G204" i="1" a="1"/>
  <c r="G295" i="1" a="1"/>
  <c r="G383" i="1" a="1"/>
  <c r="G458" i="1" a="1"/>
  <c r="G534" i="1" a="1"/>
  <c r="G627" i="1" a="1"/>
  <c r="G717" i="1" a="1"/>
  <c r="G785" i="1" a="1"/>
  <c r="G834" i="1" a="1"/>
  <c r="G887" i="1" a="1"/>
  <c r="G926" i="1" a="1"/>
  <c r="G950" i="1" a="1"/>
  <c r="G974" i="1" a="1"/>
  <c r="G998" i="1" a="1"/>
  <c r="G1022" i="1" a="1"/>
  <c r="G881" i="1" a="1"/>
  <c r="G951" i="1" a="1"/>
  <c r="G999" i="1" a="1"/>
  <c r="G270" i="1" a="1"/>
  <c r="G268" i="1" a="1"/>
  <c r="G397" i="1" a="1"/>
  <c r="G497" i="1" a="1"/>
  <c r="G570" i="1" a="1"/>
  <c r="G697" i="1" a="1"/>
  <c r="G747" i="1" a="1"/>
  <c r="G842" i="1" a="1"/>
  <c r="G895" i="1" a="1"/>
  <c r="G113" i="1" a="1"/>
  <c r="G205" i="1" a="1"/>
  <c r="G269" i="1" a="1"/>
  <c r="G360" i="1" a="1"/>
  <c r="G474" i="1" a="1"/>
  <c r="G605" i="1" a="1"/>
  <c r="O715" i="1" a="1"/>
  <c r="O781" i="1" a="1"/>
  <c r="O826" i="1" a="1"/>
  <c r="O931" i="1" a="1"/>
  <c r="O1010" i="1" a="1"/>
  <c r="O100" i="1" a="1"/>
  <c r="O153" i="1" a="1"/>
  <c r="O48" i="1" a="1"/>
  <c r="O154" i="1" a="1"/>
  <c r="O237" i="1" a="1"/>
  <c r="O383" i="1" a="1"/>
  <c r="O508" i="1" a="1"/>
  <c r="O565" i="1" a="1"/>
  <c r="O631" i="1" a="1"/>
  <c r="O679" i="1" a="1"/>
  <c r="O745" i="1" a="1"/>
  <c r="O810" i="1" a="1"/>
  <c r="O854" i="1" a="1"/>
  <c r="O898" i="1" a="1"/>
  <c r="O71" i="1" a="1"/>
  <c r="O280" i="1" a="1"/>
  <c r="O337" i="1" a="1"/>
  <c r="O480" i="1" a="1"/>
  <c r="O607" i="1" a="1"/>
  <c r="O737" i="1" a="1"/>
  <c r="O794" i="1" a="1"/>
  <c r="O925" i="1" a="1"/>
  <c r="O973" i="1" a="1"/>
  <c r="O54" i="1" a="1"/>
  <c r="O250" i="1" a="1"/>
  <c r="O408" i="1" a="1"/>
  <c r="O551" i="1" a="1"/>
  <c r="O694" i="1" a="1"/>
  <c r="O873" i="1" a="1"/>
  <c r="O997" i="1" a="1"/>
  <c r="O75" i="1" a="1"/>
  <c r="O310" i="1" a="1"/>
  <c r="O439" i="1" a="1"/>
  <c r="O525" i="1" a="1"/>
  <c r="O639" i="1" a="1"/>
  <c r="O795" i="1" a="1"/>
  <c r="O887" i="1" a="1"/>
  <c r="O975" i="1" a="1"/>
  <c r="O114" i="1" a="1"/>
  <c r="O201" i="1" a="1"/>
  <c r="O297" i="1" a="1"/>
  <c r="O396" i="1" a="1"/>
  <c r="O611" i="1" a="1"/>
  <c r="O754" i="1" a="1"/>
  <c r="O874" i="1" a="1"/>
  <c r="O964" i="1" a="1"/>
  <c r="O61" i="1" a="1"/>
  <c r="O168" i="1" a="1"/>
  <c r="O357" i="1" a="1"/>
  <c r="O511" i="1" a="1"/>
  <c r="O597" i="1" a="1"/>
  <c r="O768" i="1" a="1"/>
  <c r="O901" i="1" a="1"/>
  <c r="O976" i="1" a="1"/>
  <c r="O813" i="1" a="1"/>
  <c r="O956" i="1" a="1"/>
  <c r="O226" i="1" a="1"/>
  <c r="O473" i="1" a="1"/>
  <c r="O688" i="1" a="1"/>
  <c r="O866" i="1" a="1"/>
  <c r="O991" i="1" a="1"/>
  <c r="O189" i="1" a="1"/>
  <c r="O359" i="1" a="1"/>
  <c r="O489" i="1" a="1"/>
  <c r="O673" i="1" a="1"/>
  <c r="O933" i="1" a="1"/>
  <c r="O123" i="1" a="1"/>
  <c r="O331" i="1" a="1"/>
  <c r="O588" i="1" a="1"/>
  <c r="O747" i="1" a="1"/>
  <c r="O881" i="1" a="1"/>
  <c r="O992" i="1" a="1"/>
  <c r="O228" i="1" a="1"/>
  <c r="O43" i="1" a="1"/>
  <c r="O187" i="1" a="1"/>
  <c r="O300" i="1" a="1"/>
  <c r="O426" i="1" a="1"/>
  <c r="O540" i="1" a="1"/>
  <c r="O729" i="1" a="1"/>
  <c r="O849" i="1" a="1"/>
  <c r="O917" i="1" a="1"/>
  <c r="O999" i="1" a="1"/>
  <c r="O240" i="1" a="1"/>
  <c r="O316" i="1" a="1"/>
  <c r="O415" i="1" a="1"/>
  <c r="O501" i="1" a="1"/>
  <c r="O601" i="1" a="1"/>
  <c r="O744" i="1" a="1"/>
  <c r="O1022" i="1" a="1"/>
  <c r="O402" i="1" a="1"/>
  <c r="O840" i="1" a="1"/>
  <c r="O210" i="1" a="1"/>
  <c r="O445" i="1" a="1"/>
  <c r="O689" i="1" a="1"/>
  <c r="O259" i="1" a="1"/>
  <c r="O575" i="1" a="1"/>
  <c r="O841" i="1" a="1"/>
  <c r="O1004" i="1" a="1"/>
  <c r="O263" i="1" a="1"/>
  <c r="O934" i="1" a="1"/>
  <c r="O858" i="1" a="1"/>
  <c r="O621" i="1" a="1"/>
  <c r="O1015" i="1" a="1"/>
  <c r="O949" i="1" a="1"/>
  <c r="O803" i="1" a="1"/>
  <c r="O736" i="1" a="1"/>
  <c r="O908" i="1" a="1"/>
  <c r="O678" i="1" a="1"/>
  <c r="O996" i="1" a="1"/>
  <c r="O721" i="1" a="1"/>
  <c r="O897" i="1" a="1"/>
  <c r="O576" i="1" a="1"/>
  <c r="O593" i="1" a="1"/>
  <c r="K39" i="1" a="1"/>
  <c r="K63" i="1" a="1"/>
  <c r="K87" i="1" a="1"/>
  <c r="K111" i="1" a="1"/>
  <c r="K135" i="1" a="1"/>
  <c r="K159" i="1" a="1"/>
  <c r="K183" i="1" a="1"/>
  <c r="K207" i="1" a="1"/>
  <c r="K231" i="1" a="1"/>
  <c r="K255" i="1" a="1"/>
  <c r="K279" i="1" a="1"/>
  <c r="K303" i="1" a="1"/>
  <c r="K327" i="1" a="1"/>
  <c r="K351" i="1" a="1"/>
  <c r="K375" i="1" a="1"/>
  <c r="K399" i="1" a="1"/>
  <c r="K423" i="1" a="1"/>
  <c r="K447" i="1" a="1"/>
  <c r="K471" i="1" a="1"/>
  <c r="K495" i="1" a="1"/>
  <c r="K54" i="1" a="1"/>
  <c r="K83" i="1" a="1"/>
  <c r="K112" i="1" a="1"/>
  <c r="K140" i="1" a="1"/>
  <c r="K169" i="1" a="1"/>
  <c r="K198" i="1" a="1"/>
  <c r="K227" i="1" a="1"/>
  <c r="K256" i="1" a="1"/>
  <c r="K284" i="1" a="1"/>
  <c r="K313" i="1" a="1"/>
  <c r="K342" i="1" a="1"/>
  <c r="K34" i="1" a="1"/>
  <c r="K62" i="1" a="1"/>
  <c r="K91" i="1" a="1"/>
  <c r="K120" i="1" a="1"/>
  <c r="K149" i="1" a="1"/>
  <c r="K178" i="1" a="1"/>
  <c r="K206" i="1" a="1"/>
  <c r="K235" i="1" a="1"/>
  <c r="K264" i="1" a="1"/>
  <c r="K293" i="1" a="1"/>
  <c r="K322" i="1" a="1"/>
  <c r="K350" i="1" a="1"/>
  <c r="K379" i="1" a="1"/>
  <c r="K408" i="1" a="1"/>
  <c r="K437" i="1" a="1"/>
  <c r="K466" i="1" a="1"/>
  <c r="K494" i="1" a="1"/>
  <c r="K42" i="1" a="1"/>
  <c r="K85" i="1" a="1"/>
  <c r="K128" i="1" a="1"/>
  <c r="K172" i="1" a="1"/>
  <c r="K215" i="1" a="1"/>
  <c r="K258" i="1" a="1"/>
  <c r="K301" i="1" a="1"/>
  <c r="K344" i="1" a="1"/>
  <c r="K385" i="1" a="1"/>
  <c r="K456" i="1" a="1"/>
  <c r="K510" i="1" a="1"/>
  <c r="K558" i="1" a="1"/>
  <c r="K604" i="1" a="1"/>
  <c r="K650" i="1" a="1"/>
  <c r="K702" i="1" a="1"/>
  <c r="K748" i="1" a="1"/>
  <c r="K779" i="1" a="1"/>
  <c r="K803" i="1" a="1"/>
  <c r="K827" i="1" a="1"/>
  <c r="K35" i="1" a="1"/>
  <c r="K78" i="1" a="1"/>
  <c r="K121" i="1" a="1"/>
  <c r="K164" i="1" a="1"/>
  <c r="K208" i="1" a="1"/>
  <c r="K251" i="1" a="1"/>
  <c r="K294" i="1" a="1"/>
  <c r="K337" i="1" a="1"/>
  <c r="K371" i="1" a="1"/>
  <c r="K442" i="1" a="1"/>
  <c r="K504" i="1" a="1"/>
  <c r="K553" i="1" a="1"/>
  <c r="K605" i="1" a="1"/>
  <c r="K651" i="1" a="1"/>
  <c r="K697" i="1" a="1"/>
  <c r="K749" i="1" a="1"/>
  <c r="K780" i="1" a="1"/>
  <c r="K804" i="1" a="1"/>
  <c r="K828" i="1" a="1"/>
  <c r="K852" i="1" a="1"/>
  <c r="K876" i="1" a="1"/>
  <c r="K900" i="1" a="1"/>
  <c r="K924" i="1" a="1"/>
  <c r="K44" i="1" a="1"/>
  <c r="K107" i="1" a="1"/>
  <c r="K179" i="1" a="1"/>
  <c r="K252" i="1" a="1"/>
  <c r="K304" i="1" a="1"/>
  <c r="K366" i="1" a="1"/>
  <c r="K488" i="1" a="1"/>
  <c r="K523" i="1" a="1"/>
  <c r="K572" i="1" a="1"/>
  <c r="K627" i="1" a="1"/>
  <c r="K698" i="1" a="1"/>
  <c r="K737" i="1" a="1"/>
  <c r="K782" i="1" a="1"/>
  <c r="K818" i="1" a="1"/>
  <c r="K860" i="1" a="1"/>
  <c r="K919" i="1" a="1"/>
  <c r="K957" i="1" a="1"/>
  <c r="K981" i="1" a="1"/>
  <c r="K1005" i="1" a="1"/>
  <c r="K1029" i="1" a="1"/>
  <c r="K461" i="1" a="1"/>
  <c r="K46" i="1" a="1"/>
  <c r="K108" i="1" a="1"/>
  <c r="K160" i="1" a="1"/>
  <c r="K244" i="1" a="1"/>
  <c r="K305" i="1" a="1"/>
  <c r="K367" i="1" a="1"/>
  <c r="K433" i="1" a="1"/>
  <c r="K499" i="1" a="1"/>
  <c r="K557" i="1" a="1"/>
  <c r="K628" i="1" a="1"/>
  <c r="K683" i="1" a="1"/>
  <c r="K746" i="1" a="1"/>
  <c r="K790" i="1" a="1"/>
  <c r="K826" i="1" a="1"/>
  <c r="K874" i="1" a="1"/>
  <c r="K933" i="1" a="1"/>
  <c r="K964" i="1" a="1"/>
  <c r="K988" i="1" a="1"/>
  <c r="K1012" i="1" a="1"/>
  <c r="K377" i="1" a="1"/>
  <c r="K462" i="1" a="1"/>
  <c r="K574" i="1" a="1"/>
  <c r="K645" i="1" a="1"/>
  <c r="K692" i="1" a="1"/>
  <c r="K739" i="1" a="1"/>
  <c r="K100" i="1" a="1"/>
  <c r="K161" i="1" a="1"/>
  <c r="K254" i="1" a="1"/>
  <c r="K331" i="1" a="1"/>
  <c r="K559" i="1" a="1"/>
  <c r="K641" i="1" a="1"/>
  <c r="K694" i="1" a="1"/>
  <c r="K777" i="1" a="1"/>
  <c r="K829" i="1" a="1"/>
  <c r="K885" i="1" a="1"/>
  <c r="K955" i="1" a="1"/>
  <c r="K991" i="1" a="1"/>
  <c r="K1027" i="1" a="1"/>
  <c r="K612" i="1" a="1"/>
  <c r="K727" i="1" a="1"/>
  <c r="K838" i="1" a="1"/>
  <c r="K926" i="1" a="1"/>
  <c r="K992" i="1" a="1"/>
  <c r="K421" i="1" a="1"/>
  <c r="K539" i="1" a="1"/>
  <c r="K665" i="1" a="1"/>
  <c r="K903" i="1" a="1"/>
  <c r="K407" i="1" a="1"/>
  <c r="K463" i="1" a="1"/>
  <c r="K527" i="1" a="1"/>
  <c r="K601" i="1" a="1"/>
  <c r="K717" i="1" a="1"/>
  <c r="K878" i="1" a="1"/>
  <c r="K941" i="1" a="1"/>
  <c r="K101" i="1" a="1"/>
  <c r="K209" i="1" a="1"/>
  <c r="K332" i="1" a="1"/>
  <c r="K654" i="1" a="1"/>
  <c r="K830" i="1" a="1"/>
  <c r="K978" i="1" a="1"/>
  <c r="K570" i="1" a="1"/>
  <c r="K696" i="1" a="1"/>
  <c r="K143" i="1" a="1"/>
  <c r="K260" i="1" a="1"/>
  <c r="K398" i="1" a="1"/>
  <c r="K501" i="1" a="1"/>
  <c r="K647" i="1" a="1"/>
  <c r="K756" i="1" a="1"/>
  <c r="K836" i="1" a="1"/>
  <c r="K908" i="1" a="1"/>
  <c r="K954" i="1" a="1"/>
  <c r="K1019" i="1" a="1"/>
  <c r="K374" i="1" a="1"/>
  <c r="K536" i="1" a="1"/>
  <c r="K616" i="1" a="1"/>
  <c r="K725" i="1" a="1"/>
  <c r="K857" i="1" a="1"/>
  <c r="K640" i="1" a="1"/>
  <c r="K961" i="1" a="1"/>
  <c r="K531" i="1" a="1"/>
  <c r="K217" i="1" a="1"/>
  <c r="K338" i="1" a="1"/>
  <c r="K467" i="1" a="1"/>
  <c r="K586" i="1" a="1"/>
  <c r="K728" i="1" a="1"/>
  <c r="K814" i="1" a="1"/>
  <c r="K911" i="1" a="1"/>
  <c r="K979" i="1" a="1"/>
  <c r="K1022" i="1" a="1"/>
  <c r="K522" i="1" a="1"/>
  <c r="K649" i="1" a="1"/>
  <c r="K865" i="1" a="1"/>
  <c r="K174" i="1" a="1"/>
  <c r="K312" i="1" a="1"/>
  <c r="K402" i="1" a="1"/>
  <c r="K509" i="1" a="1"/>
  <c r="K619" i="1" a="1"/>
  <c r="K763" i="1" a="1"/>
  <c r="K923" i="1" a="1"/>
  <c r="K980" i="1" a="1"/>
  <c r="K125" i="1" a="1"/>
  <c r="K588" i="1" a="1"/>
  <c r="K682" i="1" a="1"/>
  <c r="K877" i="1" a="1"/>
  <c r="K937" i="1" a="1"/>
  <c r="K247" i="1" a="1"/>
  <c r="K428" i="1" a="1"/>
  <c r="K593" i="1" a="1"/>
  <c r="K687" i="1" a="1"/>
  <c r="K764" i="1" a="1"/>
  <c r="K843" i="1" a="1"/>
  <c r="K960" i="1" a="1"/>
  <c r="K1025" i="1" a="1"/>
  <c r="K562" i="1" a="1"/>
  <c r="K671" i="1" a="1"/>
  <c r="K891" i="1" a="1"/>
  <c r="K109" i="1" a="1"/>
  <c r="K229" i="1" a="1"/>
  <c r="K455" i="1" a="1"/>
  <c r="K594" i="1" a="1"/>
  <c r="K734" i="1" a="1"/>
  <c r="K939" i="1" a="1"/>
  <c r="K1016" i="1" a="1"/>
  <c r="K547" i="1" a="1"/>
  <c r="K646" i="1" a="1"/>
  <c r="K965" i="1" a="1"/>
  <c r="K658" i="1" a="1"/>
  <c r="K500" i="1" a="1"/>
  <c r="K883" i="1" a="1"/>
  <c r="K598" i="1" a="1"/>
  <c r="K672" i="1" a="1"/>
  <c r="K533" i="1" a="1"/>
  <c r="K943" i="1" a="1"/>
  <c r="K678" i="1" a="1"/>
  <c r="K552" i="1" a="1"/>
  <c r="K564" i="1" a="1"/>
  <c r="K535" i="1" a="1"/>
  <c r="K808" i="1" a="1"/>
  <c r="K567" i="1" a="1"/>
  <c r="G38" i="1" a="1"/>
  <c r="G62" i="1" a="1"/>
  <c r="G86" i="1" a="1"/>
  <c r="G110" i="1" a="1"/>
  <c r="G134" i="1" a="1"/>
  <c r="G158" i="1" a="1"/>
  <c r="G182" i="1" a="1"/>
  <c r="G206" i="1" a="1"/>
  <c r="G230" i="1" a="1"/>
  <c r="G254" i="1" a="1"/>
  <c r="G278" i="1" a="1"/>
  <c r="G302" i="1" a="1"/>
  <c r="G326" i="1" a="1"/>
  <c r="G350" i="1" a="1"/>
  <c r="G45" i="1" a="1"/>
  <c r="G69" i="1" a="1"/>
  <c r="G93" i="1" a="1"/>
  <c r="G117" i="1" a="1"/>
  <c r="G141" i="1" a="1"/>
  <c r="G165" i="1" a="1"/>
  <c r="G189" i="1" a="1"/>
  <c r="G213" i="1" a="1"/>
  <c r="G237" i="1" a="1"/>
  <c r="G261" i="1" a="1"/>
  <c r="G285" i="1" a="1"/>
  <c r="G309" i="1" a="1"/>
  <c r="G333" i="1" a="1"/>
  <c r="G357" i="1" a="1"/>
  <c r="G73" i="1" a="1"/>
  <c r="G121" i="1" a="1"/>
  <c r="G169" i="1" a="1"/>
  <c r="G217" i="1" a="1"/>
  <c r="G265" i="1" a="1"/>
  <c r="G313" i="1" a="1"/>
  <c r="G361" i="1" a="1"/>
  <c r="G407" i="1" a="1"/>
  <c r="G453" i="1" a="1"/>
  <c r="G505" i="1" a="1"/>
  <c r="G544" i="1" a="1"/>
  <c r="G568" i="1" a="1"/>
  <c r="G592" i="1" a="1"/>
  <c r="G616" i="1" a="1"/>
  <c r="G640" i="1" a="1"/>
  <c r="G664" i="1" a="1"/>
  <c r="G688" i="1" a="1"/>
  <c r="G712" i="1" a="1"/>
  <c r="G90" i="1" a="1"/>
  <c r="G186" i="1" a="1"/>
  <c r="G282" i="1" a="1"/>
  <c r="G368" i="1" a="1"/>
  <c r="G414" i="1" a="1"/>
  <c r="G460" i="1" a="1"/>
  <c r="G512" i="1" a="1"/>
  <c r="G53" i="1" a="1"/>
  <c r="G149" i="1" a="1"/>
  <c r="G245" i="1" a="1"/>
  <c r="G341" i="1" a="1"/>
  <c r="G399" i="1" a="1"/>
  <c r="G462" i="1" a="1"/>
  <c r="G533" i="1" a="1"/>
  <c r="G85" i="1" a="1"/>
  <c r="G181" i="1" a="1"/>
  <c r="G277" i="1" a="1"/>
  <c r="G371" i="1" a="1"/>
  <c r="G418" i="1" a="1"/>
  <c r="G465" i="1" a="1"/>
  <c r="G513" i="1" a="1"/>
  <c r="G558" i="1" a="1"/>
  <c r="G587" i="1" a="1"/>
  <c r="G615" i="1" a="1"/>
  <c r="G644" i="1" a="1"/>
  <c r="G673" i="1" a="1"/>
  <c r="G708" i="1" a="1"/>
  <c r="G739" i="1" a="1"/>
  <c r="G763" i="1" a="1"/>
  <c r="G787" i="1" a="1"/>
  <c r="G79" i="1" a="1"/>
  <c r="G173" i="1" a="1"/>
  <c r="G276" i="1" a="1"/>
  <c r="G385" i="1" a="1"/>
  <c r="G451" i="1" a="1"/>
  <c r="G498" i="1" a="1"/>
  <c r="G536" i="1" a="1"/>
  <c r="G614" i="1" a="1"/>
  <c r="G716" i="1" a="1"/>
  <c r="G774" i="1" a="1"/>
  <c r="G813" i="1" a="1"/>
  <c r="G837" i="1" a="1"/>
  <c r="G861" i="1" a="1"/>
  <c r="G150" i="1" a="1"/>
  <c r="G253" i="1" a="1"/>
  <c r="G347" i="1" a="1"/>
  <c r="G405" i="1" a="1"/>
  <c r="G490" i="1" a="1"/>
  <c r="G581" i="1" a="1"/>
  <c r="G632" i="1" a="1"/>
  <c r="G684" i="1" a="1"/>
  <c r="G746" i="1" a="1"/>
  <c r="G789" i="1" a="1"/>
  <c r="G119" i="1" a="1"/>
  <c r="G246" i="1" a="1"/>
  <c r="G349" i="1" a="1"/>
  <c r="G493" i="1" a="1"/>
  <c r="G566" i="1" a="1"/>
  <c r="G618" i="1" a="1"/>
  <c r="G669" i="1" a="1"/>
  <c r="G741" i="1" a="1"/>
  <c r="G784" i="1" a="1"/>
  <c r="G65" i="1" a="1"/>
  <c r="G157" i="1" a="1"/>
  <c r="G221" i="1" a="1"/>
  <c r="G312" i="1" a="1"/>
  <c r="G409" i="1" a="1"/>
  <c r="G484" i="1" a="1"/>
  <c r="G569" i="1" a="1"/>
  <c r="G638" i="1" a="1"/>
  <c r="G736" i="1" a="1"/>
  <c r="G802" i="1" a="1"/>
  <c r="G850" i="1" a="1"/>
  <c r="G908" i="1" a="1"/>
  <c r="G932" i="1" a="1"/>
  <c r="G956" i="1" a="1"/>
  <c r="G980" i="1" a="1"/>
  <c r="G1004" i="1" a="1"/>
  <c r="G1028" i="1" a="1"/>
  <c r="G909" i="1" a="1"/>
  <c r="G963" i="1" a="1"/>
  <c r="G1011" i="1" a="1"/>
  <c r="G362" i="1" a="1"/>
  <c r="G359" i="1" a="1"/>
  <c r="G448" i="1" a="1"/>
  <c r="G510" i="1" a="1"/>
  <c r="G582" i="1" a="1"/>
  <c r="G707" i="1" a="1"/>
  <c r="G776" i="1" a="1"/>
  <c r="G866" i="1" a="1"/>
  <c r="G902" i="1" a="1"/>
  <c r="G131" i="1" a="1"/>
  <c r="G222" i="1" a="1"/>
  <c r="G299" i="1" a="1"/>
  <c r="G411" i="1" a="1"/>
  <c r="G523" i="1" a="1"/>
  <c r="G629" i="1" a="1"/>
  <c r="O724" i="1" a="1"/>
  <c r="O790" i="1" a="1"/>
  <c r="O895" i="1" a="1"/>
  <c r="O939" i="1" a="1"/>
  <c r="O1025" i="1" a="1"/>
  <c r="O109" i="1" a="1"/>
  <c r="O162" i="1" a="1"/>
  <c r="O60" i="1" a="1"/>
  <c r="O195" i="1" a="1"/>
  <c r="O258" i="1" a="1"/>
  <c r="O394" i="1" a="1"/>
  <c r="O517" i="1" a="1"/>
  <c r="O574" i="1" a="1"/>
  <c r="O640" i="1" a="1"/>
  <c r="O697" i="1" a="1"/>
  <c r="O765" i="1" a="1"/>
  <c r="O828" i="1" a="1"/>
  <c r="O862" i="1" a="1"/>
  <c r="O957" i="1" a="1"/>
  <c r="O107" i="1" a="1"/>
  <c r="O293" i="1" a="1"/>
  <c r="O423" i="1" a="1"/>
  <c r="O493" i="1" a="1"/>
  <c r="O623" i="1" a="1"/>
  <c r="O750" i="1" a="1"/>
  <c r="O806" i="1" a="1"/>
  <c r="O937" i="1" a="1"/>
  <c r="O984" i="1" a="1"/>
  <c r="O93" i="1" a="1"/>
  <c r="O264" i="1" a="1"/>
  <c r="O509" i="1" a="1"/>
  <c r="O652" i="1" a="1"/>
  <c r="O709" i="1" a="1"/>
  <c r="O885" i="1" a="1"/>
  <c r="O1006" i="1" a="1"/>
  <c r="O147" i="1" a="1"/>
  <c r="O367" i="1" a="1"/>
  <c r="O453" i="1" a="1"/>
  <c r="O553" i="1" a="1"/>
  <c r="O696" i="1" a="1"/>
  <c r="O821" i="1" a="1"/>
  <c r="O900" i="1" a="1"/>
  <c r="O1008" i="1" a="1"/>
  <c r="O132" i="1" a="1"/>
  <c r="O251" i="1" a="1"/>
  <c r="O325" i="1" a="1"/>
  <c r="O411" i="1" a="1"/>
  <c r="O653" i="1" a="1"/>
  <c r="O809" i="1" a="1"/>
  <c r="O888" i="1" a="1"/>
  <c r="O988" i="1" a="1"/>
  <c r="O79" i="1" a="1"/>
  <c r="O220" i="1" a="1"/>
  <c r="O385" i="1" a="1"/>
  <c r="O528" i="1" a="1"/>
  <c r="O625" i="1" a="1"/>
  <c r="O796" i="1" a="1"/>
  <c r="O927" i="1" a="1"/>
  <c r="O989" i="1" a="1"/>
  <c r="O839" i="1" a="1"/>
  <c r="O979" i="1" a="1"/>
  <c r="O288" i="1" a="1"/>
  <c r="O545" i="1" a="1"/>
  <c r="O730" i="1" a="1"/>
  <c r="O892" i="1" a="1"/>
  <c r="O1012" i="1" a="1"/>
  <c r="O227" i="1" a="1"/>
  <c r="O375" i="1" a="1"/>
  <c r="O531" i="1" a="1"/>
  <c r="O702" i="1" a="1"/>
  <c r="O1023" i="1" a="1"/>
  <c r="O156" i="1" a="1"/>
  <c r="O347" i="1" a="1"/>
  <c r="O617" i="1" a="1"/>
  <c r="O775" i="1" a="1"/>
  <c r="O893" i="1" a="1"/>
  <c r="O106" i="1" a="1"/>
  <c r="O364" i="1" a="1"/>
  <c r="O82" i="1" a="1"/>
  <c r="O252" i="1" a="1"/>
  <c r="O329" i="1" a="1"/>
  <c r="O443" i="1" a="1"/>
  <c r="O586" i="1" a="1"/>
  <c r="O757" i="1" a="1"/>
  <c r="O865" i="1" a="1"/>
  <c r="O943" i="1" a="1"/>
  <c r="O1011" i="1" a="1"/>
  <c r="O257" i="1" a="1"/>
  <c r="O358" i="1" a="1"/>
  <c r="O430" i="1" a="1"/>
  <c r="O529" i="1" a="1"/>
  <c r="O630" i="1" a="1"/>
  <c r="O773" i="1" a="1"/>
  <c r="O63" i="1" a="1"/>
  <c r="O516" i="1" a="1"/>
  <c r="O906" i="1" a="1"/>
  <c r="O289" i="1" a="1"/>
  <c r="O502" i="1" a="1"/>
  <c r="O814" i="1" a="1"/>
  <c r="O318" i="1" a="1"/>
  <c r="O604" i="1" a="1"/>
  <c r="O867" i="1" a="1"/>
  <c r="O70" i="1" a="1"/>
  <c r="O433" i="1" a="1"/>
  <c r="O279" i="1" a="1"/>
  <c r="O1005" i="1" a="1"/>
  <c r="O707" i="1" a="1"/>
  <c r="O450" i="1" a="1"/>
  <c r="O125" i="1" a="1"/>
  <c r="O882" i="1" a="1"/>
  <c r="O972" i="1" a="1"/>
  <c r="O664" i="1" a="1"/>
  <c r="O995" i="1" a="1"/>
  <c r="O145" i="1" a="1"/>
  <c r="O884" i="1" a="1"/>
  <c r="O971" i="1" a="1"/>
  <c r="O910" i="1" a="1"/>
  <c r="O924" i="1" a="1"/>
  <c r="K45" i="1" a="1"/>
  <c r="K69" i="1" a="1"/>
  <c r="K93" i="1" a="1"/>
  <c r="K117" i="1" a="1"/>
  <c r="K141" i="1" a="1"/>
  <c r="K165" i="1" a="1"/>
  <c r="K189" i="1" a="1"/>
  <c r="K213" i="1" a="1"/>
  <c r="K237" i="1" a="1"/>
  <c r="K261" i="1" a="1"/>
  <c r="K285" i="1" a="1"/>
  <c r="K309" i="1" a="1"/>
  <c r="K333" i="1" a="1"/>
  <c r="K357" i="1" a="1"/>
  <c r="K381" i="1" a="1"/>
  <c r="K405" i="1" a="1"/>
  <c r="K429" i="1" a="1"/>
  <c r="K453" i="1" a="1"/>
  <c r="K477" i="1" a="1"/>
  <c r="K32" i="1" a="1"/>
  <c r="K61" i="1" a="1"/>
  <c r="K90" i="1" a="1"/>
  <c r="K119" i="1" a="1"/>
  <c r="K148" i="1" a="1"/>
  <c r="K176" i="1" a="1"/>
  <c r="K205" i="1" a="1"/>
  <c r="K234" i="1" a="1"/>
  <c r="K263" i="1" a="1"/>
  <c r="K292" i="1" a="1"/>
  <c r="K320" i="1" a="1"/>
  <c r="K349" i="1" a="1"/>
  <c r="K41" i="1" a="1"/>
  <c r="K70" i="1" a="1"/>
  <c r="K98" i="1" a="1"/>
  <c r="K127" i="1" a="1"/>
  <c r="K156" i="1" a="1"/>
  <c r="K185" i="1" a="1"/>
  <c r="K214" i="1" a="1"/>
  <c r="K242" i="1" a="1"/>
  <c r="K271" i="1" a="1"/>
  <c r="K300" i="1" a="1"/>
  <c r="K329" i="1" a="1"/>
  <c r="K358" i="1" a="1"/>
  <c r="K386" i="1" a="1"/>
  <c r="K415" i="1" a="1"/>
  <c r="K444" i="1" a="1"/>
  <c r="K473" i="1" a="1"/>
  <c r="K508" i="1" a="1"/>
  <c r="K50" i="1" a="1"/>
  <c r="K94" i="1" a="1"/>
  <c r="K137" i="1" a="1"/>
  <c r="K180" i="1" a="1"/>
  <c r="K223" i="1" a="1"/>
  <c r="K266" i="1" a="1"/>
  <c r="K310" i="1" a="1"/>
  <c r="K353" i="1" a="1"/>
  <c r="K409" i="1" a="1"/>
  <c r="K472" i="1" a="1"/>
  <c r="K517" i="1" a="1"/>
  <c r="K565" i="1" a="1"/>
  <c r="K617" i="1" a="1"/>
  <c r="K663" i="1" a="1"/>
  <c r="K709" i="1" a="1"/>
  <c r="K761" i="1" a="1"/>
  <c r="K785" i="1" a="1"/>
  <c r="K809" i="1" a="1"/>
  <c r="K833" i="1" a="1"/>
  <c r="K43" i="1" a="1"/>
  <c r="K86" i="1" a="1"/>
  <c r="K130" i="1" a="1"/>
  <c r="K173" i="1" a="1"/>
  <c r="K216" i="1" a="1"/>
  <c r="K259" i="1" a="1"/>
  <c r="K302" i="1" a="1"/>
  <c r="K346" i="1" a="1"/>
  <c r="K395" i="1" a="1"/>
  <c r="K457" i="1" a="1"/>
  <c r="K511" i="1" a="1"/>
  <c r="K566" i="1" a="1"/>
  <c r="K618" i="1" a="1"/>
  <c r="K664" i="1" a="1"/>
  <c r="K710" i="1" a="1"/>
  <c r="K762" i="1" a="1"/>
  <c r="K786" i="1" a="1"/>
  <c r="K810" i="1" a="1"/>
  <c r="K834" i="1" a="1"/>
  <c r="K858" i="1" a="1"/>
  <c r="K882" i="1" a="1"/>
  <c r="K906" i="1" a="1"/>
  <c r="K930" i="1" a="1"/>
  <c r="K65" i="1" a="1"/>
  <c r="K116" i="1" a="1"/>
  <c r="K200" i="1" a="1"/>
  <c r="K262" i="1" a="1"/>
  <c r="K324" i="1" a="1"/>
  <c r="K384" i="1" a="1"/>
  <c r="K498" i="1" a="1"/>
  <c r="K532" i="1" a="1"/>
  <c r="K580" i="1" a="1"/>
  <c r="K642" i="1" a="1"/>
  <c r="K713" i="1" a="1"/>
  <c r="K745" i="1" a="1"/>
  <c r="K789" i="1" a="1"/>
  <c r="K825" i="1" a="1"/>
  <c r="K873" i="1" a="1"/>
  <c r="K932" i="1" a="1"/>
  <c r="K963" i="1" a="1"/>
  <c r="K987" i="1" a="1"/>
  <c r="K1011" i="1" a="1"/>
  <c r="K376" i="1" a="1"/>
  <c r="K479" i="1" a="1"/>
  <c r="K56" i="1" a="1"/>
  <c r="K118" i="1" a="1"/>
  <c r="K202" i="1" a="1"/>
  <c r="K253" i="1" a="1"/>
  <c r="K316" i="1" a="1"/>
  <c r="K396" i="1" a="1"/>
  <c r="K443" i="1" a="1"/>
  <c r="K516" i="1" a="1"/>
  <c r="K581" i="1" a="1"/>
  <c r="K644" i="1" a="1"/>
  <c r="K699" i="1" a="1"/>
  <c r="K769" i="1" a="1"/>
  <c r="K805" i="1" a="1"/>
  <c r="K841" i="1" a="1"/>
  <c r="K887" i="1" a="1"/>
  <c r="K946" i="1" a="1"/>
  <c r="K970" i="1" a="1"/>
  <c r="K994" i="1" a="1"/>
  <c r="K1018" i="1" a="1"/>
  <c r="K388" i="1" a="1"/>
  <c r="K491" i="1" a="1"/>
  <c r="K597" i="1" a="1"/>
  <c r="K660" i="1" a="1"/>
  <c r="K707" i="1" a="1"/>
  <c r="K754" i="1" a="1"/>
  <c r="K114" i="1" a="1"/>
  <c r="K175" i="1" a="1"/>
  <c r="K269" i="1" a="1"/>
  <c r="K348" i="1" a="1"/>
  <c r="K590" i="1" a="1"/>
  <c r="K653" i="1" a="1"/>
  <c r="K716" i="1" a="1"/>
  <c r="K794" i="1" a="1"/>
  <c r="K837" i="1" a="1"/>
  <c r="K893" i="1" a="1"/>
  <c r="K962" i="1" a="1"/>
  <c r="K998" i="1" a="1"/>
  <c r="K380" i="1" a="1"/>
  <c r="K633" i="1" a="1"/>
  <c r="K787" i="1" a="1"/>
  <c r="K863" i="1" a="1"/>
  <c r="K956" i="1" a="1"/>
  <c r="K1007" i="1" a="1"/>
  <c r="K450" i="1" a="1"/>
  <c r="K561" i="1" a="1"/>
  <c r="K718" i="1" a="1"/>
  <c r="K72" i="1" a="1"/>
  <c r="K420" i="1" a="1"/>
  <c r="K476" i="1" a="1"/>
  <c r="K548" i="1" a="1"/>
  <c r="K610" i="1" a="1"/>
  <c r="K726" i="1" a="1"/>
  <c r="K902" i="1" a="1"/>
  <c r="K38" i="1" a="1"/>
  <c r="K115" i="1" a="1"/>
  <c r="K226" i="1" a="1"/>
  <c r="K449" i="1" a="1"/>
  <c r="K686" i="1" a="1"/>
  <c r="K871" i="1" a="1"/>
  <c r="K1014" i="1" a="1"/>
  <c r="K602" i="1" a="1"/>
  <c r="K770" i="1" a="1"/>
  <c r="K167" i="1" a="1"/>
  <c r="K281" i="1" a="1"/>
  <c r="K418" i="1" a="1"/>
  <c r="K520" i="1" a="1"/>
  <c r="K679" i="1" a="1"/>
  <c r="K784" i="1" a="1"/>
  <c r="K850" i="1" a="1"/>
  <c r="K921" i="1" a="1"/>
  <c r="K966" i="1" a="1"/>
  <c r="K64" i="1" a="1"/>
  <c r="K419" i="1" a="1"/>
  <c r="K554" i="1" a="1"/>
  <c r="K631" i="1" a="1"/>
  <c r="K742" i="1" a="1"/>
  <c r="K881" i="1" a="1"/>
  <c r="K688" i="1" a="1"/>
  <c r="K995" i="1" a="1"/>
  <c r="K563" i="1" a="1"/>
  <c r="K245" i="1" a="1"/>
  <c r="K359" i="1" a="1"/>
  <c r="K485" i="1" a="1"/>
  <c r="K634" i="1" a="1"/>
  <c r="K743" i="1" a="1"/>
  <c r="K851" i="1" a="1"/>
  <c r="K922" i="1" a="1"/>
  <c r="K989" i="1" a="1"/>
  <c r="K124" i="1" a="1"/>
  <c r="K555" i="1" a="1"/>
  <c r="K667" i="1" a="1"/>
  <c r="K889" i="1" a="1"/>
  <c r="K218" i="1" a="1"/>
  <c r="K340" i="1" a="1"/>
  <c r="K427" i="1" a="1"/>
  <c r="K543" i="1" a="1"/>
  <c r="K681" i="1" a="1"/>
  <c r="K801" i="1" a="1"/>
  <c r="K947" i="1" a="1"/>
  <c r="K990" i="1" a="1"/>
  <c r="K403" i="1" a="1"/>
  <c r="K607" i="1" a="1"/>
  <c r="K732" i="1" a="1"/>
  <c r="K890" i="1" a="1"/>
  <c r="K79" i="1" a="1"/>
  <c r="K296" i="1" a="1"/>
  <c r="K454" i="1" a="1"/>
  <c r="K624" i="1" a="1"/>
  <c r="K701" i="1" a="1"/>
  <c r="K806" i="1" a="1"/>
  <c r="K867" i="1" a="1"/>
  <c r="K972" i="1" a="1"/>
  <c r="K58" i="1" a="1"/>
  <c r="K576" i="1" a="1"/>
  <c r="K719" i="1" a="1"/>
  <c r="K915" i="1" a="1"/>
  <c r="K136" i="1" a="1"/>
  <c r="K298" i="1" a="1"/>
  <c r="K512" i="1" a="1"/>
  <c r="K626" i="1" a="1"/>
  <c r="K781" i="1" a="1"/>
  <c r="K973" i="1" a="1"/>
  <c r="K390" i="1" a="1"/>
  <c r="K352" i="1" a="1"/>
  <c r="K708" i="1" a="1"/>
  <c r="K1008" i="1" a="1"/>
  <c r="K720" i="1" a="1"/>
  <c r="K596" i="1" a="1"/>
  <c r="K974" i="1" a="1"/>
  <c r="K661" i="1" a="1"/>
  <c r="K892" i="1" a="1"/>
  <c r="K740" i="1" a="1"/>
  <c r="K986" i="1" a="1"/>
  <c r="K166" i="1" a="1"/>
  <c r="K753" i="1" a="1"/>
  <c r="K755" i="1" a="1"/>
  <c r="K551" i="1" a="1"/>
  <c r="K953" i="1" a="1"/>
  <c r="K916" i="1" a="1"/>
  <c r="G44" i="1" a="1"/>
  <c r="G68" i="1" a="1"/>
  <c r="G92" i="1" a="1"/>
  <c r="G116" i="1" a="1"/>
  <c r="G140" i="1" a="1"/>
  <c r="G164" i="1" a="1"/>
  <c r="G188" i="1" a="1"/>
  <c r="G212" i="1" a="1"/>
  <c r="G236" i="1" a="1"/>
  <c r="G260" i="1" a="1"/>
  <c r="G284" i="1" a="1"/>
  <c r="G308" i="1" a="1"/>
  <c r="G332" i="1" a="1"/>
  <c r="G356" i="1" a="1"/>
  <c r="G51" i="1" a="1"/>
  <c r="G75" i="1" a="1"/>
  <c r="G99" i="1" a="1"/>
  <c r="G123" i="1" a="1"/>
  <c r="G147" i="1" a="1"/>
  <c r="G171" i="1" a="1"/>
  <c r="G195" i="1" a="1"/>
  <c r="G219" i="1" a="1"/>
  <c r="G243" i="1" a="1"/>
  <c r="G267" i="1" a="1"/>
  <c r="G291" i="1" a="1"/>
  <c r="G315" i="1" a="1"/>
  <c r="G339" i="1" a="1"/>
  <c r="G34" i="1" a="1"/>
  <c r="G82" i="1" a="1"/>
  <c r="G130" i="1" a="1"/>
  <c r="G178" i="1" a="1"/>
  <c r="G226" i="1" a="1"/>
  <c r="G274" i="1" a="1"/>
  <c r="G322" i="1" a="1"/>
  <c r="G374" i="1" a="1"/>
  <c r="G420" i="1" a="1"/>
  <c r="G466" i="1" a="1"/>
  <c r="G518" i="1" a="1"/>
  <c r="G550" i="1" a="1"/>
  <c r="G574" i="1" a="1"/>
  <c r="G598" i="1" a="1"/>
  <c r="G622" i="1" a="1"/>
  <c r="G646" i="1" a="1"/>
  <c r="G670" i="1" a="1"/>
  <c r="G694" i="1" a="1"/>
  <c r="G718" i="1" a="1"/>
  <c r="G114" i="1" a="1"/>
  <c r="G210" i="1" a="1"/>
  <c r="G306" i="1" a="1"/>
  <c r="G375" i="1" a="1"/>
  <c r="G427" i="1" a="1"/>
  <c r="G473" i="1" a="1"/>
  <c r="G519" i="1" a="1"/>
  <c r="G91" i="1" a="1"/>
  <c r="G187" i="1" a="1"/>
  <c r="G283" i="1" a="1"/>
  <c r="G367" i="1" a="1"/>
  <c r="G415" i="1" a="1"/>
  <c r="G485" i="1" a="1"/>
  <c r="G705" i="1" a="1"/>
  <c r="G95" i="1" a="1"/>
  <c r="G191" i="1" a="1"/>
  <c r="G287" i="1" a="1"/>
  <c r="G386" i="1" a="1"/>
  <c r="G434" i="1" a="1"/>
  <c r="G481" i="1" a="1"/>
  <c r="G528" i="1" a="1"/>
  <c r="G565" i="1" a="1"/>
  <c r="G594" i="1" a="1"/>
  <c r="G623" i="1" a="1"/>
  <c r="G651" i="1" a="1"/>
  <c r="G680" i="1" a="1"/>
  <c r="G721" i="1" a="1"/>
  <c r="G745" i="1" a="1"/>
  <c r="G769" i="1" a="1"/>
  <c r="G793" i="1" a="1"/>
  <c r="G115" i="1" a="1"/>
  <c r="G184" i="1" a="1"/>
  <c r="G323" i="1" a="1"/>
  <c r="G404" i="1" a="1"/>
  <c r="G461" i="1" a="1"/>
  <c r="G508" i="1" a="1"/>
  <c r="G563" i="1" a="1"/>
  <c r="G649" i="1" a="1"/>
  <c r="G731" i="1" a="1"/>
  <c r="G795" i="1" a="1"/>
  <c r="G819" i="1" a="1"/>
  <c r="G843" i="1" a="1"/>
  <c r="G59" i="1" a="1"/>
  <c r="G161" i="1" a="1"/>
  <c r="G288" i="1" a="1"/>
  <c r="G358" i="1" a="1"/>
  <c r="G424" i="1" a="1"/>
  <c r="G537" i="1" a="1"/>
  <c r="G589" i="1" a="1"/>
  <c r="G641" i="1" a="1"/>
  <c r="G701" i="1" a="1"/>
  <c r="G753" i="1" a="1"/>
  <c r="G61" i="1" a="1"/>
  <c r="G155" i="1" a="1"/>
  <c r="G257" i="1" a="1"/>
  <c r="G398" i="1" a="1"/>
  <c r="G511" i="1" a="1"/>
  <c r="G575" i="1" a="1"/>
  <c r="G626" i="1" a="1"/>
  <c r="G696" i="1" a="1"/>
  <c r="G748" i="1" a="1"/>
  <c r="G791" i="1" a="1"/>
  <c r="G83" i="1" a="1"/>
  <c r="G174" i="1" a="1"/>
  <c r="G251" i="1" a="1"/>
  <c r="G328" i="1" a="1"/>
  <c r="G421" i="1" a="1"/>
  <c r="G496" i="1" a="1"/>
  <c r="G593" i="1" a="1"/>
  <c r="G650" i="1" a="1"/>
  <c r="G756" i="1" a="1"/>
  <c r="G810" i="1" a="1"/>
  <c r="G858" i="1" a="1"/>
  <c r="G914" i="1" a="1"/>
  <c r="G938" i="1" a="1"/>
  <c r="G962" i="1" a="1"/>
  <c r="G986" i="1" a="1"/>
  <c r="G1010" i="1" a="1"/>
  <c r="G811" i="1" a="1"/>
  <c r="G927" i="1" a="1"/>
  <c r="G975" i="1" a="1"/>
  <c r="G1023" i="1" a="1"/>
  <c r="G67" i="1" a="1"/>
  <c r="G372" i="1" a="1"/>
  <c r="G459" i="1" a="1"/>
  <c r="G547" i="1" a="1"/>
  <c r="G617" i="1" a="1"/>
  <c r="G728" i="1" a="1"/>
  <c r="G794" i="1" a="1"/>
  <c r="G873" i="1" a="1"/>
  <c r="G84" i="1" a="1"/>
  <c r="G160" i="1" a="1"/>
  <c r="G238" i="1" a="1"/>
  <c r="G329" i="1" a="1"/>
  <c r="G422" i="1" a="1"/>
  <c r="G535" i="1" a="1"/>
  <c r="G639" i="1" a="1"/>
  <c r="O733" i="1" a="1"/>
  <c r="O800" i="1" a="1"/>
  <c r="O913" i="1" a="1"/>
  <c r="O963" i="1" a="1"/>
  <c r="O47" i="1" a="1"/>
  <c r="O121" i="1" a="1"/>
  <c r="O204" i="1" a="1"/>
  <c r="O101" i="1" a="1"/>
  <c r="O205" i="1" a="1"/>
  <c r="O317" i="1" a="1"/>
  <c r="O431" i="1" a="1"/>
  <c r="O526" i="1" a="1"/>
  <c r="O583" i="1" a="1"/>
  <c r="O651" i="1" a="1"/>
  <c r="O708" i="1" a="1"/>
  <c r="O774" i="1" a="1"/>
  <c r="O836" i="1" a="1"/>
  <c r="O872" i="1" a="1"/>
  <c r="O980" i="1" a="1"/>
  <c r="O179" i="1" a="1"/>
  <c r="O309" i="1" a="1"/>
  <c r="O436" i="1" a="1"/>
  <c r="O579" i="1" a="1"/>
  <c r="O636" i="1" a="1"/>
  <c r="O766" i="1" a="1"/>
  <c r="O820" i="1" a="1"/>
  <c r="O950" i="1" a="1"/>
  <c r="O1016" i="1" a="1"/>
  <c r="O126" i="1" a="1"/>
  <c r="O351" i="1" a="1"/>
  <c r="O522" i="1" a="1"/>
  <c r="O665" i="1" a="1"/>
  <c r="O847" i="1" a="1"/>
  <c r="O899" i="1" a="1"/>
  <c r="O1018" i="1" a="1"/>
  <c r="O185" i="1" a="1"/>
  <c r="O382" i="1" a="1"/>
  <c r="O481" i="1" a="1"/>
  <c r="O567" i="1" a="1"/>
  <c r="O738" i="1" a="1"/>
  <c r="O835" i="1" a="1"/>
  <c r="O926" i="1" a="1"/>
  <c r="O1029" i="1" a="1"/>
  <c r="O166" i="1" a="1"/>
  <c r="O267" i="1" a="1"/>
  <c r="O339" i="1" a="1"/>
  <c r="O468" i="1" a="1"/>
  <c r="O682" i="1" a="1"/>
  <c r="O822" i="1" a="1"/>
  <c r="O914" i="1" a="1"/>
  <c r="O998" i="1" a="1"/>
  <c r="O133" i="1" a="1"/>
  <c r="O239" i="1" a="1"/>
  <c r="O414" i="1" a="1"/>
  <c r="O557" i="1" a="1"/>
  <c r="O671" i="1" a="1"/>
  <c r="O812" i="1" a="1"/>
  <c r="O952" i="1" a="1"/>
  <c r="O1021" i="1" a="1"/>
  <c r="O879" i="1" a="1"/>
  <c r="O83" i="1" a="1"/>
  <c r="O345" i="1" a="1"/>
  <c r="O616" i="1" a="1"/>
  <c r="O801" i="1" a="1"/>
  <c r="O944" i="1" a="1"/>
  <c r="O102" i="1" a="1"/>
  <c r="O241" i="1" a="1"/>
  <c r="O403" i="1" a="1"/>
  <c r="O559" i="1" a="1"/>
  <c r="O802" i="1" a="1"/>
  <c r="O69" i="1" a="1"/>
  <c r="O243" i="1" a="1"/>
  <c r="O461" i="1" a="1"/>
  <c r="O661" i="1" a="1"/>
  <c r="O829" i="1" a="1"/>
  <c r="O945" i="1" a="1"/>
  <c r="O178" i="1" a="1"/>
  <c r="O393" i="1" a="1"/>
  <c r="O95" i="1" a="1"/>
  <c r="O271" i="1" a="1"/>
  <c r="O369" i="1" a="1"/>
  <c r="O472" i="1" a="1"/>
  <c r="O643" i="1" a="1"/>
  <c r="O786" i="1" a="1"/>
  <c r="O875" i="1" a="1"/>
  <c r="O966" i="1" a="1"/>
  <c r="O169" i="1" a="1"/>
  <c r="O287" i="1" a="1"/>
  <c r="O373" i="1" a="1"/>
  <c r="O459" i="1" a="1"/>
  <c r="O558" i="1" a="1"/>
  <c r="O672" i="1" a="1"/>
  <c r="O853" i="1" a="1"/>
  <c r="O173" i="1" a="1"/>
  <c r="O587" i="1" a="1"/>
  <c r="O932" i="1" a="1"/>
  <c r="O346" i="1" a="1"/>
  <c r="O546" i="1" a="1"/>
  <c r="O919" i="1" a="1"/>
  <c r="O360" i="1" a="1"/>
  <c r="O731" i="1" a="1"/>
  <c r="O958" i="1" a="1"/>
  <c r="O376" i="1" a="1"/>
  <c r="O519" i="1" a="1"/>
  <c r="O521" i="1" a="1"/>
  <c r="O90" i="1" a="1"/>
  <c r="O871" i="1" a="1"/>
  <c r="O622" i="1" a="1"/>
  <c r="O547" i="1" a="1"/>
  <c r="O1026" i="1" a="1"/>
  <c r="O378" i="1" a="1"/>
  <c r="O983" i="1" a="1"/>
  <c r="O247" i="1" a="1"/>
  <c r="O336" i="1" a="1"/>
  <c r="O959" i="1" a="1"/>
  <c r="O819" i="1" a="1"/>
  <c r="O407" i="1" a="1"/>
  <c r="O31" i="1" a="1"/>
  <c r="K51" i="1" a="1"/>
  <c r="K75" i="1" a="1"/>
  <c r="K99" i="1" a="1"/>
  <c r="K123" i="1" a="1"/>
  <c r="K147" i="1" a="1"/>
  <c r="K171" i="1" a="1"/>
  <c r="K195" i="1" a="1"/>
  <c r="K219" i="1" a="1"/>
  <c r="K243" i="1" a="1"/>
  <c r="K267" i="1" a="1"/>
  <c r="K291" i="1" a="1"/>
  <c r="K315" i="1" a="1"/>
  <c r="K339" i="1" a="1"/>
  <c r="K363" i="1" a="1"/>
  <c r="K387" i="1" a="1"/>
  <c r="K411" i="1" a="1"/>
  <c r="K435" i="1" a="1"/>
  <c r="K459" i="1" a="1"/>
  <c r="K483" i="1" a="1"/>
  <c r="K40" i="1" a="1"/>
  <c r="K68" i="1" a="1"/>
  <c r="K97" i="1" a="1"/>
  <c r="K126" i="1" a="1"/>
  <c r="K155" i="1" a="1"/>
  <c r="K184" i="1" a="1"/>
  <c r="K212" i="1" a="1"/>
  <c r="K241" i="1" a="1"/>
  <c r="K270" i="1" a="1"/>
  <c r="K299" i="1" a="1"/>
  <c r="K328" i="1" a="1"/>
  <c r="K356" i="1" a="1"/>
  <c r="K48" i="1" a="1"/>
  <c r="K77" i="1" a="1"/>
  <c r="K106" i="1" a="1"/>
  <c r="K134" i="1" a="1"/>
  <c r="K163" i="1" a="1"/>
  <c r="K192" i="1" a="1"/>
  <c r="K221" i="1" a="1"/>
  <c r="K250" i="1" a="1"/>
  <c r="K278" i="1" a="1"/>
  <c r="K307" i="1" a="1"/>
  <c r="K336" i="1" a="1"/>
  <c r="K365" i="1" a="1"/>
  <c r="K394" i="1" a="1"/>
  <c r="K422" i="1" a="1"/>
  <c r="K451" i="1" a="1"/>
  <c r="K480" i="1" a="1"/>
  <c r="K521" i="1" a="1"/>
  <c r="K59" i="1" a="1"/>
  <c r="K102" i="1" a="1"/>
  <c r="K145" i="1" a="1"/>
  <c r="K188" i="1" a="1"/>
  <c r="K232" i="1" a="1"/>
  <c r="K275" i="1" a="1"/>
  <c r="K318" i="1" a="1"/>
  <c r="K361" i="1" a="1"/>
  <c r="K425" i="1" a="1"/>
  <c r="K496" i="1" a="1"/>
  <c r="K524" i="1" a="1"/>
  <c r="K578" i="1" a="1"/>
  <c r="K630" i="1" a="1"/>
  <c r="K676" i="1" a="1"/>
  <c r="K722" i="1" a="1"/>
  <c r="K767" i="1" a="1"/>
  <c r="K791" i="1" a="1"/>
  <c r="K815" i="1" a="1"/>
  <c r="K839" i="1" a="1"/>
  <c r="K52" i="1" a="1"/>
  <c r="K95" i="1" a="1"/>
  <c r="K138" i="1" a="1"/>
  <c r="K181" i="1" a="1"/>
  <c r="K224" i="1" a="1"/>
  <c r="K268" i="1" a="1"/>
  <c r="K311" i="1" a="1"/>
  <c r="K354" i="1" a="1"/>
  <c r="K410" i="1" a="1"/>
  <c r="K481" i="1" a="1"/>
  <c r="K518" i="1" a="1"/>
  <c r="K579" i="1" a="1"/>
  <c r="K625" i="1" a="1"/>
  <c r="K677" i="1" a="1"/>
  <c r="K723" i="1" a="1"/>
  <c r="K768" i="1" a="1"/>
  <c r="K792" i="1" a="1"/>
  <c r="K816" i="1" a="1"/>
  <c r="K840" i="1" a="1"/>
  <c r="K864" i="1" a="1"/>
  <c r="K888" i="1" a="1"/>
  <c r="K912" i="1" a="1"/>
  <c r="K936" i="1" a="1"/>
  <c r="K74" i="1" a="1"/>
  <c r="K158" i="1" a="1"/>
  <c r="K210" i="1" a="1"/>
  <c r="K272" i="1" a="1"/>
  <c r="K334" i="1" a="1"/>
  <c r="K413" i="1" a="1"/>
  <c r="K506" i="1" a="1"/>
  <c r="K541" i="1" a="1"/>
  <c r="K603" i="1" a="1"/>
  <c r="K666" i="1" a="1"/>
  <c r="K721" i="1" a="1"/>
  <c r="K760" i="1" a="1"/>
  <c r="K796" i="1" a="1"/>
  <c r="K832" i="1" a="1"/>
  <c r="K886" i="1" a="1"/>
  <c r="K945" i="1" a="1"/>
  <c r="K969" i="1" a="1"/>
  <c r="K993" i="1" a="1"/>
  <c r="K1017" i="1" a="1"/>
  <c r="K404" i="1" a="1"/>
  <c r="K490" i="1" a="1"/>
  <c r="K66" i="1" a="1"/>
  <c r="K139" i="1" a="1"/>
  <c r="K211" i="1" a="1"/>
  <c r="K274" i="1" a="1"/>
  <c r="K325" i="1" a="1"/>
  <c r="K414" i="1" a="1"/>
  <c r="K452" i="1" a="1"/>
  <c r="K525" i="1" a="1"/>
  <c r="K589" i="1" a="1"/>
  <c r="K652" i="1" a="1"/>
  <c r="K714" i="1" a="1"/>
  <c r="K776" i="1" a="1"/>
  <c r="K812" i="1" a="1"/>
  <c r="K848" i="1" a="1"/>
  <c r="K907" i="1" a="1"/>
  <c r="K952" i="1" a="1"/>
  <c r="K976" i="1" a="1"/>
  <c r="K1000" i="1" a="1"/>
  <c r="K1024" i="1" a="1"/>
  <c r="K406" i="1" a="1"/>
  <c r="K526" i="1" a="1"/>
  <c r="K621" i="1" a="1"/>
  <c r="K668" i="1" a="1"/>
  <c r="K715" i="1" a="1"/>
  <c r="K37" i="1" a="1"/>
  <c r="K131" i="1" a="1"/>
  <c r="K193" i="1" a="1"/>
  <c r="K287" i="1" a="1"/>
  <c r="K378" i="1" a="1"/>
  <c r="K600" i="1" a="1"/>
  <c r="K673" i="1" a="1"/>
  <c r="K747" i="1" a="1"/>
  <c r="K802" i="1" a="1"/>
  <c r="K854" i="1" a="1"/>
  <c r="K909" i="1" a="1"/>
  <c r="K977" i="1" a="1"/>
  <c r="K1013" i="1" a="1"/>
  <c r="K464" i="1" a="1"/>
  <c r="K643" i="1" a="1"/>
  <c r="K795" i="1" a="1"/>
  <c r="K895" i="1" a="1"/>
  <c r="K971" i="1" a="1"/>
  <c r="K1021" i="1" a="1"/>
  <c r="K478" i="1" a="1"/>
  <c r="K582" i="1" a="1"/>
  <c r="K759" i="1" a="1"/>
  <c r="K89" i="1" a="1"/>
  <c r="K436" i="1" a="1"/>
  <c r="K492" i="1" a="1"/>
  <c r="K560" i="1" a="1"/>
  <c r="K622" i="1" a="1"/>
  <c r="K758" i="1" a="1"/>
  <c r="K917" i="1" a="1"/>
  <c r="K53" i="1" a="1"/>
  <c r="K132" i="1" a="1"/>
  <c r="K239" i="1" a="1"/>
  <c r="K528" i="1" a="1"/>
  <c r="K706" i="1" a="1"/>
  <c r="K934" i="1" a="1"/>
  <c r="K1028" i="1" a="1"/>
  <c r="K623" i="1" a="1"/>
  <c r="K856" i="1" a="1"/>
  <c r="K187" i="1" a="1"/>
  <c r="K308" i="1" a="1"/>
  <c r="K439" i="1" a="1"/>
  <c r="K584" i="1" a="1"/>
  <c r="K693" i="1" a="1"/>
  <c r="K799" i="1" a="1"/>
  <c r="K884" i="1" a="1"/>
  <c r="K931" i="1" a="1"/>
  <c r="K997" i="1" a="1"/>
  <c r="K92" i="1" a="1"/>
  <c r="K460" i="1" a="1"/>
  <c r="K568" i="1" a="1"/>
  <c r="K662" i="1" a="1"/>
  <c r="K757" i="1" a="1"/>
  <c r="K904" i="1" a="1"/>
  <c r="K765" i="1" a="1"/>
  <c r="K1026" i="1" a="1"/>
  <c r="K151" i="1" a="1"/>
  <c r="K265" i="1" a="1"/>
  <c r="K382" i="1" a="1"/>
  <c r="K540" i="1" a="1"/>
  <c r="K648" i="1" a="1"/>
  <c r="K788" i="1" a="1"/>
  <c r="K875" i="1" a="1"/>
  <c r="K935" i="1" a="1"/>
  <c r="K1001" i="1" a="1"/>
  <c r="K445" i="1" a="1"/>
  <c r="K573" i="1" a="1"/>
  <c r="K712" i="1" a="1"/>
  <c r="K73" i="1" a="1"/>
  <c r="K246" i="1" a="1"/>
  <c r="K360" i="1" a="1"/>
  <c r="K468" i="1" a="1"/>
  <c r="K587" i="1" a="1"/>
  <c r="K700" i="1" a="1"/>
  <c r="K842" i="1" a="1"/>
  <c r="K959" i="1" a="1"/>
  <c r="K1002" i="1" a="1"/>
  <c r="K446" i="1" a="1"/>
  <c r="K620" i="1" a="1"/>
  <c r="K853" i="1" a="1"/>
  <c r="K901" i="1" a="1"/>
  <c r="K182" i="1" a="1"/>
  <c r="K341" i="1" a="1"/>
  <c r="K529" i="1" a="1"/>
  <c r="K639" i="1" a="1"/>
  <c r="K733" i="1" a="1"/>
  <c r="K817" i="1" a="1"/>
  <c r="K880" i="1" a="1"/>
  <c r="K1003" i="1" a="1"/>
  <c r="K389" i="1" a="1"/>
  <c r="K608" i="1" a="1"/>
  <c r="K751" i="1" a="1"/>
  <c r="K938" i="1" a="1"/>
  <c r="K157" i="1" a="1"/>
  <c r="K323" i="1" a="1"/>
  <c r="K530" i="1" a="1"/>
  <c r="K657" i="1" a="1"/>
  <c r="K807" i="1" a="1"/>
  <c r="K983" i="1" a="1"/>
  <c r="K475" i="1" a="1"/>
  <c r="K482" i="1" a="1"/>
  <c r="K823" i="1" a="1"/>
  <c r="K771" i="1" a="1"/>
  <c r="K929" i="1" a="1"/>
  <c r="K659" i="1" a="1"/>
  <c r="K397" i="1" a="1"/>
  <c r="K724" i="1" a="1"/>
  <c r="K940" i="1" a="1"/>
  <c r="K849" i="1" a="1"/>
  <c r="K416" i="1" a="1"/>
  <c r="K438" i="1" a="1"/>
  <c r="K859" i="1" a="1"/>
  <c r="K704" i="1" a="1"/>
  <c r="K905" i="1" a="1"/>
  <c r="K186" i="1" a="1"/>
  <c r="K31" i="1" a="1"/>
  <c r="G50" i="1" a="1"/>
  <c r="G74" i="1" a="1"/>
  <c r="G98" i="1" a="1"/>
  <c r="G122" i="1" a="1"/>
  <c r="G146" i="1" a="1"/>
  <c r="G170" i="1" a="1"/>
  <c r="G194" i="1" a="1"/>
  <c r="G218" i="1" a="1"/>
  <c r="G242" i="1" a="1"/>
  <c r="G266" i="1" a="1"/>
  <c r="G290" i="1" a="1"/>
  <c r="G314" i="1" a="1"/>
  <c r="G338" i="1" a="1"/>
  <c r="G33" i="1" a="1"/>
  <c r="G57" i="1" a="1"/>
  <c r="G81" i="1" a="1"/>
  <c r="G105" i="1" a="1"/>
  <c r="G129" i="1" a="1"/>
  <c r="G153" i="1" a="1"/>
  <c r="G177" i="1" a="1"/>
  <c r="G201" i="1" a="1"/>
  <c r="G225" i="1" a="1"/>
  <c r="G249" i="1" a="1"/>
  <c r="G273" i="1" a="1"/>
  <c r="G297" i="1" a="1"/>
  <c r="G321" i="1" a="1"/>
  <c r="G345" i="1" a="1"/>
  <c r="G49" i="1" a="1"/>
  <c r="G97" i="1" a="1"/>
  <c r="G145" i="1" a="1"/>
  <c r="G193" i="1" a="1"/>
  <c r="G241" i="1" a="1"/>
  <c r="G289" i="1" a="1"/>
  <c r="G337" i="1" a="1"/>
  <c r="G381" i="1" a="1"/>
  <c r="G433" i="1" a="1"/>
  <c r="G479" i="1" a="1"/>
  <c r="G525" i="1" a="1"/>
  <c r="G556" i="1" a="1"/>
  <c r="G580" i="1" a="1"/>
  <c r="G604" i="1" a="1"/>
  <c r="G628" i="1" a="1"/>
  <c r="G652" i="1" a="1"/>
  <c r="G676" i="1" a="1"/>
  <c r="G700" i="1" a="1"/>
  <c r="G42" i="1" a="1"/>
  <c r="G138" i="1" a="1"/>
  <c r="G234" i="1" a="1"/>
  <c r="G330" i="1" a="1"/>
  <c r="G388" i="1" a="1"/>
  <c r="G440" i="1" a="1"/>
  <c r="G486" i="1" a="1"/>
  <c r="G532" i="1" a="1"/>
  <c r="G101" i="1" a="1"/>
  <c r="G197" i="1" a="1"/>
  <c r="G293" i="1" a="1"/>
  <c r="G376" i="1" a="1"/>
  <c r="G423" i="1" a="1"/>
  <c r="G509" i="1" a="1"/>
  <c r="G37" i="1" a="1"/>
  <c r="G133" i="1" a="1"/>
  <c r="G229" i="1" a="1"/>
  <c r="G325" i="1" a="1"/>
  <c r="G395" i="1" a="1"/>
  <c r="G442" i="1" a="1"/>
  <c r="G489" i="1" a="1"/>
  <c r="G543" i="1" a="1"/>
  <c r="G572" i="1" a="1"/>
  <c r="G601" i="1" a="1"/>
  <c r="G630" i="1" a="1"/>
  <c r="G659" i="1" a="1"/>
  <c r="G687" i="1" a="1"/>
  <c r="G727" i="1" a="1"/>
  <c r="G751" i="1" a="1"/>
  <c r="G775" i="1" a="1"/>
  <c r="G35" i="1" a="1"/>
  <c r="G126" i="1" a="1"/>
  <c r="G196" i="1" a="1"/>
  <c r="G334" i="1" a="1"/>
  <c r="G413" i="1" a="1"/>
  <c r="G470" i="1" a="1"/>
  <c r="G517" i="1" a="1"/>
  <c r="G571" i="1" a="1"/>
  <c r="G657" i="1" a="1"/>
  <c r="G738" i="1" a="1"/>
  <c r="G801" i="1" a="1"/>
  <c r="G825" i="1" a="1"/>
  <c r="G849" i="1" a="1"/>
  <c r="G70" i="1" a="1"/>
  <c r="G208" i="1" a="1"/>
  <c r="G300" i="1" a="1"/>
  <c r="G377" i="1" a="1"/>
  <c r="G443" i="1" a="1"/>
  <c r="G546" i="1" a="1"/>
  <c r="G597" i="1" a="1"/>
  <c r="G667" i="1" a="1"/>
  <c r="G709" i="1" a="1"/>
  <c r="G760" i="1" a="1"/>
  <c r="G96" i="1" a="1"/>
  <c r="G166" i="1" a="1"/>
  <c r="G304" i="1" a="1"/>
  <c r="G445" i="1" a="1"/>
  <c r="G530" i="1" a="1"/>
  <c r="G583" i="1" a="1"/>
  <c r="G653" i="1" a="1"/>
  <c r="G711" i="1" a="1"/>
  <c r="G770" i="1" a="1"/>
  <c r="G36" i="1" a="1"/>
  <c r="G112" i="1" a="1"/>
  <c r="G190" i="1" a="1"/>
  <c r="G281" i="1" a="1"/>
  <c r="G342" i="1" a="1"/>
  <c r="G435" i="1" a="1"/>
  <c r="G522" i="1" a="1"/>
  <c r="G603" i="1" a="1"/>
  <c r="G685" i="1" a="1"/>
  <c r="G765" i="1" a="1"/>
  <c r="G826" i="1" a="1"/>
  <c r="G880" i="1" a="1"/>
  <c r="G920" i="1" a="1"/>
  <c r="G944" i="1" a="1"/>
  <c r="G968" i="1" a="1"/>
  <c r="G992" i="1" a="1"/>
  <c r="G1016" i="1" a="1"/>
  <c r="G859" i="1" a="1"/>
  <c r="G939" i="1" a="1"/>
  <c r="G987" i="1" a="1"/>
  <c r="G40" i="1" a="1"/>
  <c r="G144" i="1" a="1"/>
  <c r="G384" i="1" a="1"/>
  <c r="G472" i="1" a="1"/>
  <c r="G559" i="1" a="1"/>
  <c r="G662" i="1" a="1"/>
  <c r="G737" i="1" a="1"/>
  <c r="G818" i="1" a="1"/>
  <c r="G888" i="1" a="1"/>
  <c r="G100" i="1" a="1"/>
  <c r="G175" i="1" a="1"/>
  <c r="G252" i="1" a="1"/>
  <c r="G343" i="1" a="1"/>
  <c r="G436" i="1" a="1"/>
  <c r="G548" i="1" a="1"/>
  <c r="G663" i="1" a="1"/>
  <c r="G674" i="1" a="1"/>
  <c r="G786" i="1" a="1"/>
  <c r="G851" i="1" a="1"/>
  <c r="G933" i="1" a="1"/>
  <c r="G981" i="1" a="1"/>
  <c r="G1029" i="1" a="1"/>
  <c r="G179" i="1" a="1"/>
  <c r="G373" i="1" a="1"/>
  <c r="G55" i="1" a="1"/>
  <c r="G180" i="1" a="1"/>
  <c r="G271" i="1" a="1"/>
  <c r="G426" i="1" a="1"/>
  <c r="G561" i="1" a="1"/>
  <c r="G631" i="1" a="1"/>
  <c r="G750" i="1" a="1"/>
  <c r="G797" i="1" a="1"/>
  <c r="G845" i="1" a="1"/>
  <c r="G890" i="1" a="1"/>
  <c r="G259" i="1" a="1"/>
  <c r="G439" i="1" a="1"/>
  <c r="G515" i="1" a="1"/>
  <c r="G599" i="1" a="1"/>
  <c r="G702" i="1" a="1"/>
  <c r="G798" i="1" a="1"/>
  <c r="G846" i="1" a="1"/>
  <c r="G905" i="1" a="1"/>
  <c r="G929" i="1" a="1"/>
  <c r="G953" i="1" a="1"/>
  <c r="G977" i="1" a="1"/>
  <c r="G1001" i="1" a="1"/>
  <c r="G1025" i="1" a="1"/>
  <c r="G107" i="1" a="1"/>
  <c r="G216" i="1" a="1"/>
  <c r="G444" i="1" a="1"/>
  <c r="G671" i="1" a="1"/>
  <c r="G847" i="1" a="1"/>
  <c r="G919" i="1" a="1"/>
  <c r="G1002" i="1" a="1"/>
  <c r="G577" i="1" a="1"/>
  <c r="G877" i="1" a="1"/>
  <c r="G125" i="1" a="1"/>
  <c r="G557" i="1" a="1"/>
  <c r="G943" i="1" a="1"/>
  <c r="G916" i="1" a="1"/>
  <c r="G625" i="1" a="1"/>
  <c r="G118" i="1" a="1"/>
  <c r="G468" i="1" a="1"/>
  <c r="G591" i="1" a="1"/>
  <c r="G710" i="1" a="1"/>
  <c r="G886" i="1" a="1"/>
  <c r="G972" i="1" a="1"/>
  <c r="G286" i="1" a="1"/>
  <c r="G449" i="1" a="1"/>
  <c r="G595" i="1" a="1"/>
  <c r="G672" i="1" a="1"/>
  <c r="G744" i="1" a="1"/>
  <c r="G848" i="1" a="1"/>
  <c r="G931" i="1" a="1"/>
  <c r="G1014" i="1" a="1"/>
  <c r="G198" i="1" a="1"/>
  <c r="G378" i="1" a="1"/>
  <c r="G636" i="1" a="1"/>
  <c r="G889" i="1" a="1"/>
  <c r="G454" i="1" a="1"/>
  <c r="G714" i="1" a="1"/>
  <c r="G964" i="1" a="1"/>
  <c r="G856" i="1" a="1"/>
  <c r="G214" i="1" a="1"/>
  <c r="G441" i="1" a="1"/>
  <c r="G754" i="1" a="1"/>
  <c r="G232" i="1" a="1"/>
  <c r="G380" i="1" a="1"/>
  <c r="G578" i="1" a="1"/>
  <c r="G715" i="1" a="1"/>
  <c r="G878" i="1" a="1"/>
  <c r="G924" i="1" a="1"/>
  <c r="G1006" i="1" a="1"/>
  <c r="G382" i="1" a="1"/>
  <c r="G478" i="1" a="1"/>
  <c r="G621" i="1" a="1"/>
  <c r="G768" i="1" a="1"/>
  <c r="G840" i="1" a="1"/>
  <c r="G904" i="1" a="1"/>
  <c r="G1027" i="1" a="1"/>
  <c r="G501" i="1" a="1"/>
  <c r="G681" i="1" a="1"/>
  <c r="G828" i="1" a="1"/>
  <c r="G936" i="1" a="1"/>
  <c r="G1018" i="1" a="1"/>
  <c r="G301" i="1" a="1"/>
  <c r="G800" i="1" a="1"/>
  <c r="G365" i="1" a="1"/>
  <c r="G71" i="1" a="1"/>
  <c r="G77" i="1" a="1"/>
  <c r="G463" i="1" a="1"/>
  <c r="G918" i="1" a="1"/>
  <c r="G960" i="1" a="1"/>
  <c r="G1009" i="1" a="1"/>
  <c r="G832" i="1" a="1"/>
  <c r="G979" i="1" a="1"/>
  <c r="G948" i="1" a="1"/>
  <c r="G896" i="1" a="1"/>
  <c r="G907" i="1" a="1"/>
  <c r="G611" i="1" a="1"/>
  <c r="G928" i="1" a="1"/>
  <c r="G894" i="1" a="1"/>
  <c r="G772" i="1" a="1"/>
  <c r="C33" i="1" a="1"/>
  <c r="C57" i="1" a="1"/>
  <c r="C81" i="1" a="1"/>
  <c r="C105" i="1" a="1"/>
  <c r="C129" i="1" a="1"/>
  <c r="C153" i="1" a="1"/>
  <c r="C177" i="1" a="1"/>
  <c r="C201" i="1" a="1"/>
  <c r="C225" i="1" a="1"/>
  <c r="C249" i="1" a="1"/>
  <c r="C273" i="1" a="1"/>
  <c r="C297" i="1" a="1"/>
  <c r="C321" i="1" a="1"/>
  <c r="C345" i="1" a="1"/>
  <c r="C369" i="1" a="1"/>
  <c r="C54" i="1" a="1"/>
  <c r="C83" i="1" a="1"/>
  <c r="C112" i="1" a="1"/>
  <c r="C140" i="1" a="1"/>
  <c r="C169" i="1" a="1"/>
  <c r="C198" i="1" a="1"/>
  <c r="C227" i="1" a="1"/>
  <c r="C256" i="1" a="1"/>
  <c r="C284" i="1" a="1"/>
  <c r="C313" i="1" a="1"/>
  <c r="C342" i="1" a="1"/>
  <c r="C371" i="1" a="1"/>
  <c r="C417" i="1" a="1"/>
  <c r="C469" i="1" a="1"/>
  <c r="C515" i="1" a="1"/>
  <c r="C391" i="1" a="1"/>
  <c r="C437" i="1" a="1"/>
  <c r="C483" i="1" a="1"/>
  <c r="C535" i="1" a="1"/>
  <c r="C413" i="1" a="1"/>
  <c r="C459" i="1" a="1"/>
  <c r="C511" i="1" a="1"/>
  <c r="C43" i="1" a="1"/>
  <c r="C101" i="1" a="1"/>
  <c r="C158" i="1" a="1"/>
  <c r="C216" i="1" a="1"/>
  <c r="C274" i="1" a="1"/>
  <c r="C331" i="1" a="1"/>
  <c r="C431" i="1" a="1"/>
  <c r="C474" i="1" a="1"/>
  <c r="C544" i="1" a="1"/>
  <c r="C580" i="1" a="1"/>
  <c r="C616" i="1" a="1"/>
  <c r="C37" i="1" a="1"/>
  <c r="C95" i="1" a="1"/>
  <c r="C152" i="1" a="1"/>
  <c r="C210" i="1" a="1"/>
  <c r="C268" i="1" a="1"/>
  <c r="C325" i="1" a="1"/>
  <c r="C382" i="1" a="1"/>
  <c r="C434" i="1" a="1"/>
  <c r="C513" i="1" a="1"/>
  <c r="C554" i="1" a="1"/>
  <c r="C626" i="1" a="1"/>
  <c r="C659" i="1" a="1"/>
  <c r="C683" i="1" a="1"/>
  <c r="C67" i="1" a="1"/>
  <c r="C182" i="1" a="1"/>
  <c r="C298" i="1" a="1"/>
  <c r="C383" i="1" a="1"/>
  <c r="C427" i="1" a="1"/>
  <c r="C523" i="1" a="1"/>
  <c r="C98" i="1" a="1"/>
  <c r="C214" i="1" a="1"/>
  <c r="C329" i="1" a="1"/>
  <c r="C402" i="1" a="1"/>
  <c r="C484" i="1" a="1"/>
  <c r="C542" i="1" a="1"/>
  <c r="C611" i="1" a="1"/>
  <c r="C674" i="1" a="1"/>
  <c r="C729" i="1" a="1"/>
  <c r="C781" i="1" a="1"/>
  <c r="C827" i="1" a="1"/>
  <c r="C851" i="1" a="1"/>
  <c r="C875" i="1" a="1"/>
  <c r="C899" i="1" a="1"/>
  <c r="C923" i="1" a="1"/>
  <c r="C947" i="1" a="1"/>
  <c r="C971" i="1" a="1"/>
  <c r="C995" i="1" a="1"/>
  <c r="C1019" i="1" a="1"/>
  <c r="C828" i="1" a="1"/>
  <c r="C876" i="1" a="1"/>
  <c r="C60" i="1" a="1"/>
  <c r="C163" i="1" a="1"/>
  <c r="C265" i="1" a="1"/>
  <c r="C317" i="1" a="1"/>
  <c r="C473" i="1" a="1"/>
  <c r="C586" i="1" a="1"/>
  <c r="C638" i="1" a="1"/>
  <c r="C703" i="1" a="1"/>
  <c r="C749" i="1" a="1"/>
  <c r="C795" i="1" a="1"/>
  <c r="C49" i="1" a="1"/>
  <c r="C138" i="1" a="1"/>
  <c r="C215" i="1" a="1"/>
  <c r="C280" i="1" a="1"/>
  <c r="C368" i="1" a="1"/>
  <c r="C415" i="1" a="1"/>
  <c r="C543" i="1" a="1"/>
  <c r="C604" i="1" a="1"/>
  <c r="C668" i="1" a="1"/>
  <c r="C717" i="1" a="1"/>
  <c r="C782" i="1" a="1"/>
  <c r="C846" i="1" a="1"/>
  <c r="C894" i="1" a="1"/>
  <c r="C116" i="1" a="1"/>
  <c r="C180" i="1" a="1"/>
  <c r="C257" i="1" a="1"/>
  <c r="C347" i="1" a="1"/>
  <c r="C407" i="1" a="1"/>
  <c r="C477" i="1" a="1"/>
  <c r="C571" i="1" a="1"/>
  <c r="C641" i="1" a="1"/>
  <c r="C712" i="1" a="1"/>
  <c r="C764" i="1" a="1"/>
  <c r="C810" i="1" a="1"/>
  <c r="C79" i="1" a="1"/>
  <c r="C194" i="1" a="1"/>
  <c r="C310" i="1" a="1"/>
  <c r="C420" i="1" a="1"/>
  <c r="C512" i="1" a="1"/>
  <c r="C555" i="1" a="1"/>
  <c r="C615" i="1" a="1"/>
  <c r="C678" i="1" a="1"/>
  <c r="C719" i="1" a="1"/>
  <c r="C765" i="1" a="1"/>
  <c r="C817" i="1" a="1"/>
  <c r="C848" i="1" a="1"/>
  <c r="C872" i="1" a="1"/>
  <c r="C122" i="1" a="1"/>
  <c r="C365" i="1" a="1"/>
  <c r="C467" i="1" a="1"/>
  <c r="C545" i="1" a="1"/>
  <c r="C708" i="1" a="1"/>
  <c r="C820" i="1" a="1"/>
  <c r="C900" i="1" a="1"/>
  <c r="C948" i="1" a="1"/>
  <c r="C996" i="1" a="1"/>
  <c r="C832" i="1" a="1"/>
  <c r="C1012" i="1" a="1"/>
  <c r="C576" i="1" a="1"/>
  <c r="C721" i="1" a="1"/>
  <c r="C892" i="1" a="1"/>
  <c r="C933" i="1" a="1"/>
  <c r="C981" i="1" a="1"/>
  <c r="C1029" i="1" a="1"/>
  <c r="C108" i="1" a="1"/>
  <c r="C217" i="1" a="1"/>
  <c r="C432" i="1" a="1"/>
  <c r="C529" i="1" a="1"/>
  <c r="C651" i="1" a="1"/>
  <c r="C779" i="1" a="1"/>
  <c r="C824" i="1" a="1"/>
  <c r="C902" i="1" a="1"/>
  <c r="C950" i="1" a="1"/>
  <c r="C998" i="1" a="1"/>
  <c r="C197" i="1" a="1"/>
  <c r="C82" i="1" a="1"/>
  <c r="C170" i="1" a="1"/>
  <c r="C324" i="1" a="1"/>
  <c r="C428" i="1" a="1"/>
  <c r="C527" i="1" a="1"/>
  <c r="C591" i="1" a="1"/>
  <c r="C686" i="1" a="1"/>
  <c r="C777" i="1" a="1"/>
  <c r="C822" i="1" a="1"/>
  <c r="C916" i="1" a="1"/>
  <c r="C301" i="1" a="1"/>
  <c r="C592" i="1" a="1"/>
  <c r="C711" i="1" a="1"/>
  <c r="C109" i="1" a="1"/>
  <c r="C455" i="1" a="1"/>
  <c r="C596" i="1" a="1"/>
  <c r="C652" i="1" a="1"/>
  <c r="C780" i="1" a="1"/>
  <c r="C867" i="1" a="1"/>
  <c r="C919" i="1" a="1"/>
  <c r="C967" i="1" a="1"/>
  <c r="C1015" i="1" a="1"/>
  <c r="C134" i="1" a="1"/>
  <c r="C223" i="1" a="1"/>
  <c r="C332" i="1" a="1"/>
  <c r="C475" i="1" a="1"/>
  <c r="C642" i="1" a="1"/>
  <c r="C702" i="1" a="1"/>
  <c r="C770" i="1" a="1"/>
  <c r="C878" i="1" a="1"/>
  <c r="C920" i="1" a="1"/>
  <c r="C968" i="1" a="1"/>
  <c r="C1016" i="1" a="1"/>
  <c r="C136" i="1" a="1"/>
  <c r="C358" i="1" a="1"/>
  <c r="C479" i="1" a="1"/>
  <c r="C583" i="1" a="1"/>
  <c r="C655" i="1" a="1"/>
  <c r="C760" i="1" a="1"/>
  <c r="C805" i="1" a="1"/>
  <c r="C928" i="1" a="1"/>
  <c r="C1024" i="1" a="1"/>
  <c r="C499" i="1" a="1"/>
  <c r="C734" i="1" a="1"/>
  <c r="C985" i="1" a="1"/>
  <c r="C584" i="1" a="1"/>
  <c r="C763" i="1" a="1"/>
  <c r="C907" i="1" a="1"/>
  <c r="C55" i="1" a="1"/>
  <c r="C458" i="1" a="1"/>
  <c r="C713" i="1" a="1"/>
  <c r="C930" i="1" a="1"/>
  <c r="C121" i="1" a="1"/>
  <c r="C556" i="1" a="1"/>
  <c r="C796" i="1" a="1"/>
  <c r="C1009" i="1" a="1"/>
  <c r="C262" i="1" a="1"/>
  <c r="C628" i="1" a="1"/>
  <c r="C825" i="1" a="1"/>
  <c r="C970" i="1" a="1"/>
  <c r="C982" i="1" a="1"/>
  <c r="C421" i="1" a="1"/>
  <c r="C593" i="1" a="1"/>
  <c r="C798" i="1" a="1"/>
  <c r="C954" i="1" a="1"/>
  <c r="C144" i="1" a="1"/>
  <c r="C377" i="1" a="1"/>
  <c r="C750" i="1" a="1"/>
  <c r="C1011" i="1" a="1"/>
  <c r="C600" i="1" a="1"/>
  <c r="C774" i="1" a="1"/>
  <c r="C955" i="1" a="1"/>
  <c r="C275" i="1" a="1"/>
  <c r="C639" i="1" a="1"/>
  <c r="C831" i="1" a="1"/>
  <c r="C1017" i="1" a="1"/>
  <c r="C481" i="1" a="1"/>
  <c r="C701" i="1" a="1"/>
  <c r="C859" i="1" a="1"/>
  <c r="C166" i="1" a="1"/>
  <c r="C573" i="1" a="1"/>
  <c r="C705" i="1" a="1"/>
  <c r="C809" i="1" a="1"/>
  <c r="C979" i="1" a="1"/>
  <c r="C340" i="1" a="1"/>
  <c r="C614" i="1" a="1"/>
  <c r="C885" i="1" a="1"/>
  <c r="V4" i="1" a="1"/>
  <c r="O4" i="1" a="1"/>
  <c r="O5" i="1" a="1"/>
  <c r="I6" i="1" a="1"/>
  <c r="V6" i="1" a="1"/>
  <c r="B6" i="1" a="1"/>
  <c r="O6" i="1" a="1"/>
  <c r="U7" i="1" a="1"/>
  <c r="P7" i="1" a="1"/>
  <c r="U6" i="1" a="1"/>
  <c r="B33" i="1" a="1"/>
  <c r="B57" i="1" a="1"/>
  <c r="B81" i="1" a="1"/>
  <c r="B105" i="1" a="1"/>
  <c r="B129" i="1" a="1"/>
  <c r="B153" i="1" a="1"/>
  <c r="B177" i="1" a="1"/>
  <c r="B201" i="1" a="1"/>
  <c r="B225" i="1" a="1"/>
  <c r="B249" i="1" a="1"/>
  <c r="B273" i="1" a="1"/>
  <c r="B297" i="1" a="1"/>
  <c r="B321" i="1" a="1"/>
  <c r="B345" i="1" a="1"/>
  <c r="B369" i="1" a="1"/>
  <c r="B393" i="1" a="1"/>
  <c r="B47" i="1" a="1"/>
  <c r="B76" i="1" a="1"/>
  <c r="B104" i="1" a="1"/>
  <c r="B34" i="1" a="1"/>
  <c r="B62" i="1" a="1"/>
  <c r="B91" i="1" a="1"/>
  <c r="B120" i="1" a="1"/>
  <c r="B149" i="1" a="1"/>
  <c r="B178" i="1" a="1"/>
  <c r="B206" i="1" a="1"/>
  <c r="B235" i="1" a="1"/>
  <c r="B264" i="1" a="1"/>
  <c r="B293" i="1" a="1"/>
  <c r="B322" i="1" a="1"/>
  <c r="B350" i="1" a="1"/>
  <c r="B379" i="1" a="1"/>
  <c r="B414" i="1" a="1"/>
  <c r="B460" i="1" a="1"/>
  <c r="B512" i="1" a="1"/>
  <c r="B72" i="1" a="1"/>
  <c r="B146" i="1" a="1"/>
  <c r="B217" i="1" a="1"/>
  <c r="B288" i="1" a="1"/>
  <c r="B359" i="1" a="1"/>
  <c r="B477" i="1" a="1"/>
  <c r="B505" i="1" a="1"/>
  <c r="B534" i="1" a="1"/>
  <c r="B580" i="1" a="1"/>
  <c r="B626" i="1" a="1"/>
  <c r="B672" i="1" a="1"/>
  <c r="B724" i="1" a="1"/>
  <c r="B64" i="1" a="1"/>
  <c r="B121" i="1" a="1"/>
  <c r="B210" i="1" a="1"/>
  <c r="B281" i="1" a="1"/>
  <c r="B352" i="1" a="1"/>
  <c r="B406" i="1" a="1"/>
  <c r="B442" i="1" a="1"/>
  <c r="B470" i="1" a="1"/>
  <c r="B574" i="1" a="1"/>
  <c r="B116" i="1" a="1"/>
  <c r="B175" i="1" a="1"/>
  <c r="B246" i="1" a="1"/>
  <c r="B317" i="1" a="1"/>
  <c r="B388" i="1" a="1"/>
  <c r="B489" i="1" a="1"/>
  <c r="B124" i="1" a="1"/>
  <c r="B274" i="1" a="1"/>
  <c r="B325" i="1" a="1"/>
  <c r="B437" i="1" a="1"/>
  <c r="B494" i="1" a="1"/>
  <c r="B570" i="1" a="1"/>
  <c r="B614" i="1" a="1"/>
  <c r="B678" i="1" a="1"/>
  <c r="B728" i="1" a="1"/>
  <c r="B762" i="1" a="1"/>
  <c r="B793" i="1" a="1"/>
  <c r="B817" i="1" a="1"/>
  <c r="B841" i="1" a="1"/>
  <c r="B865" i="1" a="1"/>
  <c r="B889" i="1" a="1"/>
  <c r="B913" i="1" a="1"/>
  <c r="B937" i="1" a="1"/>
  <c r="B961" i="1" a="1"/>
  <c r="B100" i="1" a="1"/>
  <c r="B190" i="1" a="1"/>
  <c r="B263" i="1" a="1"/>
  <c r="B368" i="1" a="1"/>
  <c r="B409" i="1" a="1"/>
  <c r="B495" i="1" a="1"/>
  <c r="B530" i="1" a="1"/>
  <c r="B578" i="1" a="1"/>
  <c r="B643" i="1" a="1"/>
  <c r="B679" i="1" a="1"/>
  <c r="B749" i="1" a="1"/>
  <c r="B67" i="1" a="1"/>
  <c r="B154" i="1" a="1"/>
  <c r="B280" i="1" a="1"/>
  <c r="B395" i="1" a="1"/>
  <c r="B433" i="1" a="1"/>
  <c r="B481" i="1" a="1"/>
  <c r="B590" i="1" a="1"/>
  <c r="B640" i="1" a="1"/>
  <c r="B704" i="1" a="1"/>
  <c r="B740" i="1" a="1"/>
  <c r="B785" i="1" a="1"/>
  <c r="B809" i="1" a="1"/>
  <c r="B833" i="1" a="1"/>
  <c r="B857" i="1" a="1"/>
  <c r="B881" i="1" a="1"/>
  <c r="B905" i="1" a="1"/>
  <c r="B929" i="1" a="1"/>
  <c r="B166" i="1" a="1"/>
  <c r="B306" i="1" a="1"/>
  <c r="B454" i="1" a="1"/>
  <c r="B516" i="1" a="1"/>
  <c r="B619" i="1" a="1"/>
  <c r="B676" i="1" a="1"/>
  <c r="B760" i="1" a="1"/>
  <c r="B866" i="1" a="1"/>
  <c r="B985" i="1" a="1"/>
  <c r="B834" i="1" a="1"/>
  <c r="B938" i="1" a="1"/>
  <c r="B999" i="1" a="1"/>
  <c r="B167" i="1" a="1"/>
  <c r="B417" i="1" a="1"/>
  <c r="B611" i="1" a="1"/>
  <c r="B867" i="1" a="1"/>
  <c r="B182" i="1" a="1"/>
  <c r="B419" i="1" a="1"/>
  <c r="B552" i="1" a="1"/>
  <c r="B736" i="1" a="1"/>
  <c r="B860" i="1" a="1"/>
  <c r="B967" i="1" a="1"/>
  <c r="B139" i="1" a="1"/>
  <c r="B236" i="1" a="1"/>
  <c r="B334" i="1" a="1"/>
  <c r="B468" i="1" a="1"/>
  <c r="B540" i="1" a="1"/>
  <c r="B591" i="1" a="1"/>
  <c r="B658" i="1" a="1"/>
  <c r="B725" i="1" a="1"/>
  <c r="B770" i="1" a="1"/>
  <c r="B810" i="1" a="1"/>
  <c r="B874" i="1" a="1"/>
  <c r="B959" i="1" a="1"/>
  <c r="B377" i="1" a="1"/>
  <c r="B572" i="1" a="1"/>
  <c r="B716" i="1" a="1"/>
  <c r="B980" i="1" a="1"/>
  <c r="B74" i="1" a="1"/>
  <c r="B169" i="1" a="1"/>
  <c r="B323" i="1" a="1"/>
  <c r="B508" i="1" a="1"/>
  <c r="B612" i="1" a="1"/>
  <c r="B708" i="1" a="1"/>
  <c r="B884" i="1" a="1"/>
  <c r="B974" i="1" a="1"/>
  <c r="B115" i="1" a="1"/>
  <c r="B216" i="1" a="1"/>
  <c r="B384" i="1" a="1"/>
  <c r="B500" i="1" a="1"/>
  <c r="B566" i="1" a="1"/>
  <c r="B616" i="1" a="1"/>
  <c r="B663" i="1" a="1"/>
  <c r="B730" i="1" a="1"/>
  <c r="B831" i="1" a="1"/>
  <c r="B927" i="1" a="1"/>
  <c r="B1009" i="1" a="1"/>
  <c r="B204" i="1" a="1"/>
  <c r="B344" i="1" a="1"/>
  <c r="B425" i="1" a="1"/>
  <c r="B524" i="1" a="1"/>
  <c r="B608" i="1" a="1"/>
  <c r="B665" i="1" a="1"/>
  <c r="B750" i="1" a="1"/>
  <c r="B824" i="1" a="1"/>
  <c r="B920" i="1" a="1"/>
  <c r="B957" i="1" a="1"/>
  <c r="B1003" i="1" a="1"/>
  <c r="B66" i="1" a="1"/>
  <c r="B176" i="1" a="1"/>
  <c r="B254" i="1" a="1"/>
  <c r="B421" i="1" a="1"/>
  <c r="B603" i="1" a="1"/>
  <c r="B737" i="1" a="1"/>
  <c r="B852" i="1" a="1"/>
  <c r="B1030" i="1" a="1"/>
  <c r="B885" i="1" a="1"/>
  <c r="B987" i="1" a="1"/>
  <c r="B128" i="1" a="1"/>
  <c r="B565" i="1" a="1"/>
  <c r="B902" i="1" a="1"/>
  <c r="B757" i="1" a="1"/>
  <c r="B948" i="1" a="1"/>
  <c r="B451" i="1" a="1"/>
  <c r="B684" i="1" a="1"/>
  <c r="B1011" i="1" a="1"/>
  <c r="B723" i="1" a="1"/>
  <c r="B989" i="1" a="1"/>
  <c r="B689" i="1" a="1"/>
  <c r="B1024" i="1" a="1"/>
  <c r="B861" i="1" a="1"/>
  <c r="B79" i="1" a="1"/>
  <c r="B497" i="1" a="1"/>
  <c r="B661" i="1" a="1"/>
  <c r="B933" i="1" a="1"/>
  <c r="B396" i="1" a="1"/>
  <c r="B624" i="1" a="1"/>
  <c r="B854" i="1" a="1"/>
  <c r="B229" i="1" a="1"/>
  <c r="B423" i="1" a="1"/>
  <c r="B774" i="1" a="1"/>
  <c r="B934" i="1" a="1"/>
  <c r="B1021" i="1" a="1"/>
  <c r="B289" i="1" a="1"/>
  <c r="B627" i="1" a="1"/>
  <c r="B792" i="1" a="1"/>
  <c r="B58" i="1" a="1"/>
  <c r="B373" i="1" a="1"/>
  <c r="B647" i="1" a="1"/>
  <c r="B921" i="1" a="1"/>
  <c r="B173" i="1" a="1"/>
  <c r="B432" i="1" a="1"/>
  <c r="B780" i="1" a="1"/>
  <c r="B968" i="1" a="1"/>
  <c r="B324" i="1" a="1"/>
  <c r="B632" i="1" a="1"/>
  <c r="B909" i="1" a="1"/>
  <c r="B270" i="1" a="1"/>
  <c r="B510" i="1" a="1"/>
  <c r="B653" i="1" a="1"/>
  <c r="B830" i="1" a="1"/>
  <c r="B1004" i="1" a="1"/>
  <c r="B299" i="1" a="1"/>
  <c r="B487" i="1" a="1"/>
  <c r="B673" i="1" a="1"/>
  <c r="B798" i="1" a="1"/>
  <c r="B894" i="1" a="1"/>
  <c r="B982" i="1" a="1"/>
  <c r="B114" i="1" a="1"/>
  <c r="B464" i="1" a="1"/>
  <c r="B579" i="1" a="1"/>
  <c r="B713" i="1" a="1"/>
  <c r="B816" i="1" a="1"/>
  <c r="B912" i="1" a="1"/>
  <c r="B1028" i="1" a="1"/>
  <c r="B276" i="1" a="1"/>
  <c r="B599" i="1" a="1"/>
  <c r="B695" i="1" a="1"/>
  <c r="B849" i="1" a="1"/>
  <c r="B984" i="1" a="1"/>
  <c r="B353" i="1" a="1"/>
  <c r="B940" i="1" a="1"/>
  <c r="P32" i="1" a="1"/>
  <c r="P56" i="1" a="1"/>
  <c r="P80" i="1" a="1"/>
  <c r="P45" i="1" a="1"/>
  <c r="P69" i="1" a="1"/>
  <c r="P93" i="1" a="1"/>
  <c r="P117" i="1" a="1"/>
  <c r="P141" i="1" a="1"/>
  <c r="P165" i="1" a="1"/>
  <c r="P189" i="1" a="1"/>
  <c r="P89" i="1" a="1"/>
  <c r="P118" i="1" a="1"/>
  <c r="P146" i="1" a="1"/>
  <c r="P175" i="1" a="1"/>
  <c r="P210" i="1" a="1"/>
  <c r="P256" i="1" a="1"/>
  <c r="P308" i="1" a="1"/>
  <c r="P354" i="1" a="1"/>
  <c r="P400" i="1" a="1"/>
  <c r="P452" i="1" a="1"/>
  <c r="P498" i="1" a="1"/>
  <c r="P36" i="1" a="1"/>
  <c r="P213" i="1" a="1"/>
  <c r="P265" i="1" a="1"/>
  <c r="P311" i="1" a="1"/>
  <c r="P357" i="1" a="1"/>
  <c r="P409" i="1" a="1"/>
  <c r="P455" i="1" a="1"/>
  <c r="P501" i="1" a="1"/>
  <c r="P546" i="1" a="1"/>
  <c r="P100" i="1" a="1"/>
  <c r="P151" i="1" a="1"/>
  <c r="P218" i="1" a="1"/>
  <c r="P289" i="1" a="1"/>
  <c r="P336" i="1" a="1"/>
  <c r="P399" i="1" a="1"/>
  <c r="P446" i="1" a="1"/>
  <c r="P509" i="1" a="1"/>
  <c r="P574" i="1" a="1"/>
  <c r="P626" i="1" a="1"/>
  <c r="P672" i="1" a="1"/>
  <c r="P66" i="1" a="1"/>
  <c r="P120" i="1" a="1"/>
  <c r="P214" i="1" a="1"/>
  <c r="P261" i="1" a="1"/>
  <c r="P347" i="1" a="1"/>
  <c r="P386" i="1" a="1"/>
  <c r="P457" i="1" a="1"/>
  <c r="P504" i="1" a="1"/>
  <c r="P543" i="1" a="1"/>
  <c r="P596" i="1" a="1"/>
  <c r="P642" i="1" a="1"/>
  <c r="P688" i="1" a="1"/>
  <c r="P712" i="1" a="1"/>
  <c r="P736" i="1" a="1"/>
  <c r="P760" i="1" a="1"/>
  <c r="P784" i="1" a="1"/>
  <c r="P808" i="1" a="1"/>
  <c r="P46" i="1" a="1"/>
  <c r="P122" i="1" a="1"/>
  <c r="P242" i="1" a="1"/>
  <c r="P318" i="1" a="1"/>
  <c r="P374" i="1" a="1"/>
  <c r="P412" i="1" a="1"/>
  <c r="P450" i="1" a="1"/>
  <c r="P506" i="1" a="1"/>
  <c r="P591" i="1" a="1"/>
  <c r="P638" i="1" a="1"/>
  <c r="P693" i="1" a="1"/>
  <c r="P765" i="1" a="1"/>
  <c r="P843" i="1" a="1"/>
  <c r="P895" i="1" a="1"/>
  <c r="P941" i="1" a="1"/>
  <c r="P987" i="1" a="1"/>
  <c r="P35" i="1" a="1"/>
  <c r="P113" i="1" a="1"/>
  <c r="P196" i="1" a="1"/>
  <c r="P262" i="1" a="1"/>
  <c r="P375" i="1" a="1"/>
  <c r="P469" i="1" a="1"/>
  <c r="P516" i="1" a="1"/>
  <c r="P576" i="1" a="1"/>
  <c r="P631" i="1" a="1"/>
  <c r="P701" i="1" a="1"/>
  <c r="P744" i="1" a="1"/>
  <c r="P787" i="1" a="1"/>
  <c r="P137" i="1" a="1"/>
  <c r="P199" i="1" a="1"/>
  <c r="P322" i="1" a="1"/>
  <c r="P378" i="1" a="1"/>
  <c r="P416" i="1" a="1"/>
  <c r="P463" i="1" a="1"/>
  <c r="P510" i="1" a="1"/>
  <c r="P563" i="1" a="1"/>
  <c r="P634" i="1" a="1"/>
  <c r="P689" i="1" a="1"/>
  <c r="P732" i="1" a="1"/>
  <c r="P775" i="1" a="1"/>
  <c r="P839" i="1" a="1"/>
  <c r="G686" i="1" a="1"/>
  <c r="G803" i="1" a="1"/>
  <c r="G874" i="1" a="1"/>
  <c r="G945" i="1" a="1"/>
  <c r="G993" i="1" a="1"/>
  <c r="G54" i="1" a="1"/>
  <c r="G192" i="1" a="1"/>
  <c r="G387" i="1" a="1"/>
  <c r="G72" i="1" a="1"/>
  <c r="G211" i="1" a="1"/>
  <c r="G318" i="1" a="1"/>
  <c r="G476" i="1" a="1"/>
  <c r="G585" i="1" a="1"/>
  <c r="G643" i="1" a="1"/>
  <c r="G759" i="1" a="1"/>
  <c r="G805" i="1" a="1"/>
  <c r="G853" i="1" a="1"/>
  <c r="G897" i="1" a="1"/>
  <c r="G390" i="1" a="1"/>
  <c r="G452" i="1" a="1"/>
  <c r="G541" i="1" a="1"/>
  <c r="G655" i="1" a="1"/>
  <c r="G722" i="1" a="1"/>
  <c r="G814" i="1" a="1"/>
  <c r="G862" i="1" a="1"/>
  <c r="G911" i="1" a="1"/>
  <c r="G935" i="1" a="1"/>
  <c r="G959" i="1" a="1"/>
  <c r="G983" i="1" a="1"/>
  <c r="G1007" i="1" a="1"/>
  <c r="G60" i="1" a="1"/>
  <c r="G136" i="1" a="1"/>
  <c r="G247" i="1" a="1"/>
  <c r="G531" i="1" a="1"/>
  <c r="G743" i="1" a="1"/>
  <c r="G860" i="1" a="1"/>
  <c r="G930" i="1" a="1"/>
  <c r="G1012" i="1" a="1"/>
  <c r="G656" i="1" a="1"/>
  <c r="G912" i="1" a="1"/>
  <c r="G379" i="1" a="1"/>
  <c r="G749" i="1" a="1"/>
  <c r="G1015" i="1" a="1"/>
  <c r="G978" i="1" a="1"/>
  <c r="G704" i="1" a="1"/>
  <c r="G280" i="1" a="1"/>
  <c r="G491" i="1" a="1"/>
  <c r="G612" i="1" a="1"/>
  <c r="G726" i="1" a="1"/>
  <c r="G899" i="1" a="1"/>
  <c r="G982" i="1" a="1"/>
  <c r="G348" i="1" a="1"/>
  <c r="G514" i="1" a="1"/>
  <c r="G613" i="1" a="1"/>
  <c r="G693" i="1" a="1"/>
  <c r="G762" i="1" a="1"/>
  <c r="G863" i="1" a="1"/>
  <c r="G942" i="1" a="1"/>
  <c r="G1024" i="1" a="1"/>
  <c r="G228" i="1" a="1"/>
  <c r="G403" i="1" a="1"/>
  <c r="G780" i="1" a="1"/>
  <c r="G922" i="1" a="1"/>
  <c r="G495" i="1" a="1"/>
  <c r="G764" i="1" a="1"/>
  <c r="G1026" i="1" a="1"/>
  <c r="G882" i="1" a="1"/>
  <c r="G275" i="1" a="1"/>
  <c r="G526" i="1" a="1"/>
  <c r="G844" i="1" a="1"/>
  <c r="G262" i="1" a="1"/>
  <c r="G430" i="1" a="1"/>
  <c r="G600" i="1" a="1"/>
  <c r="G824" i="1" a="1"/>
  <c r="G891" i="1" a="1"/>
  <c r="G934" i="1" a="1"/>
  <c r="G203" i="1" a="1"/>
  <c r="G406" i="1" a="1"/>
  <c r="G500" i="1" a="1"/>
  <c r="G642" i="1" a="1"/>
  <c r="G783" i="1" a="1"/>
  <c r="G854" i="1" a="1"/>
  <c r="G955" i="1" a="1"/>
  <c r="G233" i="1" a="1"/>
  <c r="G521" i="1" a="1"/>
  <c r="G720" i="1" a="1"/>
  <c r="G868" i="1" a="1"/>
  <c r="G946" i="1" a="1"/>
  <c r="G64" i="1" a="1"/>
  <c r="G363" i="1" a="1"/>
  <c r="G870" i="1" a="1"/>
  <c r="G482" i="1" a="1"/>
  <c r="G567" i="1" a="1"/>
  <c r="G689" i="1" a="1"/>
  <c r="G588" i="1" a="1"/>
  <c r="G1000" i="1" a="1"/>
  <c r="G142" i="1" a="1"/>
  <c r="G506" i="1" a="1"/>
  <c r="G937" i="1" a="1"/>
  <c r="G392" i="1" a="1"/>
  <c r="G773" i="1" a="1"/>
  <c r="G758" i="1" a="1"/>
  <c r="G148" i="1" a="1"/>
  <c r="G725" i="1" a="1"/>
  <c r="G970" i="1" a="1"/>
  <c r="G647" i="1" a="1"/>
  <c r="G857" i="1" a="1"/>
  <c r="C39" i="1" a="1"/>
  <c r="C63" i="1" a="1"/>
  <c r="C87" i="1" a="1"/>
  <c r="C111" i="1" a="1"/>
  <c r="C135" i="1" a="1"/>
  <c r="C159" i="1" a="1"/>
  <c r="C183" i="1" a="1"/>
  <c r="C207" i="1" a="1"/>
  <c r="C231" i="1" a="1"/>
  <c r="C255" i="1" a="1"/>
  <c r="C279" i="1" a="1"/>
  <c r="C303" i="1" a="1"/>
  <c r="C327" i="1" a="1"/>
  <c r="C351" i="1" a="1"/>
  <c r="C32" i="1" a="1"/>
  <c r="C61" i="1" a="1"/>
  <c r="C90" i="1" a="1"/>
  <c r="C119" i="1" a="1"/>
  <c r="C148" i="1" a="1"/>
  <c r="C176" i="1" a="1"/>
  <c r="C205" i="1" a="1"/>
  <c r="C234" i="1" a="1"/>
  <c r="C263" i="1" a="1"/>
  <c r="C292" i="1" a="1"/>
  <c r="C320" i="1" a="1"/>
  <c r="C349" i="1" a="1"/>
  <c r="C384" i="1" a="1"/>
  <c r="C430" i="1" a="1"/>
  <c r="C482" i="1" a="1"/>
  <c r="C528" i="1" a="1"/>
  <c r="C404" i="1" a="1"/>
  <c r="C450" i="1" a="1"/>
  <c r="C496" i="1" a="1"/>
  <c r="C380" i="1" a="1"/>
  <c r="C426" i="1" a="1"/>
  <c r="C472" i="1" a="1"/>
  <c r="C524" i="1" a="1"/>
  <c r="C62" i="1" a="1"/>
  <c r="C120" i="1" a="1"/>
  <c r="C178" i="1" a="1"/>
  <c r="C235" i="1" a="1"/>
  <c r="C293" i="1" a="1"/>
  <c r="C350" i="1" a="1"/>
  <c r="C448" i="1" a="1"/>
  <c r="C492" i="1" a="1"/>
  <c r="C551" i="1" a="1"/>
  <c r="C587" i="1" a="1"/>
  <c r="C623" i="1" a="1"/>
  <c r="C56" i="1" a="1"/>
  <c r="C114" i="1" a="1"/>
  <c r="C172" i="1" a="1"/>
  <c r="C229" i="1" a="1"/>
  <c r="C287" i="1" a="1"/>
  <c r="C344" i="1" a="1"/>
  <c r="C390" i="1" a="1"/>
  <c r="C478" i="1" a="1"/>
  <c r="C521" i="1" a="1"/>
  <c r="C561" i="1" a="1"/>
  <c r="C633" i="1" a="1"/>
  <c r="C665" i="1" a="1"/>
  <c r="C689" i="1" a="1"/>
  <c r="C96" i="1" a="1"/>
  <c r="C211" i="1" a="1"/>
  <c r="C326" i="1" a="1"/>
  <c r="C392" i="1" a="1"/>
  <c r="C471" i="1" a="1"/>
  <c r="C532" i="1" a="1"/>
  <c r="C110" i="1" a="1"/>
  <c r="C226" i="1" a="1"/>
  <c r="C341" i="1" a="1"/>
  <c r="C414" i="1" a="1"/>
  <c r="C494" i="1" a="1"/>
  <c r="C559" i="1" a="1"/>
  <c r="C620" i="1" a="1"/>
  <c r="C696" i="1" a="1"/>
  <c r="C742" i="1" a="1"/>
  <c r="C794" i="1" a="1"/>
  <c r="C833" i="1" a="1"/>
  <c r="C857" i="1" a="1"/>
  <c r="C881" i="1" a="1"/>
  <c r="C905" i="1" a="1"/>
  <c r="C929" i="1" a="1"/>
  <c r="C953" i="1" a="1"/>
  <c r="C977" i="1" a="1"/>
  <c r="C1001" i="1" a="1"/>
  <c r="C1025" i="1" a="1"/>
  <c r="C840" i="1" a="1"/>
  <c r="C888" i="1" a="1"/>
  <c r="C73" i="1" a="1"/>
  <c r="C175" i="1" a="1"/>
  <c r="C278" i="1" a="1"/>
  <c r="C438" i="1" a="1"/>
  <c r="C560" i="1" a="1"/>
  <c r="C603" i="1" a="1"/>
  <c r="C646" i="1" a="1"/>
  <c r="C716" i="1" a="1"/>
  <c r="C762" i="1" a="1"/>
  <c r="C808" i="1" a="1"/>
  <c r="C88" i="1" a="1"/>
  <c r="C151" i="1" a="1"/>
  <c r="C228" i="1" a="1"/>
  <c r="C318" i="1" a="1"/>
  <c r="C381" i="1" a="1"/>
  <c r="C462" i="1" a="1"/>
  <c r="C552" i="1" a="1"/>
  <c r="C621" i="1" a="1"/>
  <c r="C690" i="1" a="1"/>
  <c r="C730" i="1" a="1"/>
  <c r="C802" i="1" a="1"/>
  <c r="C858" i="1" a="1"/>
  <c r="C52" i="1" a="1"/>
  <c r="C128" i="1" a="1"/>
  <c r="C193" i="1" a="1"/>
  <c r="C282" i="1" a="1"/>
  <c r="C359" i="1" a="1"/>
  <c r="C419" i="1" a="1"/>
  <c r="C488" i="1" a="1"/>
  <c r="C598" i="1" a="1"/>
  <c r="C663" i="1" a="1"/>
  <c r="C725" i="1" a="1"/>
  <c r="C771" i="1" a="1"/>
  <c r="C823" i="1" a="1"/>
  <c r="C103" i="1" a="1"/>
  <c r="C218" i="1" a="1"/>
  <c r="C334" i="1" a="1"/>
  <c r="C442" i="1" a="1"/>
  <c r="C525" i="1" a="1"/>
  <c r="C572" i="1" a="1"/>
  <c r="C624" i="1" a="1"/>
  <c r="C685" i="1" a="1"/>
  <c r="C732" i="1" a="1"/>
  <c r="C778" i="1" a="1"/>
  <c r="C830" i="1" a="1"/>
  <c r="C854" i="1" a="1"/>
  <c r="C58" i="1" a="1"/>
  <c r="C190" i="1" a="1"/>
  <c r="C386" i="1" a="1"/>
  <c r="C486" i="1" a="1"/>
  <c r="C605" i="1" a="1"/>
  <c r="C720" i="1" a="1"/>
  <c r="C862" i="1" a="1"/>
  <c r="C908" i="1" a="1"/>
  <c r="C956" i="1" a="1"/>
  <c r="C1004" i="1" a="1"/>
  <c r="C940" i="1" a="1"/>
  <c r="C348" i="1" a="1"/>
  <c r="C607" i="1" a="1"/>
  <c r="C744" i="1" a="1"/>
  <c r="C901" i="1" a="1"/>
  <c r="C949" i="1" a="1"/>
  <c r="C997" i="1" a="1"/>
  <c r="C42" i="1" a="1"/>
  <c r="C131" i="1" a="1"/>
  <c r="C238" i="1" a="1"/>
  <c r="C451" i="1" a="1"/>
  <c r="C564" i="1" a="1"/>
  <c r="C664" i="1" a="1"/>
  <c r="C790" i="1" a="1"/>
  <c r="C844" i="1" a="1"/>
  <c r="C918" i="1" a="1"/>
  <c r="C966" i="1" a="1"/>
  <c r="C1014" i="1" a="1"/>
  <c r="C221" i="1" a="1"/>
  <c r="C106" i="1" a="1"/>
  <c r="C192" i="1" a="1"/>
  <c r="C346" i="1" a="1"/>
  <c r="C447" i="1" a="1"/>
  <c r="C547" i="1" a="1"/>
  <c r="C619" i="1" a="1"/>
  <c r="C698" i="1" a="1"/>
  <c r="C787" i="1" a="1"/>
  <c r="C843" i="1" a="1"/>
  <c r="C107" i="1" a="1"/>
  <c r="C370" i="1" a="1"/>
  <c r="C622" i="1" a="1"/>
  <c r="C733" i="1" a="1"/>
  <c r="C132" i="1" a="1"/>
  <c r="C493" i="1" a="1"/>
  <c r="C610" i="1" a="1"/>
  <c r="C735" i="1" a="1"/>
  <c r="C792" i="1" a="1"/>
  <c r="C877" i="1" a="1"/>
  <c r="C927" i="1" a="1"/>
  <c r="C975" i="1" a="1"/>
  <c r="C1023" i="1" a="1"/>
  <c r="C157" i="1" a="1"/>
  <c r="C246" i="1" a="1"/>
  <c r="C353" i="1" a="1"/>
  <c r="C516" i="1" a="1"/>
  <c r="C666" i="1" a="1"/>
  <c r="C714" i="1" a="1"/>
  <c r="C826" i="1" a="1"/>
  <c r="C886" i="1" a="1"/>
  <c r="C936" i="1" a="1"/>
  <c r="C984" i="1" a="1"/>
  <c r="C50" i="1" a="1"/>
  <c r="C289" i="1" a="1"/>
  <c r="C398" i="1" a="1"/>
  <c r="C538" i="1" a="1"/>
  <c r="C599" i="1" a="1"/>
  <c r="C693" i="1" a="1"/>
  <c r="C772" i="1" a="1"/>
  <c r="C816" i="1" a="1"/>
  <c r="C952" i="1" a="1"/>
  <c r="C118" i="1" a="1"/>
  <c r="C579" i="1" a="1"/>
  <c r="C761" i="1" a="1"/>
  <c r="C185" i="1" a="1"/>
  <c r="C617" i="1" a="1"/>
  <c r="C818" i="1" a="1"/>
  <c r="C946" i="1" a="1"/>
  <c r="C251" i="1" a="1"/>
  <c r="C503" i="1" a="1"/>
  <c r="C819" i="1" a="1"/>
  <c r="C969" i="1" a="1"/>
  <c r="C186" i="1" a="1"/>
  <c r="C684" i="1" a="1"/>
  <c r="C849" i="1" a="1"/>
  <c r="C71" i="1" a="1"/>
  <c r="C314" i="1" a="1"/>
  <c r="C658" i="1" a="1"/>
  <c r="C871" i="1" a="1"/>
  <c r="C1010" i="1" a="1"/>
  <c r="C74" i="1" a="1"/>
  <c r="C464" i="1" a="1"/>
  <c r="C718" i="1" a="1"/>
  <c r="C850" i="1" a="1"/>
  <c r="C993" i="1" a="1"/>
  <c r="C209" i="1" a="1"/>
  <c r="C422" i="1" a="1"/>
  <c r="C829" i="1" a="1"/>
  <c r="C145" i="1" a="1"/>
  <c r="C634" i="1" a="1"/>
  <c r="C879" i="1" a="1"/>
  <c r="C994" i="1" a="1"/>
  <c r="C337" i="1" a="1"/>
  <c r="C727" i="1" a="1"/>
  <c r="C921" i="1" a="1"/>
  <c r="C286" i="1" a="1"/>
  <c r="C533" i="1" a="1"/>
  <c r="C753" i="1" a="1"/>
  <c r="C880" i="1" a="1"/>
  <c r="C230" i="1" a="1"/>
  <c r="C609" i="1" a="1"/>
  <c r="C728" i="1" a="1"/>
  <c r="C838" i="1" a="1"/>
  <c r="C1018" i="1" a="1"/>
  <c r="C399" i="1" a="1"/>
  <c r="C645" i="1" a="1"/>
  <c r="C945" i="1" a="1"/>
  <c r="V7" i="1" a="1"/>
  <c r="I4" i="1" a="1"/>
  <c r="C6" i="1" a="1"/>
  <c r="J8" i="1" a="1"/>
  <c r="J5" i="1" a="1"/>
  <c r="V5" i="1" a="1"/>
  <c r="C8" i="1" a="1"/>
  <c r="I5" i="1" a="1"/>
  <c r="J7" i="1" a="1"/>
  <c r="B8" i="1" a="1"/>
  <c r="B39" i="1" a="1"/>
  <c r="B63" i="1" a="1"/>
  <c r="B87" i="1" a="1"/>
  <c r="B111" i="1" a="1"/>
  <c r="B135" i="1" a="1"/>
  <c r="B159" i="1" a="1"/>
  <c r="B183" i="1" a="1"/>
  <c r="B207" i="1" a="1"/>
  <c r="B231" i="1" a="1"/>
  <c r="B255" i="1" a="1"/>
  <c r="B279" i="1" a="1"/>
  <c r="B303" i="1" a="1"/>
  <c r="B327" i="1" a="1"/>
  <c r="B351" i="1" a="1"/>
  <c r="B375" i="1" a="1"/>
  <c r="B399" i="1" a="1"/>
  <c r="B54" i="1" a="1"/>
  <c r="B83" i="1" a="1"/>
  <c r="B112" i="1" a="1"/>
  <c r="B41" i="1" a="1"/>
  <c r="B70" i="1" a="1"/>
  <c r="B98" i="1" a="1"/>
  <c r="B127" i="1" a="1"/>
  <c r="B156" i="1" a="1"/>
  <c r="B185" i="1" a="1"/>
  <c r="B214" i="1" a="1"/>
  <c r="B242" i="1" a="1"/>
  <c r="B271" i="1" a="1"/>
  <c r="B300" i="1" a="1"/>
  <c r="B329" i="1" a="1"/>
  <c r="B358" i="1" a="1"/>
  <c r="B386" i="1" a="1"/>
  <c r="B427" i="1" a="1"/>
  <c r="B473" i="1" a="1"/>
  <c r="B519" i="1" a="1"/>
  <c r="B101" i="1" a="1"/>
  <c r="B162" i="1" a="1"/>
  <c r="B233" i="1" a="1"/>
  <c r="B304" i="1" a="1"/>
  <c r="B374" i="1" a="1"/>
  <c r="B484" i="1" a="1"/>
  <c r="B513" i="1" a="1"/>
  <c r="B541" i="1" a="1"/>
  <c r="B587" i="1" a="1"/>
  <c r="B639" i="1" a="1"/>
  <c r="B685" i="1" a="1"/>
  <c r="B731" i="1" a="1"/>
  <c r="B82" i="1" a="1"/>
  <c r="B155" i="1" a="1"/>
  <c r="B226" i="1" a="1"/>
  <c r="B296" i="1" a="1"/>
  <c r="B367" i="1" a="1"/>
  <c r="B413" i="1" a="1"/>
  <c r="B449" i="1" a="1"/>
  <c r="B506" i="1" a="1"/>
  <c r="B581" i="1" a="1"/>
  <c r="B136" i="1" a="1"/>
  <c r="B191" i="1" a="1"/>
  <c r="B262" i="1" a="1"/>
  <c r="B332" i="1" a="1"/>
  <c r="B403" i="1" a="1"/>
  <c r="B496" i="1" a="1"/>
  <c r="B148" i="1" a="1"/>
  <c r="B283" i="1" a="1"/>
  <c r="B356" i="1" a="1"/>
  <c r="B446" i="1" a="1"/>
  <c r="B538" i="1" a="1"/>
  <c r="B585" i="1" a="1"/>
  <c r="B621" i="1" a="1"/>
  <c r="B707" i="1" a="1"/>
  <c r="B735" i="1" a="1"/>
  <c r="B775" i="1" a="1"/>
  <c r="B799" i="1" a="1"/>
  <c r="B823" i="1" a="1"/>
  <c r="B847" i="1" a="1"/>
  <c r="B871" i="1" a="1"/>
  <c r="B895" i="1" a="1"/>
  <c r="B919" i="1" a="1"/>
  <c r="B943" i="1" a="1"/>
  <c r="B36" i="1" a="1"/>
  <c r="B137" i="1" a="1"/>
  <c r="B200" i="1" a="1"/>
  <c r="B316" i="1" a="1"/>
  <c r="B378" i="1" a="1"/>
  <c r="B429" i="1" a="1"/>
  <c r="B504" i="1" a="1"/>
  <c r="B539" i="1" a="1"/>
  <c r="B593" i="1" a="1"/>
  <c r="B650" i="1" a="1"/>
  <c r="B686" i="1" a="1"/>
  <c r="B756" i="1" a="1"/>
  <c r="B80" i="1" a="1"/>
  <c r="B238" i="1" a="1"/>
  <c r="B290" i="1" a="1"/>
  <c r="B405" i="1" a="1"/>
  <c r="B452" i="1" a="1"/>
  <c r="B501" i="1" a="1"/>
  <c r="B597" i="1" a="1"/>
  <c r="B683" i="1" a="1"/>
  <c r="B719" i="1" a="1"/>
  <c r="B753" i="1" a="1"/>
  <c r="B791" i="1" a="1"/>
  <c r="B815" i="1" a="1"/>
  <c r="B839" i="1" a="1"/>
  <c r="B863" i="1" a="1"/>
  <c r="B887" i="1" a="1"/>
  <c r="B911" i="1" a="1"/>
  <c r="B52" i="1" a="1"/>
  <c r="B193" i="1" a="1"/>
  <c r="B361" i="1" a="1"/>
  <c r="B467" i="1" a="1"/>
  <c r="B528" i="1" a="1"/>
  <c r="B638" i="1" a="1"/>
  <c r="B705" i="1" a="1"/>
  <c r="B794" i="1" a="1"/>
  <c r="B890" i="1" a="1"/>
  <c r="B992" i="1" a="1"/>
  <c r="B882" i="1" a="1"/>
  <c r="B952" i="1" a="1"/>
  <c r="B1012" i="1" a="1"/>
  <c r="B196" i="1" a="1"/>
  <c r="B443" i="1" a="1"/>
  <c r="B706" i="1" a="1"/>
  <c r="B891" i="1" a="1"/>
  <c r="B224" i="1" a="1"/>
  <c r="B444" i="1" a="1"/>
  <c r="B622" i="1" a="1"/>
  <c r="B763" i="1" a="1"/>
  <c r="B908" i="1" a="1"/>
  <c r="B37" i="1" a="1"/>
  <c r="B152" i="1" a="1"/>
  <c r="B251" i="1" a="1"/>
  <c r="B391" i="1" a="1"/>
  <c r="B480" i="1" a="1"/>
  <c r="B550" i="1" a="1"/>
  <c r="B610" i="1" a="1"/>
  <c r="B677" i="1" a="1"/>
  <c r="B734" i="1" a="1"/>
  <c r="B778" i="1" a="1"/>
  <c r="B826" i="1" a="1"/>
  <c r="B906" i="1" a="1"/>
  <c r="B979" i="1" a="1"/>
  <c r="B404" i="1" a="1"/>
  <c r="B602" i="1" a="1"/>
  <c r="B819" i="1" a="1"/>
  <c r="B993" i="1" a="1"/>
  <c r="B108" i="1" a="1"/>
  <c r="B197" i="1" a="1"/>
  <c r="B392" i="1" a="1"/>
  <c r="B518" i="1" a="1"/>
  <c r="B631" i="1" a="1"/>
  <c r="B745" i="1" a="1"/>
  <c r="B932" i="1" a="1"/>
  <c r="B46" i="1" a="1"/>
  <c r="B161" i="1" a="1"/>
  <c r="B245" i="1" a="1"/>
  <c r="B397" i="1" a="1"/>
  <c r="B511" i="1" a="1"/>
  <c r="B577" i="1" a="1"/>
  <c r="B625" i="1" a="1"/>
  <c r="B682" i="1" a="1"/>
  <c r="B748" i="1" a="1"/>
  <c r="B855" i="1" a="1"/>
  <c r="B970" i="1" a="1"/>
  <c r="B1016" i="1" a="1"/>
  <c r="B218" i="1" a="1"/>
  <c r="B371" i="1" a="1"/>
  <c r="B438" i="1" a="1"/>
  <c r="B536" i="1" a="1"/>
  <c r="B617" i="1" a="1"/>
  <c r="B674" i="1" a="1"/>
  <c r="B758" i="1" a="1"/>
  <c r="B848" i="1" a="1"/>
  <c r="B935" i="1" a="1"/>
  <c r="B964" i="1" a="1"/>
  <c r="B1010" i="1" a="1"/>
  <c r="B102" i="1" a="1"/>
  <c r="B78" i="1" a="1"/>
  <c r="B282" i="1" a="1"/>
  <c r="B471" i="1" a="1"/>
  <c r="B623" i="1" a="1"/>
  <c r="B754" i="1" a="1"/>
  <c r="B868" i="1" a="1"/>
  <c r="B718" i="1" a="1"/>
  <c r="B947" i="1" a="1"/>
  <c r="B1008" i="1" a="1"/>
  <c r="B256" i="1" a="1"/>
  <c r="B605" i="1" a="1"/>
  <c r="B341" i="1" a="1"/>
  <c r="B790" i="1" a="1"/>
  <c r="B988" i="1" a="1"/>
  <c r="B502" i="1" a="1"/>
  <c r="B808" i="1" a="1"/>
  <c r="B95" i="1" a="1"/>
  <c r="B777" i="1" a="1"/>
  <c r="B1013" i="1" a="1"/>
  <c r="B727" i="1" a="1"/>
  <c r="B143" i="1" a="1"/>
  <c r="B991" i="1" a="1"/>
  <c r="B227" i="1" a="1"/>
  <c r="B521" i="1" a="1"/>
  <c r="B699" i="1" a="1"/>
  <c r="B997" i="1" a="1"/>
  <c r="B448" i="1" a="1"/>
  <c r="B662" i="1" a="1"/>
  <c r="B998" i="1" a="1"/>
  <c r="B258" i="1" a="1"/>
  <c r="B523" i="1" a="1"/>
  <c r="B822" i="1" a="1"/>
  <c r="B963" i="1" a="1"/>
  <c r="B131" i="1" a="1"/>
  <c r="B478" i="1" a="1"/>
  <c r="B666" i="1" a="1"/>
  <c r="B856" i="1" a="1"/>
  <c r="B203" i="1" a="1"/>
  <c r="B402" i="1" a="1"/>
  <c r="B759" i="1" a="1"/>
  <c r="B951" i="1" a="1"/>
  <c r="B205" i="1" a="1"/>
  <c r="B483" i="1" a="1"/>
  <c r="B828" i="1" a="1"/>
  <c r="B212" i="1" a="1"/>
  <c r="B408" i="1" a="1"/>
  <c r="B709" i="1" a="1"/>
  <c r="B954" i="1" a="1"/>
  <c r="B326" i="1" a="1"/>
  <c r="B533" i="1" a="1"/>
  <c r="B729" i="1" a="1"/>
  <c r="B878" i="1" a="1"/>
  <c r="B109" i="1" a="1"/>
  <c r="B411" i="1" a="1"/>
  <c r="B556" i="1" a="1"/>
  <c r="B691" i="1" a="1"/>
  <c r="B814" i="1" a="1"/>
  <c r="B910" i="1" a="1"/>
  <c r="B994" i="1" a="1"/>
  <c r="B302" i="1" a="1"/>
  <c r="B515" i="1" a="1"/>
  <c r="B598" i="1" a="1"/>
  <c r="B732" i="1" a="1"/>
  <c r="B832" i="1" a="1"/>
  <c r="B928" i="1" a="1"/>
  <c r="B187" i="1" a="1"/>
  <c r="B331" i="1" a="1"/>
  <c r="B618" i="1" a="1"/>
  <c r="B751" i="1" a="1"/>
  <c r="B897" i="1" a="1"/>
  <c r="B995" i="1" a="1"/>
  <c r="B459" i="1" a="1"/>
  <c r="B981" i="1" a="1"/>
  <c r="P38" i="1" a="1"/>
  <c r="P62" i="1" a="1"/>
  <c r="P86" i="1" a="1"/>
  <c r="P51" i="1" a="1"/>
  <c r="P75" i="1" a="1"/>
  <c r="P99" i="1" a="1"/>
  <c r="P123" i="1" a="1"/>
  <c r="P147" i="1" a="1"/>
  <c r="P171" i="1" a="1"/>
  <c r="P195" i="1" a="1"/>
  <c r="P96" i="1" a="1"/>
  <c r="P125" i="1" a="1"/>
  <c r="P154" i="1" a="1"/>
  <c r="P182" i="1" a="1"/>
  <c r="P223" i="1" a="1"/>
  <c r="P269" i="1" a="1"/>
  <c r="P315" i="1" a="1"/>
  <c r="P367" i="1" a="1"/>
  <c r="P413" i="1" a="1"/>
  <c r="P459" i="1" a="1"/>
  <c r="P511" i="1" a="1"/>
  <c r="P60" i="1" a="1"/>
  <c r="P226" i="1" a="1"/>
  <c r="P278" i="1" a="1"/>
  <c r="P324" i="1" a="1"/>
  <c r="P370" i="1" a="1"/>
  <c r="P422" i="1" a="1"/>
  <c r="P468" i="1" a="1"/>
  <c r="P514" i="1" a="1"/>
  <c r="P34" i="1" a="1"/>
  <c r="P108" i="1" a="1"/>
  <c r="P160" i="1" a="1"/>
  <c r="P234" i="1" a="1"/>
  <c r="P297" i="1" a="1"/>
  <c r="P344" i="1" a="1"/>
  <c r="P407" i="1" a="1"/>
  <c r="P454" i="1" a="1"/>
  <c r="P525" i="1" a="1"/>
  <c r="P587" i="1" a="1"/>
  <c r="P639" i="1" a="1"/>
  <c r="P685" i="1" a="1"/>
  <c r="P76" i="1" a="1"/>
  <c r="P155" i="1" a="1"/>
  <c r="P229" i="1" a="1"/>
  <c r="P284" i="1" a="1"/>
  <c r="P355" i="1" a="1"/>
  <c r="P402" i="1" a="1"/>
  <c r="P465" i="1" a="1"/>
  <c r="P512" i="1" a="1"/>
  <c r="P557" i="1" a="1"/>
  <c r="P609" i="1" a="1"/>
  <c r="P655" i="1" a="1"/>
  <c r="P694" i="1" a="1"/>
  <c r="P718" i="1" a="1"/>
  <c r="P742" i="1" a="1"/>
  <c r="P766" i="1" a="1"/>
  <c r="P790" i="1" a="1"/>
  <c r="P814" i="1" a="1"/>
  <c r="P58" i="1" a="1"/>
  <c r="P164" i="1" a="1"/>
  <c r="P280" i="1" a="1"/>
  <c r="P327" i="1" a="1"/>
  <c r="P384" i="1" a="1"/>
  <c r="P421" i="1" a="1"/>
  <c r="P478" i="1" a="1"/>
  <c r="P544" i="1" a="1"/>
  <c r="P599" i="1" a="1"/>
  <c r="P654" i="1" a="1"/>
  <c r="P722" i="1" a="1"/>
  <c r="P794" i="1" a="1"/>
  <c r="P856" i="1" a="1"/>
  <c r="P902" i="1" a="1"/>
  <c r="P954" i="1" a="1"/>
  <c r="P1000" i="1" a="1"/>
  <c r="P70" i="1" a="1"/>
  <c r="P133" i="1" a="1"/>
  <c r="P205" i="1" a="1"/>
  <c r="P271" i="1" a="1"/>
  <c r="P394" i="1" a="1"/>
  <c r="P479" i="1" a="1"/>
  <c r="P526" i="1" a="1"/>
  <c r="P584" i="1" a="1"/>
  <c r="P647" i="1" a="1"/>
  <c r="P708" i="1" a="1"/>
  <c r="P751" i="1" a="1"/>
  <c r="P61" i="1" a="1"/>
  <c r="P148" i="1" a="1"/>
  <c r="P237" i="1" a="1"/>
  <c r="P331" i="1" a="1"/>
  <c r="P388" i="1" a="1"/>
  <c r="P425" i="1" a="1"/>
  <c r="P482" i="1" a="1"/>
  <c r="P529" i="1" a="1"/>
  <c r="P571" i="1" a="1"/>
  <c r="P657" i="1" a="1"/>
  <c r="P696" i="1" a="1"/>
  <c r="P739" i="1" a="1"/>
  <c r="P797" i="1" a="1"/>
  <c r="P852" i="1" a="1"/>
  <c r="P898" i="1" a="1"/>
  <c r="P944" i="1" a="1"/>
  <c r="P996" i="1" a="1"/>
  <c r="P40" i="1" a="1"/>
  <c r="P158" i="1" a="1"/>
  <c r="P219" i="1" a="1"/>
  <c r="P150" i="1" a="1"/>
  <c r="P225" i="1" a="1"/>
  <c r="P275" i="1" a="1"/>
  <c r="P338" i="1" a="1"/>
  <c r="P451" i="1" a="1"/>
  <c r="P561" i="1" a="1"/>
  <c r="P666" i="1" a="1"/>
  <c r="P783" i="1" a="1"/>
  <c r="P835" i="1" a="1"/>
  <c r="P906" i="1" a="1"/>
  <c r="P953" i="1" a="1"/>
  <c r="P1008" i="1" a="1"/>
  <c r="P104" i="1" a="1"/>
  <c r="P339" i="1" a="1"/>
  <c r="P401" i="1" a="1"/>
  <c r="P476" i="1" a="1"/>
  <c r="P572" i="1" a="1"/>
  <c r="P635" i="1" a="1"/>
  <c r="P726" i="1" a="1"/>
  <c r="P764" i="1" a="1"/>
  <c r="P844" i="1" a="1"/>
  <c r="P891" i="1" a="1"/>
  <c r="P962" i="1" a="1"/>
  <c r="P1017" i="1" a="1"/>
  <c r="P212" i="1" a="1"/>
  <c r="P277" i="1" a="1"/>
  <c r="P326" i="1" a="1"/>
  <c r="P453" i="1" a="1"/>
  <c r="P515" i="1" a="1"/>
  <c r="P625" i="1" a="1"/>
  <c r="P677" i="1" a="1"/>
  <c r="P746" i="1" a="1"/>
  <c r="P837" i="1" a="1"/>
  <c r="P892" i="1" a="1"/>
  <c r="P939" i="1" a="1"/>
  <c r="P1010" i="1" a="1"/>
  <c r="P109" i="1" a="1"/>
  <c r="P187" i="1" a="1"/>
  <c r="P241" i="1" a="1"/>
  <c r="P330" i="1" a="1"/>
  <c r="P430" i="1" a="1"/>
  <c r="P575" i="1" a="1"/>
  <c r="P649" i="1" a="1"/>
  <c r="P757" i="1" a="1"/>
  <c r="P822" i="1" a="1"/>
  <c r="P878" i="1" a="1"/>
  <c r="P925" i="1" a="1"/>
  <c r="P988" i="1" a="1"/>
  <c r="P43" i="1" a="1"/>
  <c r="P157" i="1" a="1"/>
  <c r="P231" i="1" a="1"/>
  <c r="P306" i="1" a="1"/>
  <c r="P395" i="1" a="1"/>
  <c r="P483" i="1" a="1"/>
  <c r="P532" i="1" a="1"/>
  <c r="P597" i="1" a="1"/>
  <c r="P660" i="1" a="1"/>
  <c r="P711" i="1" a="1"/>
  <c r="P759" i="1" a="1"/>
  <c r="P847" i="1" a="1"/>
  <c r="P894" i="1" a="1"/>
  <c r="P949" i="1" a="1"/>
  <c r="P1020" i="1" a="1"/>
  <c r="P128" i="1" a="1"/>
  <c r="P220" i="1" a="1"/>
  <c r="P358" i="1" a="1"/>
  <c r="P329" i="1" a="1"/>
  <c r="P424" i="1" a="1"/>
  <c r="P553" i="1" a="1"/>
  <c r="P728" i="1" a="1"/>
  <c r="P838" i="1" a="1"/>
  <c r="P959" i="1" a="1"/>
  <c r="P170" i="1" a="1"/>
  <c r="P405" i="1" a="1"/>
  <c r="P589" i="1" a="1"/>
  <c r="P731" i="1" a="1"/>
  <c r="P825" i="1" a="1"/>
  <c r="P880" i="1" a="1"/>
  <c r="P947" i="1" a="1"/>
  <c r="P232" i="1" a="1"/>
  <c r="P408" i="1" a="1"/>
  <c r="P536" i="1" a="1"/>
  <c r="P627" i="1" a="1"/>
  <c r="P908" i="1" a="1"/>
  <c r="P975" i="1" a="1"/>
  <c r="P83" i="1" a="1"/>
  <c r="P310" i="1" a="1"/>
  <c r="P449" i="1" a="1"/>
  <c r="P664" i="1" a="1"/>
  <c r="P781" i="1" a="1"/>
  <c r="P881" i="1" a="1"/>
  <c r="P950" i="1" a="1"/>
  <c r="P1015" i="1" a="1"/>
  <c r="P178" i="1" a="1"/>
  <c r="P335" i="1" a="1"/>
  <c r="P496" i="1" a="1"/>
  <c r="P595" i="1" a="1"/>
  <c r="P733" i="1" a="1"/>
  <c r="P799" i="1" a="1"/>
  <c r="P936" i="1" a="1"/>
  <c r="P1005" i="1" a="1"/>
  <c r="P292" i="1" a="1"/>
  <c r="P480" i="1" a="1"/>
  <c r="P633" i="1" a="1"/>
  <c r="P753" i="1" a="1"/>
  <c r="P858" i="1" a="1"/>
  <c r="P927" i="1" a="1"/>
  <c r="P130" i="1" a="1"/>
  <c r="P437" i="1" a="1"/>
  <c r="P653" i="1" a="1"/>
  <c r="P756" i="1" a="1"/>
  <c r="P848" i="1" a="1"/>
  <c r="P955" i="1" a="1"/>
  <c r="P1022" i="1" a="1"/>
  <c r="P247" i="1" a="1"/>
  <c r="P372" i="1" a="1"/>
  <c r="P505" i="1" a="1"/>
  <c r="P620" i="1" a="1"/>
  <c r="P821" i="1" a="1"/>
  <c r="P903" i="1" a="1"/>
  <c r="P1023" i="1" a="1"/>
  <c r="P260" i="1" a="1"/>
  <c r="P578" i="1" a="1"/>
  <c r="P734" i="1" a="1"/>
  <c r="P800" i="1" a="1"/>
  <c r="P897" i="1" a="1"/>
  <c r="P152" i="1" a="1"/>
  <c r="P291" i="1" a="1"/>
  <c r="P522" i="1" a="1"/>
  <c r="P598" i="1" a="1"/>
  <c r="P770" i="1" a="1"/>
  <c r="P952" i="1" a="1"/>
  <c r="P1006" i="1" a="1"/>
  <c r="P658" i="1" a="1"/>
  <c r="P101" i="1" a="1"/>
  <c r="P932" i="1" a="1"/>
  <c r="P776" i="1" a="1"/>
  <c r="P675" i="1" a="1"/>
  <c r="P585" i="1" a="1"/>
  <c r="P709" i="1" a="1"/>
  <c r="P349" i="1" a="1"/>
  <c r="P222" i="1" a="1"/>
  <c r="P621" i="1" a="1"/>
  <c r="P984" i="1" a="1"/>
  <c r="P530" i="1" a="1"/>
  <c r="N38" i="1" a="1"/>
  <c r="N62" i="1" a="1"/>
  <c r="N86" i="1" a="1"/>
  <c r="N57" i="1" a="1"/>
  <c r="N111" i="1" a="1"/>
  <c r="N255" i="1" a="1"/>
  <c r="N399" i="1" a="1"/>
  <c r="N34" i="1" a="1"/>
  <c r="N82" i="1" a="1"/>
  <c r="N119" i="1" a="1"/>
  <c r="N148" i="1" a="1"/>
  <c r="N176" i="1" a="1"/>
  <c r="N205" i="1" a="1"/>
  <c r="N234" i="1" a="1"/>
  <c r="N263" i="1" a="1"/>
  <c r="N292" i="1" a="1"/>
  <c r="N320" i="1" a="1"/>
  <c r="N349" i="1" a="1"/>
  <c r="N378" i="1" a="1"/>
  <c r="N407" i="1" a="1"/>
  <c r="N436" i="1" a="1"/>
  <c r="N464" i="1" a="1"/>
  <c r="N493" i="1" a="1"/>
  <c r="N522" i="1" a="1"/>
  <c r="N549" i="1" a="1"/>
  <c r="N573" i="1" a="1"/>
  <c r="N597" i="1" a="1"/>
  <c r="N66" i="1" a="1"/>
  <c r="N177" i="1" a="1"/>
  <c r="N321" i="1" a="1"/>
  <c r="N465" i="1" a="1"/>
  <c r="N75" i="1" a="1"/>
  <c r="N113" i="1" a="1"/>
  <c r="N142" i="1" a="1"/>
  <c r="N170" i="1" a="1"/>
  <c r="N199" i="1" a="1"/>
  <c r="N228" i="1" a="1"/>
  <c r="N257" i="1" a="1"/>
  <c r="N286" i="1" a="1"/>
  <c r="N314" i="1" a="1"/>
  <c r="N343" i="1" a="1"/>
  <c r="N372" i="1" a="1"/>
  <c r="G719" i="1" a="1"/>
  <c r="G827" i="1" a="1"/>
  <c r="G915" i="1" a="1"/>
  <c r="G957" i="1" a="1"/>
  <c r="G1005" i="1" a="1"/>
  <c r="G132" i="1" a="1"/>
  <c r="G223" i="1" a="1"/>
  <c r="G437" i="1" a="1"/>
  <c r="G88" i="1" a="1"/>
  <c r="G227" i="1" a="1"/>
  <c r="G364" i="1" a="1"/>
  <c r="G488" i="1" a="1"/>
  <c r="G596" i="1" a="1"/>
  <c r="G678" i="1" a="1"/>
  <c r="G779" i="1" a="1"/>
  <c r="G821" i="1" a="1"/>
  <c r="G876" i="1" a="1"/>
  <c r="G120" i="1" a="1"/>
  <c r="G402" i="1" a="1"/>
  <c r="G477" i="1" a="1"/>
  <c r="G552" i="1" a="1"/>
  <c r="G679" i="1" a="1"/>
  <c r="G732" i="1" a="1"/>
  <c r="G822" i="1" a="1"/>
  <c r="G869" i="1" a="1"/>
  <c r="G917" i="1" a="1"/>
  <c r="G941" i="1" a="1"/>
  <c r="G965" i="1" a="1"/>
  <c r="G989" i="1" a="1"/>
  <c r="G1013" i="1" a="1"/>
  <c r="G76" i="1" a="1"/>
  <c r="G151" i="1" a="1"/>
  <c r="G393" i="1" a="1"/>
  <c r="G590" i="1" a="1"/>
  <c r="G806" i="1" a="1"/>
  <c r="G872" i="1" a="1"/>
  <c r="G940" i="1" a="1"/>
  <c r="G429" i="1" a="1"/>
  <c r="G796" i="1" a="1"/>
  <c r="G973" i="1" a="1"/>
  <c r="G475" i="1" a="1"/>
  <c r="G852" i="1" a="1"/>
  <c r="G645" i="1" a="1"/>
  <c r="G336" i="1" a="1"/>
  <c r="G830" i="1" a="1"/>
  <c r="G310" i="1" a="1"/>
  <c r="G553" i="1" a="1"/>
  <c r="G633" i="1" a="1"/>
  <c r="G792" i="1" a="1"/>
  <c r="G910" i="1" a="1"/>
  <c r="G156" i="1" a="1"/>
  <c r="G400" i="1" a="1"/>
  <c r="G555" i="1" a="1"/>
  <c r="G635" i="1" a="1"/>
  <c r="G713" i="1" a="1"/>
  <c r="G778" i="1" a="1"/>
  <c r="G875" i="1" a="1"/>
  <c r="G952" i="1" a="1"/>
  <c r="G48" i="1" a="1"/>
  <c r="G319" i="1" a="1"/>
  <c r="G450" i="1" a="1"/>
  <c r="G823" i="1" a="1"/>
  <c r="G984" i="1" a="1"/>
  <c r="G539" i="1" a="1"/>
  <c r="G809" i="1" a="1"/>
  <c r="G771" i="1" a="1"/>
  <c r="G906" i="1" a="1"/>
  <c r="G305" i="1" a="1"/>
  <c r="G607" i="1" a="1"/>
  <c r="G94" i="1" a="1"/>
  <c r="G324" i="1" a="1"/>
  <c r="G455" i="1" a="1"/>
  <c r="G619" i="1" a="1"/>
  <c r="G839" i="1" a="1"/>
  <c r="G903" i="1" a="1"/>
  <c r="G985" i="1" a="1"/>
  <c r="G294" i="1" a="1"/>
  <c r="G431" i="1" a="1"/>
  <c r="G520" i="1" a="1"/>
  <c r="G660" i="1" a="1"/>
  <c r="G799" i="1" a="1"/>
  <c r="G867" i="1" a="1"/>
  <c r="G966" i="1" a="1"/>
  <c r="G263" i="1" a="1"/>
  <c r="G584" i="1" a="1"/>
  <c r="G735" i="1" a="1"/>
  <c r="G879" i="1" a="1"/>
  <c r="G997" i="1" a="1"/>
  <c r="G172" i="1" a="1"/>
  <c r="G412" i="1" a="1"/>
  <c r="G893" i="1" a="1"/>
  <c r="G683" i="1" a="1"/>
  <c r="G790" i="1" a="1"/>
  <c r="G958" i="1" a="1"/>
  <c r="G804" i="1" a="1"/>
  <c r="G109" i="1" a="1"/>
  <c r="G483" i="1" a="1"/>
  <c r="G740" i="1" a="1"/>
  <c r="G1020" i="1" a="1"/>
  <c r="G1021" i="1" a="1"/>
  <c r="G507" i="1" a="1"/>
  <c r="G417" i="1" a="1"/>
  <c r="G340" i="1" a="1"/>
  <c r="G817" i="1" a="1"/>
  <c r="G369" i="1" a="1"/>
  <c r="G215" i="1" a="1"/>
  <c r="G990" i="1" a="1"/>
  <c r="C45" i="1" a="1"/>
  <c r="C69" i="1" a="1"/>
  <c r="C93" i="1" a="1"/>
  <c r="C117" i="1" a="1"/>
  <c r="C141" i="1" a="1"/>
  <c r="C165" i="1" a="1"/>
  <c r="C189" i="1" a="1"/>
  <c r="C213" i="1" a="1"/>
  <c r="C237" i="1" a="1"/>
  <c r="C261" i="1" a="1"/>
  <c r="C285" i="1" a="1"/>
  <c r="C309" i="1" a="1"/>
  <c r="C333" i="1" a="1"/>
  <c r="C357" i="1" a="1"/>
  <c r="C40" i="1" a="1"/>
  <c r="C68" i="1" a="1"/>
  <c r="C97" i="1" a="1"/>
  <c r="C126" i="1" a="1"/>
  <c r="C155" i="1" a="1"/>
  <c r="C184" i="1" a="1"/>
  <c r="C212" i="1" a="1"/>
  <c r="C241" i="1" a="1"/>
  <c r="C270" i="1" a="1"/>
  <c r="C299" i="1" a="1"/>
  <c r="C328" i="1" a="1"/>
  <c r="C356" i="1" a="1"/>
  <c r="C397" i="1" a="1"/>
  <c r="C443" i="1" a="1"/>
  <c r="C489" i="1" a="1"/>
  <c r="C541" i="1" a="1"/>
  <c r="C411" i="1" a="1"/>
  <c r="C463" i="1" a="1"/>
  <c r="C509" i="1" a="1"/>
  <c r="C387" i="1" a="1"/>
  <c r="C439" i="1" a="1"/>
  <c r="C485" i="1" a="1"/>
  <c r="C531" i="1" a="1"/>
  <c r="C72" i="1" a="1"/>
  <c r="C130" i="1" a="1"/>
  <c r="C187" i="1" a="1"/>
  <c r="C245" i="1" a="1"/>
  <c r="C302" i="1" a="1"/>
  <c r="C360" i="1" a="1"/>
  <c r="C457" i="1" a="1"/>
  <c r="C500" i="1" a="1"/>
  <c r="C558" i="1" a="1"/>
  <c r="C594" i="1" a="1"/>
  <c r="C630" i="1" a="1"/>
  <c r="C66" i="1" a="1"/>
  <c r="C124" i="1" a="1"/>
  <c r="C181" i="1" a="1"/>
  <c r="C239" i="1" a="1"/>
  <c r="C296" i="1" a="1"/>
  <c r="C354" i="1" a="1"/>
  <c r="C408" i="1" a="1"/>
  <c r="C495" i="1" a="1"/>
  <c r="C530" i="1" a="1"/>
  <c r="C590" i="1" a="1"/>
  <c r="C647" i="1" a="1"/>
  <c r="C671" i="1" a="1"/>
  <c r="C695" i="1" a="1"/>
  <c r="C125" i="1" a="1"/>
  <c r="C240" i="1" a="1"/>
  <c r="C355" i="1" a="1"/>
  <c r="C401" i="1" a="1"/>
  <c r="C497" i="1" a="1"/>
  <c r="C540" i="1" a="1"/>
  <c r="C137" i="1" a="1"/>
  <c r="C252" i="1" a="1"/>
  <c r="C367" i="1" a="1"/>
  <c r="C425" i="1" a="1"/>
  <c r="C507" i="1" a="1"/>
  <c r="C568" i="1" a="1"/>
  <c r="C660" i="1" a="1"/>
  <c r="C709" i="1" a="1"/>
  <c r="C755" i="1" a="1"/>
  <c r="C801" i="1" a="1"/>
  <c r="C839" i="1" a="1"/>
  <c r="C863" i="1" a="1"/>
  <c r="C887" i="1" a="1"/>
  <c r="C911" i="1" a="1"/>
  <c r="C935" i="1" a="1"/>
  <c r="C959" i="1" a="1"/>
  <c r="C983" i="1" a="1"/>
  <c r="C1007" i="1" a="1"/>
  <c r="C769" i="1" a="1"/>
  <c r="C852" i="1" a="1"/>
  <c r="C35" i="1" a="1"/>
  <c r="C86" i="1" a="1"/>
  <c r="C188" i="1" a="1"/>
  <c r="C290" i="1" a="1"/>
  <c r="C449" i="1" a="1"/>
  <c r="C569" i="1" a="1"/>
  <c r="C612" i="1" a="1"/>
  <c r="C675" i="1" a="1"/>
  <c r="C723" i="1" a="1"/>
  <c r="C775" i="1" a="1"/>
  <c r="C821" i="1" a="1"/>
  <c r="C100" i="1" a="1"/>
  <c r="C164" i="1" a="1"/>
  <c r="C253" i="1" a="1"/>
  <c r="C330" i="1" a="1"/>
  <c r="C393" i="1" a="1"/>
  <c r="C508" i="1" a="1"/>
  <c r="C578" i="1" a="1"/>
  <c r="C654" i="1" a="1"/>
  <c r="C697" i="1" a="1"/>
  <c r="C743" i="1" a="1"/>
  <c r="C815" i="1" a="1"/>
  <c r="C870" i="1" a="1"/>
  <c r="C65" i="1" a="1"/>
  <c r="C142" i="1" a="1"/>
  <c r="C232" i="1" a="1"/>
  <c r="C295" i="1" a="1"/>
  <c r="C372" i="1" a="1"/>
  <c r="C454" i="1" a="1"/>
  <c r="C534" i="1" a="1"/>
  <c r="C606" i="1" a="1"/>
  <c r="C670" i="1" a="1"/>
  <c r="C738" i="1" a="1"/>
  <c r="C784" i="1" a="1"/>
  <c r="C41" i="1" a="1"/>
  <c r="C156" i="1" a="1"/>
  <c r="C271" i="1" a="1"/>
  <c r="C385" i="1" a="1"/>
  <c r="C490" i="1" a="1"/>
  <c r="C536" i="1" a="1"/>
  <c r="C581" i="1" a="1"/>
  <c r="C649" i="1" a="1"/>
  <c r="C692" i="1" a="1"/>
  <c r="C745" i="1" a="1"/>
  <c r="C791" i="1" a="1"/>
  <c r="C836" i="1" a="1"/>
  <c r="C860" i="1" a="1"/>
  <c r="C80" i="1" a="1"/>
  <c r="C300" i="1" a="1"/>
  <c r="C406" i="1" a="1"/>
  <c r="C505" i="1" a="1"/>
  <c r="C618" i="1" a="1"/>
  <c r="C731" i="1" a="1"/>
  <c r="C873" i="1" a="1"/>
  <c r="C924" i="1" a="1"/>
  <c r="C972" i="1" a="1"/>
  <c r="C1020" i="1" a="1"/>
  <c r="C964" i="1" a="1"/>
  <c r="C429" i="1" a="1"/>
  <c r="C662" i="1" a="1"/>
  <c r="C874" i="1" a="1"/>
  <c r="C909" i="1" a="1"/>
  <c r="C957" i="1" a="1"/>
  <c r="C1005" i="1" a="1"/>
  <c r="C64" i="1" a="1"/>
  <c r="C173" i="1" a="1"/>
  <c r="C305" i="1" a="1"/>
  <c r="C470" i="1" a="1"/>
  <c r="C608" i="1" a="1"/>
  <c r="C676" i="1" a="1"/>
  <c r="C800" i="1" a="1"/>
  <c r="C855" i="1" a="1"/>
  <c r="C926" i="1" a="1"/>
  <c r="C974" i="1" a="1"/>
  <c r="C1022" i="1" a="1"/>
  <c r="C242" i="1" a="1"/>
  <c r="C127" i="1" a="1"/>
  <c r="C259" i="1" a="1"/>
  <c r="C366" i="1" a="1"/>
  <c r="C487" i="1" a="1"/>
  <c r="C562" i="1" a="1"/>
  <c r="C635" i="1" a="1"/>
  <c r="C754" i="1" a="1"/>
  <c r="C799" i="1" a="1"/>
  <c r="C853" i="1" a="1"/>
  <c r="C236" i="1" a="1"/>
  <c r="C468" i="1" a="1"/>
  <c r="C650" i="1" a="1"/>
  <c r="C44" i="1" a="1"/>
  <c r="C222" i="1" a="1"/>
  <c r="C550" i="1" a="1"/>
  <c r="C625" i="1" a="1"/>
  <c r="C747" i="1" a="1"/>
  <c r="C803" i="1" a="1"/>
  <c r="C895" i="1" a="1"/>
  <c r="C943" i="1" a="1"/>
  <c r="C991" i="1" a="1"/>
  <c r="C70" i="1" a="1"/>
  <c r="C179" i="1" a="1"/>
  <c r="C288" i="1" a="1"/>
  <c r="C376" i="1" a="1"/>
  <c r="C537" i="1" a="1"/>
  <c r="C679" i="1" a="1"/>
  <c r="C726" i="1" a="1"/>
  <c r="C837" i="1" a="1"/>
  <c r="C896" i="1" a="1"/>
  <c r="C944" i="1" a="1"/>
  <c r="C992" i="1" a="1"/>
  <c r="C94" i="1" a="1"/>
  <c r="C312" i="1" a="1"/>
  <c r="C418" i="1" a="1"/>
  <c r="C553" i="1" a="1"/>
  <c r="C613" i="1" a="1"/>
  <c r="C704" i="1" a="1"/>
  <c r="C783" i="1" a="1"/>
  <c r="C868" i="1" a="1"/>
  <c r="C976" i="1" a="1"/>
  <c r="C247" i="1" a="1"/>
  <c r="C680" i="1" a="1"/>
  <c r="C786" i="1" a="1"/>
  <c r="C250" i="1" a="1"/>
  <c r="C681" i="1" a="1"/>
  <c r="C841" i="1" a="1"/>
  <c r="C986" i="1" a="1"/>
  <c r="C307" i="1" a="1"/>
  <c r="C549" i="1" a="1"/>
  <c r="C890" i="1" a="1"/>
  <c r="C1006" i="1" a="1"/>
  <c r="C254" i="1" a="1"/>
  <c r="C715" i="1" a="1"/>
  <c r="C913" i="1" a="1"/>
  <c r="C139" i="1" a="1"/>
  <c r="C362" i="1" a="1"/>
  <c r="C688" i="1" a="1"/>
  <c r="C914" i="1" a="1"/>
  <c r="C1027" i="1" a="1"/>
  <c r="C208" i="1" a="1"/>
  <c r="C517" i="1" a="1"/>
  <c r="C746" i="1" a="1"/>
  <c r="C897" i="1" a="1"/>
  <c r="C1030" i="1" a="1"/>
  <c r="C272" i="1" a="1"/>
  <c r="C631" i="1" a="1"/>
  <c r="C915" i="1" a="1"/>
  <c r="C423" i="1" a="1"/>
  <c r="C669" i="1" a="1"/>
  <c r="C898" i="1" a="1"/>
  <c r="C160" i="1" a="1"/>
  <c r="C433" i="1" a="1"/>
  <c r="C752" i="1" a="1"/>
  <c r="C958" i="1" a="1"/>
  <c r="C338" i="1" a="1"/>
  <c r="C602" i="1" a="1"/>
  <c r="C807" i="1" a="1"/>
  <c r="C939" i="1" a="1"/>
  <c r="C394" i="1" a="1"/>
  <c r="C644" i="1" a="1"/>
  <c r="C757" i="1" a="1"/>
  <c r="C922" i="1" a="1"/>
  <c r="C233" i="1" a="1"/>
  <c r="C444" i="1" a="1"/>
  <c r="C813" i="1" a="1"/>
  <c r="C1002" i="1" a="1"/>
  <c r="B5" i="1" a="1"/>
  <c r="I7" i="1" a="1"/>
  <c r="P6" i="1" a="1"/>
  <c r="V8" i="1" a="1"/>
  <c r="B7" i="1" a="1"/>
  <c r="C4" i="1" a="1"/>
  <c r="O8" i="1" a="1"/>
  <c r="U8" i="1" a="1"/>
  <c r="C5" i="1" a="1"/>
  <c r="B4" i="1" a="1"/>
  <c r="B45" i="1" a="1"/>
  <c r="B69" i="1" a="1"/>
  <c r="B93" i="1" a="1"/>
  <c r="B117" i="1" a="1"/>
  <c r="B141" i="1" a="1"/>
  <c r="B165" i="1" a="1"/>
  <c r="B189" i="1" a="1"/>
  <c r="B213" i="1" a="1"/>
  <c r="B237" i="1" a="1"/>
  <c r="B261" i="1" a="1"/>
  <c r="B285" i="1" a="1"/>
  <c r="B309" i="1" a="1"/>
  <c r="B333" i="1" a="1"/>
  <c r="B357" i="1" a="1"/>
  <c r="B381" i="1" a="1"/>
  <c r="B32" i="1" a="1"/>
  <c r="B61" i="1" a="1"/>
  <c r="B90" i="1" a="1"/>
  <c r="B119" i="1" a="1"/>
  <c r="B48" i="1" a="1"/>
  <c r="B77" i="1" a="1"/>
  <c r="B106" i="1" a="1"/>
  <c r="B134" i="1" a="1"/>
  <c r="B163" i="1" a="1"/>
  <c r="B192" i="1" a="1"/>
  <c r="B221" i="1" a="1"/>
  <c r="B250" i="1" a="1"/>
  <c r="B278" i="1" a="1"/>
  <c r="B307" i="1" a="1"/>
  <c r="B336" i="1" a="1"/>
  <c r="B365" i="1" a="1"/>
  <c r="B394" i="1" a="1"/>
  <c r="B440" i="1" a="1"/>
  <c r="B486" i="1" a="1"/>
  <c r="B532" i="1" a="1"/>
  <c r="B130" i="1" a="1"/>
  <c r="B186" i="1" a="1"/>
  <c r="B248" i="1" a="1"/>
  <c r="B319" i="1" a="1"/>
  <c r="B390" i="1" a="1"/>
  <c r="B491" i="1" a="1"/>
  <c r="B520" i="1" a="1"/>
  <c r="B554" i="1" a="1"/>
  <c r="B600" i="1" a="1"/>
  <c r="B652" i="1" a="1"/>
  <c r="B698" i="1" a="1"/>
  <c r="B35" i="1" a="1"/>
  <c r="B92" i="1" a="1"/>
  <c r="B179" i="1" a="1"/>
  <c r="B241" i="1" a="1"/>
  <c r="B312" i="1" a="1"/>
  <c r="B383" i="1" a="1"/>
  <c r="B420" i="1" a="1"/>
  <c r="B456" i="1" a="1"/>
  <c r="B548" i="1" a="1"/>
  <c r="B59" i="1" a="1"/>
  <c r="B144" i="1" a="1"/>
  <c r="B215" i="1" a="1"/>
  <c r="B277" i="1" a="1"/>
  <c r="B348" i="1" a="1"/>
  <c r="B410" i="1" a="1"/>
  <c r="B503" i="1" a="1"/>
  <c r="B168" i="1" a="1"/>
  <c r="B294" i="1" a="1"/>
  <c r="B418" i="1" a="1"/>
  <c r="B475" i="1" a="1"/>
  <c r="B546" i="1" a="1"/>
  <c r="B592" i="1" a="1"/>
  <c r="B628" i="1" a="1"/>
  <c r="B714" i="1" a="1"/>
  <c r="B742" i="1" a="1"/>
  <c r="B781" i="1" a="1"/>
  <c r="B805" i="1" a="1"/>
  <c r="B829" i="1" a="1"/>
  <c r="B853" i="1" a="1"/>
  <c r="B877" i="1" a="1"/>
  <c r="B901" i="1" a="1"/>
  <c r="B925" i="1" a="1"/>
  <c r="B949" i="1" a="1"/>
  <c r="B60" i="1" a="1"/>
  <c r="B158" i="1" a="1"/>
  <c r="B211" i="1" a="1"/>
  <c r="B337" i="1" a="1"/>
  <c r="B389" i="1" a="1"/>
  <c r="B457" i="1" a="1"/>
  <c r="B514" i="1" a="1"/>
  <c r="B555" i="1" a="1"/>
  <c r="B629" i="1" a="1"/>
  <c r="B657" i="1" a="1"/>
  <c r="B693" i="1" a="1"/>
  <c r="B769" i="1" a="1"/>
  <c r="B107" i="1" a="1"/>
  <c r="B259" i="1" a="1"/>
  <c r="B311" i="1" a="1"/>
  <c r="B415" i="1" a="1"/>
  <c r="B462" i="1" a="1"/>
  <c r="B559" i="1" a="1"/>
  <c r="B604" i="1" a="1"/>
  <c r="B690" i="1" a="1"/>
  <c r="B726" i="1" a="1"/>
  <c r="B766" i="1" a="1"/>
  <c r="B797" i="1" a="1"/>
  <c r="B821" i="1" a="1"/>
  <c r="B845" i="1" a="1"/>
  <c r="B869" i="1" a="1"/>
  <c r="B893" i="1" a="1"/>
  <c r="B917" i="1" a="1"/>
  <c r="B103" i="1" a="1"/>
  <c r="B208" i="1" a="1"/>
  <c r="B376" i="1" a="1"/>
  <c r="B479" i="1" a="1"/>
  <c r="B571" i="1" a="1"/>
  <c r="B648" i="1" a="1"/>
  <c r="B715" i="1" a="1"/>
  <c r="B818" i="1" a="1"/>
  <c r="B914" i="1" a="1"/>
  <c r="B1005" i="1" a="1"/>
  <c r="B898" i="1" a="1"/>
  <c r="B966" i="1" a="1"/>
  <c r="B1025" i="1" a="1"/>
  <c r="B266" i="1" a="1"/>
  <c r="B517" i="1" a="1"/>
  <c r="B761" i="1" a="1"/>
  <c r="B973" i="1" a="1"/>
  <c r="B253" i="1" a="1"/>
  <c r="B482" i="1" a="1"/>
  <c r="B641" i="1" a="1"/>
  <c r="B788" i="1" a="1"/>
  <c r="B939" i="1" a="1"/>
  <c r="B71" i="1" a="1"/>
  <c r="B181" i="1" a="1"/>
  <c r="B292" i="1" a="1"/>
  <c r="B416" i="1" a="1"/>
  <c r="B493" i="1" a="1"/>
  <c r="B560" i="1" a="1"/>
  <c r="B620" i="1" a="1"/>
  <c r="B687" i="1" a="1"/>
  <c r="B744" i="1" a="1"/>
  <c r="B786" i="1" a="1"/>
  <c r="B850" i="1" a="1"/>
  <c r="B922" i="1" a="1"/>
  <c r="B209" i="1" a="1"/>
  <c r="B455" i="1" a="1"/>
  <c r="B649" i="1" a="1"/>
  <c r="B843" i="1" a="1"/>
  <c r="B1006" i="1" a="1"/>
  <c r="B125" i="1" a="1"/>
  <c r="B239" i="1" a="1"/>
  <c r="B431" i="1" a="1"/>
  <c r="B542" i="1" a="1"/>
  <c r="B660" i="1" a="1"/>
  <c r="B771" i="1" a="1"/>
  <c r="B946" i="1" a="1"/>
  <c r="B65" i="1" a="1"/>
  <c r="B174" i="1" a="1"/>
  <c r="B287" i="1" a="1"/>
  <c r="B450" i="1" a="1"/>
  <c r="B535" i="1" a="1"/>
  <c r="B588" i="1" a="1"/>
  <c r="B635" i="1" a="1"/>
  <c r="B692" i="1" a="1"/>
  <c r="B783" i="1" a="1"/>
  <c r="B879" i="1" a="1"/>
  <c r="B983" i="1" a="1"/>
  <c r="B1029" i="1" a="1"/>
  <c r="B275" i="1" a="1"/>
  <c r="B385" i="1" a="1"/>
  <c r="B476" i="1" a="1"/>
  <c r="B547" i="1" a="1"/>
  <c r="B645" i="1" a="1"/>
  <c r="B712" i="1" a="1"/>
  <c r="B776" i="1" a="1"/>
  <c r="B872" i="1" a="1"/>
  <c r="B942" i="1" a="1"/>
  <c r="B977" i="1" a="1"/>
  <c r="B1023" i="1" a="1"/>
  <c r="B133" i="1" a="1"/>
  <c r="B118" i="1" a="1"/>
  <c r="B310" i="1" a="1"/>
  <c r="B564" i="1" a="1"/>
  <c r="B680" i="1" a="1"/>
  <c r="B804" i="1" a="1"/>
  <c r="B900" i="1" a="1"/>
  <c r="B772" i="1" a="1"/>
  <c r="B962" i="1" a="1"/>
  <c r="B1020" i="1" a="1"/>
  <c r="B340" i="1" a="1"/>
  <c r="B681" i="1" a="1"/>
  <c r="B545" i="1" a="1"/>
  <c r="B838" i="1" a="1"/>
  <c r="B94" i="1" a="1"/>
  <c r="B589" i="1" a="1"/>
  <c r="B840" i="1" a="1"/>
  <c r="B426" i="1" a="1"/>
  <c r="B936" i="1" a="1"/>
  <c r="B380" i="1" a="1"/>
  <c r="B796" i="1" a="1"/>
  <c r="B509" i="1" a="1"/>
  <c r="B1026" i="1" a="1"/>
  <c r="B366" i="1" a="1"/>
  <c r="B543" i="1" a="1"/>
  <c r="B738" i="1" a="1"/>
  <c r="B85" i="1" a="1"/>
  <c r="B544" i="1" a="1"/>
  <c r="B701" i="1" a="1"/>
  <c r="B164" i="1" a="1"/>
  <c r="B313" i="1" a="1"/>
  <c r="B644" i="1" a="1"/>
  <c r="B870" i="1" a="1"/>
  <c r="B976" i="1" a="1"/>
  <c r="B172" i="1" a="1"/>
  <c r="B525" i="1" a="1"/>
  <c r="B703" i="1" a="1"/>
  <c r="B888" i="1" a="1"/>
  <c r="B318" i="1" a="1"/>
  <c r="B526" i="1" a="1"/>
  <c r="B825" i="1" a="1"/>
  <c r="B978" i="1" a="1"/>
  <c r="B268" i="1" a="1"/>
  <c r="B573" i="1" a="1"/>
  <c r="B844" i="1" a="1"/>
  <c r="B240" i="1" a="1"/>
  <c r="B553" i="1" a="1"/>
  <c r="B764" i="1" a="1"/>
  <c r="B1002" i="1" a="1"/>
  <c r="B354" i="1" a="1"/>
  <c r="B576" i="1" a="1"/>
  <c r="B747" i="1" a="1"/>
  <c r="B926" i="1" a="1"/>
  <c r="B145" i="1" a="1"/>
  <c r="B436" i="1" a="1"/>
  <c r="B596" i="1" a="1"/>
  <c r="B710" i="1" a="1"/>
  <c r="B846" i="1" a="1"/>
  <c r="B941" i="1" a="1"/>
  <c r="B1015" i="1" a="1"/>
  <c r="B360" i="1" a="1"/>
  <c r="B537" i="1" a="1"/>
  <c r="B637" i="1" a="1"/>
  <c r="B767" i="1" a="1"/>
  <c r="B864" i="1" a="1"/>
  <c r="B971" i="1" a="1"/>
  <c r="B220" i="1" a="1"/>
  <c r="B465" i="1" a="1"/>
  <c r="B656" i="1" a="1"/>
  <c r="B768" i="1" a="1"/>
  <c r="B944" i="1" a="1"/>
  <c r="B1007" i="1" a="1"/>
  <c r="B575" i="1" a="1"/>
  <c r="B1014" i="1" a="1"/>
  <c r="P44" i="1" a="1"/>
  <c r="P68" i="1" a="1"/>
  <c r="P33" i="1" a="1"/>
  <c r="P57" i="1" a="1"/>
  <c r="P81" i="1" a="1"/>
  <c r="P105" i="1" a="1"/>
  <c r="P129" i="1" a="1"/>
  <c r="P153" i="1" a="1"/>
  <c r="P177" i="1" a="1"/>
  <c r="P41" i="1" a="1"/>
  <c r="P103" i="1" a="1"/>
  <c r="P132" i="1" a="1"/>
  <c r="P161" i="1" a="1"/>
  <c r="P190" i="1" a="1"/>
  <c r="P236" i="1" a="1"/>
  <c r="P282" i="1" a="1"/>
  <c r="P328" i="1" a="1"/>
  <c r="P380" i="1" a="1"/>
  <c r="P426" i="1" a="1"/>
  <c r="P472" i="1" a="1"/>
  <c r="P524" i="1" a="1"/>
  <c r="P84" i="1" a="1"/>
  <c r="P239" i="1" a="1"/>
  <c r="P285" i="1" a="1"/>
  <c r="P337" i="1" a="1"/>
  <c r="P383" i="1" a="1"/>
  <c r="P429" i="1" a="1"/>
  <c r="P481" i="1" a="1"/>
  <c r="P527" i="1" a="1"/>
  <c r="P53" i="1" a="1"/>
  <c r="P116" i="1" a="1"/>
  <c r="P186" i="1" a="1"/>
  <c r="P250" i="1" a="1"/>
  <c r="P305" i="1" a="1"/>
  <c r="P352" i="1" a="1"/>
  <c r="P423" i="1" a="1"/>
  <c r="P462" i="1" a="1"/>
  <c r="P554" i="1" a="1"/>
  <c r="P600" i="1" a="1"/>
  <c r="P646" i="1" a="1"/>
  <c r="P37" i="1" a="1"/>
  <c r="P85" i="1" a="1"/>
  <c r="P163" i="1" a="1"/>
  <c r="P245" i="1" a="1"/>
  <c r="P300" i="1" a="1"/>
  <c r="P363" i="1" a="1"/>
  <c r="P410" i="1" a="1"/>
  <c r="P473" i="1" a="1"/>
  <c r="P520" i="1" a="1"/>
  <c r="P570" i="1" a="1"/>
  <c r="P616" i="1" a="1"/>
  <c r="P668" i="1" a="1"/>
  <c r="P700" i="1" a="1"/>
  <c r="P724" i="1" a="1"/>
  <c r="P748" i="1" a="1"/>
  <c r="P772" i="1" a="1"/>
  <c r="P796" i="1" a="1"/>
  <c r="P820" i="1" a="1"/>
  <c r="P79" i="1" a="1"/>
  <c r="P174" i="1" a="1"/>
  <c r="P299" i="1" a="1"/>
  <c r="P346" i="1" a="1"/>
  <c r="P393" i="1" a="1"/>
  <c r="P431" i="1" a="1"/>
  <c r="P487" i="1" a="1"/>
  <c r="P552" i="1" a="1"/>
  <c r="P607" i="1" a="1"/>
  <c r="P662" i="1" a="1"/>
  <c r="P729" i="1" a="1"/>
  <c r="P801" i="1" a="1"/>
  <c r="P869" i="1" a="1"/>
  <c r="P915" i="1" a="1"/>
  <c r="P967" i="1" a="1"/>
  <c r="P1013" i="1" a="1"/>
  <c r="P92" i="1" a="1"/>
  <c r="P144" i="1" a="1"/>
  <c r="P215" i="1" a="1"/>
  <c r="P290" i="1" a="1"/>
  <c r="P441" i="1" a="1"/>
  <c r="P488" i="1" a="1"/>
  <c r="P535" i="1" a="1"/>
  <c r="P592" i="1" a="1"/>
  <c r="P678" i="1" a="1"/>
  <c r="P715" i="1" a="1"/>
  <c r="P773" i="1" a="1"/>
  <c r="P73" i="1" a="1"/>
  <c r="P179" i="1" a="1"/>
  <c r="P303" i="1" a="1"/>
  <c r="P359" i="1" a="1"/>
  <c r="P397" i="1" a="1"/>
  <c r="P435" i="1" a="1"/>
  <c r="P491" i="1" a="1"/>
  <c r="P547" i="1" a="1"/>
  <c r="P602" i="1" a="1"/>
  <c r="P665" i="1" a="1"/>
  <c r="P703" i="1" a="1"/>
  <c r="P761" i="1" a="1"/>
  <c r="P804" i="1" a="1"/>
  <c r="P865" i="1" a="1"/>
  <c r="P911" i="1" a="1"/>
  <c r="P957" i="1" a="1"/>
  <c r="P1009" i="1" a="1"/>
  <c r="P107" i="1" a="1"/>
  <c r="P169" i="1" a="1"/>
  <c r="P88" i="1" a="1"/>
  <c r="P166" i="1" a="1"/>
  <c r="P238" i="1" a="1"/>
  <c r="P287" i="1" a="1"/>
  <c r="P351" i="1" a="1"/>
  <c r="P502" i="1" a="1"/>
  <c r="P603" i="1" a="1"/>
  <c r="P676" i="1" a="1"/>
  <c r="P792" i="1" a="1"/>
  <c r="P851" i="1" a="1"/>
  <c r="P914" i="1" a="1"/>
  <c r="P961" i="1" a="1"/>
  <c r="P1024" i="1" a="1"/>
  <c r="P136" i="1" a="1"/>
  <c r="P364" i="1" a="1"/>
  <c r="P414" i="1" a="1"/>
  <c r="P490" i="1" a="1"/>
  <c r="P582" i="1" a="1"/>
  <c r="P656" i="1" a="1"/>
  <c r="P735" i="1" a="1"/>
  <c r="P774" i="1" a="1"/>
  <c r="P860" i="1" a="1"/>
  <c r="P899" i="1" a="1"/>
  <c r="P985" i="1" a="1"/>
  <c r="P72" i="1" a="1"/>
  <c r="P227" i="1" a="1"/>
  <c r="P288" i="1" a="1"/>
  <c r="P340" i="1" a="1"/>
  <c r="P466" i="1" a="1"/>
  <c r="P541" i="1" a="1"/>
  <c r="P636" i="1" a="1"/>
  <c r="P698" i="1" a="1"/>
  <c r="P793" i="1" a="1"/>
  <c r="P868" i="1" a="1"/>
  <c r="P907" i="1" a="1"/>
  <c r="P978" i="1" a="1"/>
  <c r="P1025" i="1" a="1"/>
  <c r="P140" i="1" a="1"/>
  <c r="P202" i="1" a="1"/>
  <c r="P255" i="1" a="1"/>
  <c r="P368" i="1" a="1"/>
  <c r="P456" i="1" a="1"/>
  <c r="P586" i="1" a="1"/>
  <c r="P669" i="1" a="1"/>
  <c r="P777" i="1" a="1"/>
  <c r="P831" i="1" a="1"/>
  <c r="P886" i="1" a="1"/>
  <c r="P933" i="1" a="1"/>
  <c r="P1004" i="1" a="1"/>
  <c r="P78" i="1" a="1"/>
  <c r="P173" i="1" a="1"/>
  <c r="P244" i="1" a="1"/>
  <c r="P319" i="1" a="1"/>
  <c r="P419" i="1" a="1"/>
  <c r="P495" i="1" a="1"/>
  <c r="P545" i="1" a="1"/>
  <c r="P608" i="1" a="1"/>
  <c r="P671" i="1" a="1"/>
  <c r="P720" i="1" a="1"/>
  <c r="P788" i="1" a="1"/>
  <c r="P855" i="1" a="1"/>
  <c r="P910" i="1" a="1"/>
  <c r="P965" i="1" a="1"/>
  <c r="P1028" i="1" a="1"/>
  <c r="P142" i="1" a="1"/>
  <c r="P257" i="1" a="1"/>
  <c r="P382" i="1" a="1"/>
  <c r="P353" i="1" a="1"/>
  <c r="P447" i="1" a="1"/>
  <c r="P622" i="1" a="1"/>
  <c r="P743" i="1" a="1"/>
  <c r="P905" i="1" a="1"/>
  <c r="P973" i="1" a="1"/>
  <c r="P254" i="1" a="1"/>
  <c r="P471" i="1" a="1"/>
  <c r="P643" i="1" a="1"/>
  <c r="P747" i="1" a="1"/>
  <c r="P840" i="1" a="1"/>
  <c r="P893" i="1" a="1"/>
  <c r="P1014" i="1" a="1"/>
  <c r="P258" i="1" a="1"/>
  <c r="P428" i="1" a="1"/>
  <c r="P573" i="1" a="1"/>
  <c r="P663" i="1" a="1"/>
  <c r="P935" i="1" a="1"/>
  <c r="P989" i="1" a="1"/>
  <c r="P145" i="1" a="1"/>
  <c r="P334" i="1" a="1"/>
  <c r="P517" i="1" a="1"/>
  <c r="P683" i="1" a="1"/>
  <c r="P813" i="1" a="1"/>
  <c r="P896" i="1" a="1"/>
  <c r="P963" i="1" a="1"/>
  <c r="P1030" i="1" a="1"/>
  <c r="P208" i="1" a="1"/>
  <c r="P361" i="1" a="1"/>
  <c r="P518" i="1" a="1"/>
  <c r="P630" i="1" a="1"/>
  <c r="P750" i="1" a="1"/>
  <c r="P815" i="1" a="1"/>
  <c r="P951" i="1" a="1"/>
  <c r="P1018" i="1" a="1"/>
  <c r="P342" i="1" a="1"/>
  <c r="P564" i="1" a="1"/>
  <c r="P652" i="1" a="1"/>
  <c r="P817" i="1" a="1"/>
  <c r="P873" i="1" a="1"/>
  <c r="P940" i="1" a="1"/>
  <c r="P246" i="1" a="1"/>
  <c r="P523" i="1" a="1"/>
  <c r="P690" i="1" a="1"/>
  <c r="P771" i="1" a="1"/>
  <c r="P861" i="1" a="1"/>
  <c r="P968" i="1" a="1"/>
  <c r="P98" i="1" a="1"/>
  <c r="P272" i="1" a="1"/>
  <c r="P420" i="1" a="1"/>
  <c r="P548" i="1" a="1"/>
  <c r="P637" i="1" a="1"/>
  <c r="P834" i="1" a="1"/>
  <c r="P916" i="1" a="1"/>
  <c r="P52" i="1" a="1"/>
  <c r="P411" i="1" a="1"/>
  <c r="P612" i="1" a="1"/>
  <c r="P752" i="1" a="1"/>
  <c r="P816" i="1" a="1"/>
  <c r="P991" i="1" a="1"/>
  <c r="P184" i="1" a="1"/>
  <c r="P366" i="1" a="1"/>
  <c r="P542" i="1" a="1"/>
  <c r="P632" i="1" a="1"/>
  <c r="P832" i="1" a="1"/>
  <c r="P966" i="1" a="1"/>
  <c r="P59" i="1" a="1"/>
  <c r="P849" i="1" a="1"/>
  <c r="P274" i="1" a="1"/>
  <c r="P131" i="1" a="1"/>
  <c r="P943" i="1" a="1"/>
  <c r="P864" i="1" a="1"/>
  <c r="P791" i="1" a="1"/>
  <c r="P807" i="1" a="1"/>
  <c r="P486" i="1" a="1"/>
  <c r="P588" i="1" a="1"/>
  <c r="P727" i="1" a="1"/>
  <c r="P398" i="1" a="1"/>
  <c r="P641" i="1" a="1"/>
  <c r="N44" i="1" a="1"/>
  <c r="N68" i="1" a="1"/>
  <c r="N92" i="1" a="1"/>
  <c r="N65" i="1" a="1"/>
  <c r="N147" i="1" a="1"/>
  <c r="N291" i="1" a="1"/>
  <c r="N435" i="1" a="1"/>
  <c r="N49" i="1" a="1"/>
  <c r="N97" i="1" a="1"/>
  <c r="N126" i="1" a="1"/>
  <c r="N155" i="1" a="1"/>
  <c r="N184" i="1" a="1"/>
  <c r="N212" i="1" a="1"/>
  <c r="N241" i="1" a="1"/>
  <c r="N270" i="1" a="1"/>
  <c r="N299" i="1" a="1"/>
  <c r="N328" i="1" a="1"/>
  <c r="N356" i="1" a="1"/>
  <c r="N385" i="1" a="1"/>
  <c r="N414" i="1" a="1"/>
  <c r="N443" i="1" a="1"/>
  <c r="N472" i="1" a="1"/>
  <c r="N500" i="1" a="1"/>
  <c r="N529" i="1" a="1"/>
  <c r="N555" i="1" a="1"/>
  <c r="N579" i="1" a="1"/>
  <c r="N603" i="1" a="1"/>
  <c r="N90" i="1" a="1"/>
  <c r="N213" i="1" a="1"/>
  <c r="N357" i="1" a="1"/>
  <c r="N35" i="1" a="1"/>
  <c r="N83" i="1" a="1"/>
  <c r="N120" i="1" a="1"/>
  <c r="N149" i="1" a="1"/>
  <c r="N178" i="1" a="1"/>
  <c r="N206" i="1" a="1"/>
  <c r="N235" i="1" a="1"/>
  <c r="N264" i="1" a="1"/>
  <c r="N293" i="1" a="1"/>
  <c r="N322" i="1" a="1"/>
  <c r="N350" i="1" a="1"/>
  <c r="N379" i="1" a="1"/>
  <c r="N408" i="1" a="1"/>
  <c r="N437" i="1" a="1"/>
  <c r="N466" i="1" a="1"/>
  <c r="N494" i="1" a="1"/>
  <c r="N523" i="1" a="1"/>
  <c r="N550" i="1" a="1"/>
  <c r="N574" i="1" a="1"/>
  <c r="N598" i="1" a="1"/>
  <c r="N171" i="1" a="1"/>
  <c r="N387" i="1" a="1"/>
  <c r="N565" i="1" a="1"/>
  <c r="N633" i="1" a="1"/>
  <c r="N47" i="1" a="1"/>
  <c r="N95" i="1" a="1"/>
  <c r="N138" i="1" a="1"/>
  <c r="N181" i="1" a="1"/>
  <c r="N224" i="1" a="1"/>
  <c r="N268" i="1" a="1"/>
  <c r="N311" i="1" a="1"/>
  <c r="N354" i="1" a="1"/>
  <c r="N397" i="1" a="1"/>
  <c r="N440" i="1" a="1"/>
  <c r="N484" i="1" a="1"/>
  <c r="N533" i="1" a="1"/>
  <c r="N620" i="1" a="1"/>
  <c r="N666" i="1" a="1"/>
  <c r="N129" i="1" a="1"/>
  <c r="N345" i="1" a="1"/>
  <c r="N514" i="1" a="1"/>
  <c r="N566" i="1" a="1"/>
  <c r="N614" i="1" a="1"/>
  <c r="N660" i="1" a="1"/>
  <c r="N114" i="1" a="1"/>
  <c r="N200" i="1" a="1"/>
  <c r="N273" i="1" a="1"/>
  <c r="N346" i="1" a="1"/>
  <c r="N432" i="1" a="1"/>
  <c r="N501" i="1" a="1"/>
  <c r="N615" i="1" a="1"/>
  <c r="N649" i="1" a="1"/>
  <c r="N697" i="1" a="1"/>
  <c r="N725" i="1" a="1"/>
  <c r="N754" i="1" a="1"/>
  <c r="N795" i="1" a="1"/>
  <c r="N840" i="1" a="1"/>
  <c r="N864" i="1" a="1"/>
  <c r="N888" i="1" a="1"/>
  <c r="N912" i="1" a="1"/>
  <c r="N936" i="1" a="1"/>
  <c r="N960" i="1" a="1"/>
  <c r="N984" i="1" a="1"/>
  <c r="N1008" i="1" a="1"/>
  <c r="N69" i="1" a="1"/>
  <c r="N201" i="1" a="1"/>
  <c r="N317" i="1" a="1"/>
  <c r="N446" i="1" a="1"/>
  <c r="N594" i="1" a="1"/>
  <c r="N726" i="1" a="1"/>
  <c r="N802" i="1" a="1"/>
  <c r="N54" i="1" a="1"/>
  <c r="N131" i="1" a="1"/>
  <c r="N217" i="1" a="1"/>
  <c r="N288" i="1" a="1"/>
  <c r="N374" i="1" a="1"/>
  <c r="N447" i="1" a="1"/>
  <c r="N517" i="1" a="1"/>
  <c r="N584" i="1" a="1"/>
  <c r="N632" i="1" a="1"/>
  <c r="N683" i="1" a="1"/>
  <c r="N712" i="1" a="1"/>
  <c r="N741" i="1" a="1"/>
  <c r="N770" i="1" a="1"/>
  <c r="N822" i="1" a="1"/>
  <c r="N847" i="1" a="1"/>
  <c r="N871" i="1" a="1"/>
  <c r="N895" i="1" a="1"/>
  <c r="N919" i="1" a="1"/>
  <c r="N943" i="1" a="1"/>
  <c r="N967" i="1" a="1"/>
  <c r="N991" i="1" a="1"/>
  <c r="N1015" i="1" a="1"/>
  <c r="N72" i="1" a="1"/>
  <c r="N145" i="1" a="1"/>
  <c r="N232" i="1" a="1"/>
  <c r="N290" i="1" a="1"/>
  <c r="N377" i="1" a="1"/>
  <c r="N463" i="1" a="1"/>
  <c r="N553" i="1" a="1"/>
  <c r="N676" i="1" a="1"/>
  <c r="N777" i="1" a="1"/>
  <c r="N823" i="1" a="1"/>
  <c r="N94" i="1" a="1"/>
  <c r="N152" i="1" a="1"/>
  <c r="N239" i="1" a="1"/>
  <c r="N325" i="1" a="1"/>
  <c r="N396" i="1" a="1"/>
  <c r="N482" i="1" a="1"/>
  <c r="N557" i="1" a="1"/>
  <c r="N619" i="1" a="1"/>
  <c r="N671" i="1" a="1"/>
  <c r="N701" i="1" a="1"/>
  <c r="N730" i="1" a="1"/>
  <c r="N759" i="1" a="1"/>
  <c r="N793" i="1" a="1"/>
  <c r="N838" i="1" a="1"/>
  <c r="N862" i="1" a="1"/>
  <c r="N886" i="1" a="1"/>
  <c r="N910" i="1" a="1"/>
  <c r="N934" i="1" a="1"/>
  <c r="N958" i="1" a="1"/>
  <c r="N982" i="1" a="1"/>
  <c r="N1006" i="1" a="1"/>
  <c r="N1030" i="1" a="1"/>
  <c r="N124" i="1" a="1"/>
  <c r="G766" i="1" a="1"/>
  <c r="G835" i="1" a="1"/>
  <c r="G921" i="1" a="1"/>
  <c r="G969" i="1" a="1"/>
  <c r="G1017" i="1" a="1"/>
  <c r="G163" i="1" a="1"/>
  <c r="G317" i="1" a="1"/>
  <c r="G41" i="1" a="1"/>
  <c r="G102" i="1" a="1"/>
  <c r="G240" i="1" a="1"/>
  <c r="G389" i="1" a="1"/>
  <c r="G502" i="1" a="1"/>
  <c r="G620" i="1" a="1"/>
  <c r="G730" i="1" a="1"/>
  <c r="G788" i="1" a="1"/>
  <c r="G829" i="1" a="1"/>
  <c r="G883" i="1" a="1"/>
  <c r="G244" i="1" a="1"/>
  <c r="G428" i="1" a="1"/>
  <c r="G503" i="1" a="1"/>
  <c r="G564" i="1" a="1"/>
  <c r="G690" i="1" a="1"/>
  <c r="G761" i="1" a="1"/>
  <c r="G838" i="1" a="1"/>
  <c r="G898" i="1" a="1"/>
  <c r="G923" i="1" a="1"/>
  <c r="G947" i="1" a="1"/>
  <c r="G971" i="1" a="1"/>
  <c r="G995" i="1" a="1"/>
  <c r="G1019" i="1" a="1"/>
  <c r="G89" i="1" a="1"/>
  <c r="G167" i="1" a="1"/>
  <c r="G419" i="1" a="1"/>
  <c r="G648" i="1" a="1"/>
  <c r="G820" i="1" a="1"/>
  <c r="G885" i="1" a="1"/>
  <c r="G991" i="1" a="1"/>
  <c r="G494" i="1" a="1"/>
  <c r="G836" i="1" a="1"/>
  <c r="G994" i="1" a="1"/>
  <c r="G516" i="1" a="1"/>
  <c r="G901" i="1" a="1"/>
  <c r="G841" i="1" a="1"/>
  <c r="G545" i="1" a="1"/>
  <c r="G78" i="1" a="1"/>
  <c r="G370" i="1" a="1"/>
  <c r="G573" i="1" a="1"/>
  <c r="G691" i="1" a="1"/>
  <c r="G833" i="1" a="1"/>
  <c r="G961" i="1" a="1"/>
  <c r="G256" i="1" a="1"/>
  <c r="G425" i="1" a="1"/>
  <c r="G576" i="1" a="1"/>
  <c r="G654" i="1" a="1"/>
  <c r="G729" i="1" a="1"/>
  <c r="G808" i="1" a="1"/>
  <c r="G900" i="1" a="1"/>
  <c r="G1003" i="1" a="1"/>
  <c r="G124" i="1" a="1"/>
  <c r="G352" i="1" a="1"/>
  <c r="G469" i="1" a="1"/>
  <c r="G864" i="1" a="1"/>
  <c r="G292" i="1" a="1"/>
  <c r="G677" i="1" a="1"/>
  <c r="G954" i="1" a="1"/>
  <c r="G815" i="1" a="1"/>
  <c r="G988" i="1" a="1"/>
  <c r="G416" i="1" a="1"/>
  <c r="G665" i="1" a="1"/>
  <c r="G168" i="1" a="1"/>
  <c r="G353" i="1" a="1"/>
  <c r="G560" i="1" a="1"/>
  <c r="G698" i="1" a="1"/>
  <c r="G865" i="1" a="1"/>
  <c r="G913" i="1" a="1"/>
  <c r="G996" i="1" a="1"/>
  <c r="G355" i="1" a="1"/>
  <c r="G456" i="1" a="1"/>
  <c r="G542" i="1" a="1"/>
  <c r="G699" i="1" a="1"/>
  <c r="G812" i="1" a="1"/>
  <c r="G892" i="1" a="1"/>
  <c r="G976" i="1" a="1"/>
  <c r="G408" i="1" a="1"/>
  <c r="G602" i="1" a="1"/>
  <c r="G752" i="1" a="1"/>
  <c r="G925" i="1" a="1"/>
  <c r="G1008" i="1" a="1"/>
  <c r="G209" i="1" a="1"/>
  <c r="G703" i="1" a="1"/>
  <c r="G967" i="1" a="1"/>
  <c r="G816" i="1" a="1"/>
  <c r="G949" i="1" a="1"/>
  <c r="G307" i="1" a="1"/>
  <c r="G871" i="1" a="1"/>
  <c r="G467" i="1" a="1"/>
  <c r="G723" i="1" a="1"/>
  <c r="G185" i="1" a="1"/>
  <c r="G755" i="1" a="1"/>
  <c r="G668" i="1" a="1"/>
  <c r="G529" i="1" a="1"/>
  <c r="G1030" i="1" a="1"/>
  <c r="G487" i="1" a="1"/>
  <c r="G884" i="1" a="1"/>
  <c r="G742" i="1" a="1"/>
  <c r="G549" i="1" a="1"/>
  <c r="G31" i="1" a="1"/>
  <c r="C51" i="1" a="1"/>
  <c r="C75" i="1" a="1"/>
  <c r="C99" i="1" a="1"/>
  <c r="C123" i="1" a="1"/>
  <c r="C147" i="1" a="1"/>
  <c r="C171" i="1" a="1"/>
  <c r="C195" i="1" a="1"/>
  <c r="C219" i="1" a="1"/>
  <c r="C243" i="1" a="1"/>
  <c r="C267" i="1" a="1"/>
  <c r="C291" i="1" a="1"/>
  <c r="C315" i="1" a="1"/>
  <c r="C339" i="1" a="1"/>
  <c r="C363" i="1" a="1"/>
  <c r="C47" i="1" a="1"/>
  <c r="C76" i="1" a="1"/>
  <c r="C104" i="1" a="1"/>
  <c r="C133" i="1" a="1"/>
  <c r="C162" i="1" a="1"/>
  <c r="C191" i="1" a="1"/>
  <c r="C220" i="1" a="1"/>
  <c r="C248" i="1" a="1"/>
  <c r="C277" i="1" a="1"/>
  <c r="C306" i="1" a="1"/>
  <c r="C335" i="1" a="1"/>
  <c r="C364" i="1" a="1"/>
  <c r="C410" i="1" a="1"/>
  <c r="C456" i="1" a="1"/>
  <c r="C502" i="1" a="1"/>
  <c r="C378" i="1" a="1"/>
  <c r="C424" i="1" a="1"/>
  <c r="C476" i="1" a="1"/>
  <c r="C522" i="1" a="1"/>
  <c r="C400" i="1" a="1"/>
  <c r="C452" i="1" a="1"/>
  <c r="C498" i="1" a="1"/>
  <c r="C34" i="1" a="1"/>
  <c r="C91" i="1" a="1"/>
  <c r="C149" i="1" a="1"/>
  <c r="C206" i="1" a="1"/>
  <c r="C264" i="1" a="1"/>
  <c r="C322" i="1" a="1"/>
  <c r="C405" i="1" a="1"/>
  <c r="C466" i="1" a="1"/>
  <c r="C518" i="1" a="1"/>
  <c r="C565" i="1" a="1"/>
  <c r="C601" i="1" a="1"/>
  <c r="C637" i="1" a="1"/>
  <c r="C85" i="1" a="1"/>
  <c r="C143" i="1" a="1"/>
  <c r="C200" i="1" a="1"/>
  <c r="C258" i="1" a="1"/>
  <c r="C316" i="1" a="1"/>
  <c r="C373" i="1" a="1"/>
  <c r="C416" i="1" a="1"/>
  <c r="C504" i="1" a="1"/>
  <c r="C539" i="1" a="1"/>
  <c r="C597" i="1" a="1"/>
  <c r="C653" i="1" a="1"/>
  <c r="C677" i="1" a="1"/>
  <c r="C38" i="1" a="1"/>
  <c r="C154" i="1" a="1"/>
  <c r="C269" i="1" a="1"/>
  <c r="C375" i="1" a="1"/>
  <c r="C409" i="1" a="1"/>
  <c r="C514" i="1" a="1"/>
  <c r="C46" i="1" a="1"/>
  <c r="C161" i="1" a="1"/>
  <c r="C276" i="1" a="1"/>
  <c r="C379" i="1" a="1"/>
  <c r="C460" i="1" a="1"/>
  <c r="C519" i="1" a="1"/>
  <c r="C585" i="1" a="1"/>
  <c r="C667" i="1" a="1"/>
  <c r="C722" i="1" a="1"/>
  <c r="C768" i="1" a="1"/>
  <c r="C814" i="1" a="1"/>
  <c r="C845" i="1" a="1"/>
  <c r="C869" i="1" a="1"/>
  <c r="C893" i="1" a="1"/>
  <c r="C917" i="1" a="1"/>
  <c r="C941" i="1" a="1"/>
  <c r="C965" i="1" a="1"/>
  <c r="C989" i="1" a="1"/>
  <c r="C1013" i="1" a="1"/>
  <c r="C789" i="1" a="1"/>
  <c r="C864" i="1" a="1"/>
  <c r="C48" i="1" a="1"/>
  <c r="C150" i="1" a="1"/>
  <c r="C202" i="1" a="1"/>
  <c r="C304" i="1" a="1"/>
  <c r="C461" i="1" a="1"/>
  <c r="C577" i="1" a="1"/>
  <c r="C629" i="1" a="1"/>
  <c r="C682" i="1" a="1"/>
  <c r="C736" i="1" a="1"/>
  <c r="C788" i="1" a="1"/>
  <c r="C36" i="1" a="1"/>
  <c r="C113" i="1" a="1"/>
  <c r="C203" i="1" a="1"/>
  <c r="C266" i="1" a="1"/>
  <c r="C343" i="1" a="1"/>
  <c r="C403" i="1" a="1"/>
  <c r="C520" i="1" a="1"/>
  <c r="C595" i="1" a="1"/>
  <c r="C661" i="1" a="1"/>
  <c r="C710" i="1" a="1"/>
  <c r="C756" i="1" a="1"/>
  <c r="C834" i="1" a="1"/>
  <c r="C882" i="1" a="1"/>
  <c r="C78" i="1" a="1"/>
  <c r="C167" i="1" a="1"/>
  <c r="C244" i="1" a="1"/>
  <c r="C308" i="1" a="1"/>
  <c r="C395" i="1" a="1"/>
  <c r="C465" i="1" a="1"/>
  <c r="C563" i="1" a="1"/>
  <c r="C632" i="1" a="1"/>
  <c r="C699" i="1" a="1"/>
  <c r="C751" i="1" a="1"/>
  <c r="C797" i="1" a="1"/>
  <c r="C53" i="1" a="1"/>
  <c r="C168" i="1" a="1"/>
  <c r="C283" i="1" a="1"/>
  <c r="C396" i="1" a="1"/>
  <c r="C501" i="1" a="1"/>
  <c r="C546" i="1" a="1"/>
  <c r="C589" i="1" a="1"/>
  <c r="C656" i="1" a="1"/>
  <c r="C706" i="1" a="1"/>
  <c r="C758" i="1" a="1"/>
  <c r="C804" i="1" a="1"/>
  <c r="C842" i="1" a="1"/>
  <c r="C866" i="1" a="1"/>
  <c r="C102" i="1" a="1"/>
  <c r="C323" i="1" a="1"/>
  <c r="C446" i="1" a="1"/>
  <c r="C526" i="1" a="1"/>
  <c r="C648" i="1" a="1"/>
  <c r="C776" i="1" a="1"/>
  <c r="C891" i="1" a="1"/>
  <c r="C932" i="1" a="1"/>
  <c r="C980" i="1" a="1"/>
  <c r="C1028" i="1" a="1"/>
  <c r="C988" i="1" a="1"/>
  <c r="C548" i="1" a="1"/>
  <c r="C687" i="1" a="1"/>
  <c r="C884" i="1" a="1"/>
  <c r="C925" i="1" a="1"/>
  <c r="C973" i="1" a="1"/>
  <c r="C1021" i="1" a="1"/>
  <c r="C84" i="1" a="1"/>
  <c r="C196" i="1" a="1"/>
  <c r="C389" i="1" a="1"/>
  <c r="C491" i="1" a="1"/>
  <c r="C636" i="1" a="1"/>
  <c r="C767" i="1" a="1"/>
  <c r="C812" i="1" a="1"/>
  <c r="C865" i="1" a="1"/>
  <c r="C942" i="1" a="1"/>
  <c r="C990" i="1" a="1"/>
  <c r="C174" i="1" a="1"/>
  <c r="C59" i="1" a="1"/>
  <c r="C146" i="1" a="1"/>
  <c r="C281" i="1" a="1"/>
  <c r="C388" i="1" a="1"/>
  <c r="C506" i="1" a="1"/>
  <c r="C575" i="1" a="1"/>
  <c r="C673" i="1" a="1"/>
  <c r="C766" i="1" a="1"/>
  <c r="C811" i="1" a="1"/>
  <c r="C883" i="1" a="1"/>
  <c r="C260" i="1" a="1"/>
  <c r="C510" i="1" a="1"/>
  <c r="C700" i="1" a="1"/>
  <c r="C89" i="1" a="1"/>
  <c r="C352" i="1" a="1"/>
  <c r="C566" i="1" a="1"/>
  <c r="C640" i="1" a="1"/>
  <c r="C759" i="1" a="1"/>
  <c r="C856" i="1" a="1"/>
  <c r="C903" i="1" a="1"/>
  <c r="C951" i="1" a="1"/>
  <c r="C999" i="1" a="1"/>
  <c r="C92" i="1" a="1"/>
  <c r="C199" i="1" a="1"/>
  <c r="C311" i="1" a="1"/>
  <c r="C435" i="1" a="1"/>
  <c r="C582" i="1" a="1"/>
  <c r="C691" i="1" a="1"/>
  <c r="C737" i="1" a="1"/>
  <c r="C847" i="1" a="1"/>
  <c r="C912" i="1" a="1"/>
  <c r="C960" i="1" a="1"/>
  <c r="C1008" i="1" a="1"/>
  <c r="C115" i="1" a="1"/>
  <c r="C336" i="1" a="1"/>
  <c r="C436" i="1" a="1"/>
  <c r="C567" i="1" a="1"/>
  <c r="C627" i="1" a="1"/>
  <c r="C748" i="1" a="1"/>
  <c r="C793" i="1" a="1"/>
  <c r="C904" i="1" a="1"/>
  <c r="C1000" i="1" a="1"/>
  <c r="C445" i="1" a="1"/>
  <c r="C707" i="1" a="1"/>
  <c r="C963" i="1" a="1"/>
  <c r="C453" i="1" a="1"/>
  <c r="C739" i="1" a="1"/>
  <c r="C889" i="1" a="1"/>
  <c r="C1003" i="1" a="1"/>
  <c r="C361" i="1" a="1"/>
  <c r="C657" i="1" a="1"/>
  <c r="C910" i="1" a="1"/>
  <c r="C1026" i="1" a="1"/>
  <c r="C412" i="1" a="1"/>
  <c r="C740" i="1" a="1"/>
  <c r="C987" i="1" a="1"/>
  <c r="C204" i="1" a="1"/>
  <c r="C588" i="1" a="1"/>
  <c r="C741" i="1" a="1"/>
  <c r="C931" i="1" a="1"/>
  <c r="C906" i="1" a="1"/>
  <c r="C374" i="1" a="1"/>
  <c r="C557" i="1" a="1"/>
  <c r="C773" i="1" a="1"/>
  <c r="C934" i="1" a="1"/>
  <c r="C77" i="1" a="1"/>
  <c r="C319" i="1" a="1"/>
  <c r="C694" i="1" a="1"/>
  <c r="C937" i="1" a="1"/>
  <c r="C480" i="1" a="1"/>
  <c r="C724" i="1" a="1"/>
  <c r="C938" i="1" a="1"/>
  <c r="C224" i="1" a="1"/>
  <c r="C570" i="1" a="1"/>
  <c r="C806" i="1" a="1"/>
  <c r="C978" i="1" a="1"/>
  <c r="C440" i="1" a="1"/>
  <c r="C643" i="1" a="1"/>
  <c r="C835" i="1" a="1"/>
  <c r="C961" i="1" a="1"/>
  <c r="C441" i="1" a="1"/>
  <c r="C672" i="1" a="1"/>
  <c r="C785" i="1" a="1"/>
  <c r="C962" i="1" a="1"/>
  <c r="C294" i="1" a="1"/>
  <c r="C574" i="1" a="1"/>
  <c r="C861" i="1" a="1"/>
  <c r="C31" i="1" a="1"/>
  <c r="P4" i="1" a="1"/>
  <c r="P5" i="1" a="1"/>
  <c r="U4" i="1" a="1"/>
  <c r="J4" i="1" a="1"/>
  <c r="O7" i="1" a="1"/>
  <c r="P8" i="1" a="1"/>
  <c r="C7" i="1" a="1"/>
  <c r="I8" i="1" a="1"/>
  <c r="U5" i="1" a="1"/>
  <c r="J6" i="1" a="1"/>
  <c r="B51" i="1" a="1"/>
  <c r="B75" i="1" a="1"/>
  <c r="B99" i="1" a="1"/>
  <c r="B123" i="1" a="1"/>
  <c r="B147" i="1" a="1"/>
  <c r="B171" i="1" a="1"/>
  <c r="B195" i="1" a="1"/>
  <c r="B219" i="1" a="1"/>
  <c r="B243" i="1" a="1"/>
  <c r="B267" i="1" a="1"/>
  <c r="B291" i="1" a="1"/>
  <c r="B315" i="1" a="1"/>
  <c r="B339" i="1" a="1"/>
  <c r="B363" i="1" a="1"/>
  <c r="B387" i="1" a="1"/>
  <c r="B40" i="1" a="1"/>
  <c r="B68" i="1" a="1"/>
  <c r="B97" i="1" a="1"/>
  <c r="B126" i="1" a="1"/>
  <c r="B55" i="1" a="1"/>
  <c r="B84" i="1" a="1"/>
  <c r="B113" i="1" a="1"/>
  <c r="B142" i="1" a="1"/>
  <c r="B170" i="1" a="1"/>
  <c r="B199" i="1" a="1"/>
  <c r="B228" i="1" a="1"/>
  <c r="B257" i="1" a="1"/>
  <c r="B286" i="1" a="1"/>
  <c r="B314" i="1" a="1"/>
  <c r="B343" i="1" a="1"/>
  <c r="B372" i="1" a="1"/>
  <c r="B401" i="1" a="1"/>
  <c r="B447" i="1" a="1"/>
  <c r="B499" i="1" a="1"/>
  <c r="B43" i="1" a="1"/>
  <c r="B138" i="1" a="1"/>
  <c r="B202" i="1" a="1"/>
  <c r="B272" i="1" a="1"/>
  <c r="B335" i="1" a="1"/>
  <c r="B434" i="1" a="1"/>
  <c r="B498" i="1" a="1"/>
  <c r="B527" i="1" a="1"/>
  <c r="B567" i="1" a="1"/>
  <c r="B613" i="1" a="1"/>
  <c r="B659" i="1" a="1"/>
  <c r="B711" i="1" a="1"/>
  <c r="B53" i="1" a="1"/>
  <c r="B110" i="1" a="1"/>
  <c r="B194" i="1" a="1"/>
  <c r="B265" i="1" a="1"/>
  <c r="B328" i="1" a="1"/>
  <c r="B398" i="1" a="1"/>
  <c r="B435" i="1" a="1"/>
  <c r="B463" i="1" a="1"/>
  <c r="B561" i="1" a="1"/>
  <c r="B88" i="1" a="1"/>
  <c r="B160" i="1" a="1"/>
  <c r="B230" i="1" a="1"/>
  <c r="B301" i="1" a="1"/>
  <c r="B364" i="1" a="1"/>
  <c r="B453" i="1" a="1"/>
  <c r="B73" i="1" a="1"/>
  <c r="B252" i="1" a="1"/>
  <c r="B305" i="1" a="1"/>
  <c r="B428" i="1" a="1"/>
  <c r="B485" i="1" a="1"/>
  <c r="B562" i="1" a="1"/>
  <c r="B607" i="1" a="1"/>
  <c r="B671" i="1" a="1"/>
  <c r="B721" i="1" a="1"/>
  <c r="B755" i="1" a="1"/>
  <c r="B787" i="1" a="1"/>
  <c r="B811" i="1" a="1"/>
  <c r="B835" i="1" a="1"/>
  <c r="B859" i="1" a="1"/>
  <c r="B883" i="1" a="1"/>
  <c r="B907" i="1" a="1"/>
  <c r="B931" i="1" a="1"/>
  <c r="B955" i="1" a="1"/>
  <c r="B86" i="1" a="1"/>
  <c r="B180" i="1" a="1"/>
  <c r="B232" i="1" a="1"/>
  <c r="B347" i="1" a="1"/>
  <c r="B400" i="1" a="1"/>
  <c r="B466" i="1" a="1"/>
  <c r="B522" i="1" a="1"/>
  <c r="B563" i="1" a="1"/>
  <c r="B636" i="1" a="1"/>
  <c r="B664" i="1" a="1"/>
  <c r="B700" i="1" a="1"/>
  <c r="B56" i="1" a="1"/>
  <c r="B132" i="1" a="1"/>
  <c r="B269" i="1" a="1"/>
  <c r="B342" i="1" a="1"/>
  <c r="B424" i="1" a="1"/>
  <c r="B472" i="1" a="1"/>
  <c r="B583" i="1" a="1"/>
  <c r="B633" i="1" a="1"/>
  <c r="B697" i="1" a="1"/>
  <c r="B733" i="1" a="1"/>
  <c r="B779" i="1" a="1"/>
  <c r="B803" i="1" a="1"/>
  <c r="B827" i="1" a="1"/>
  <c r="B851" i="1" a="1"/>
  <c r="B875" i="1" a="1"/>
  <c r="B899" i="1" a="1"/>
  <c r="B923" i="1" a="1"/>
  <c r="B151" i="1" a="1"/>
  <c r="B222" i="1" a="1"/>
  <c r="B441" i="1" a="1"/>
  <c r="B492" i="1" a="1"/>
  <c r="B601" i="1" a="1"/>
  <c r="B667" i="1" a="1"/>
  <c r="B743" i="1" a="1"/>
  <c r="B842" i="1" a="1"/>
  <c r="B972" i="1" a="1"/>
  <c r="B1018" i="1" a="1"/>
  <c r="B930" i="1" a="1"/>
  <c r="B986" i="1" a="1"/>
  <c r="B89" i="1" a="1"/>
  <c r="B362" i="1" a="1"/>
  <c r="B551" i="1" a="1"/>
  <c r="B795" i="1" a="1"/>
  <c r="B1019" i="1" a="1"/>
  <c r="B308" i="1" a="1"/>
  <c r="B531" i="1" a="1"/>
  <c r="B669" i="1" a="1"/>
  <c r="B812" i="1" a="1"/>
  <c r="B953" i="1" a="1"/>
  <c r="B122" i="1" a="1"/>
  <c r="B223" i="1" a="1"/>
  <c r="B320" i="1" a="1"/>
  <c r="B430" i="1" a="1"/>
  <c r="B507" i="1" a="1"/>
  <c r="B582" i="1" a="1"/>
  <c r="B630" i="1" a="1"/>
  <c r="B696" i="1" a="1"/>
  <c r="B752" i="1" a="1"/>
  <c r="B802" i="1" a="1"/>
  <c r="B858" i="1" a="1"/>
  <c r="B945" i="1" a="1"/>
  <c r="B349" i="1" a="1"/>
  <c r="B529" i="1" a="1"/>
  <c r="B668" i="1" a="1"/>
  <c r="B915" i="1" a="1"/>
  <c r="B38" i="1" a="1"/>
  <c r="B140" i="1" a="1"/>
  <c r="B295" i="1" a="1"/>
  <c r="B469" i="1" a="1"/>
  <c r="B594" i="1" a="1"/>
  <c r="B688" i="1" a="1"/>
  <c r="B836" i="1" a="1"/>
  <c r="B960" i="1" a="1"/>
  <c r="B96" i="1" a="1"/>
  <c r="B188" i="1" a="1"/>
  <c r="B355" i="1" a="1"/>
  <c r="B474" i="1" a="1"/>
  <c r="B557" i="1" a="1"/>
  <c r="B606" i="1" a="1"/>
  <c r="B654" i="1" a="1"/>
  <c r="B702" i="1" a="1"/>
  <c r="B807" i="1" a="1"/>
  <c r="B903" i="1" a="1"/>
  <c r="B996" i="1" a="1"/>
  <c r="B49" i="1" a="1"/>
  <c r="B330" i="1" a="1"/>
  <c r="B412" i="1" a="1"/>
  <c r="B488" i="1" a="1"/>
  <c r="B568" i="1" a="1"/>
  <c r="B655" i="1" a="1"/>
  <c r="B722" i="1" a="1"/>
  <c r="B800" i="1" a="1"/>
  <c r="B896" i="1" a="1"/>
  <c r="B950" i="1" a="1"/>
  <c r="B990" i="1" a="1"/>
  <c r="B50" i="1" a="1"/>
  <c r="B150" i="1" a="1"/>
  <c r="B157" i="1" a="1"/>
  <c r="B338" i="1" a="1"/>
  <c r="B584" i="1" a="1"/>
  <c r="B717" i="1" a="1"/>
  <c r="B820" i="1" a="1"/>
  <c r="B916" i="1" a="1"/>
  <c r="B837" i="1" a="1"/>
  <c r="B975" i="1" a="1"/>
  <c r="B44" i="1" a="1"/>
  <c r="B422" i="1" a="1"/>
  <c r="B806" i="1" a="1"/>
  <c r="B739" i="1" a="1"/>
  <c r="B886" i="1" a="1"/>
  <c r="B260" i="1" a="1"/>
  <c r="B646" i="1" a="1"/>
  <c r="B904" i="1" a="1"/>
  <c r="B549" i="1" a="1"/>
  <c r="B965" i="1" a="1"/>
  <c r="B458" i="1" a="1"/>
  <c r="B924" i="1" a="1"/>
  <c r="B746" i="1" a="1"/>
  <c r="B42" i="1" a="1"/>
  <c r="B445" i="1" a="1"/>
  <c r="B642" i="1" a="1"/>
  <c r="B789" i="1" a="1"/>
  <c r="B284" i="1" a="1"/>
  <c r="B586" i="1" a="1"/>
  <c r="B773" i="1" a="1"/>
  <c r="B198" i="1" a="1"/>
  <c r="B370" i="1" a="1"/>
  <c r="B720" i="1" a="1"/>
  <c r="B918" i="1" a="1"/>
  <c r="B1000" i="1" a="1"/>
  <c r="B234" i="1" a="1"/>
  <c r="B569" i="1" a="1"/>
  <c r="B741" i="1" a="1"/>
  <c r="B1022" i="1" a="1"/>
  <c r="B346" i="1" a="1"/>
  <c r="B609" i="1" a="1"/>
  <c r="B873" i="1" a="1"/>
  <c r="B1001" i="1" a="1"/>
  <c r="B407" i="1" a="1"/>
  <c r="B651" i="1" a="1"/>
  <c r="B892" i="1" a="1"/>
  <c r="B298" i="1" a="1"/>
  <c r="B595" i="1" a="1"/>
  <c r="B813" i="1" a="1"/>
  <c r="B244" i="1" a="1"/>
  <c r="B382" i="1" a="1"/>
  <c r="B615" i="1" a="1"/>
  <c r="B782" i="1" a="1"/>
  <c r="B969" i="1" a="1"/>
  <c r="B184" i="1" a="1"/>
  <c r="B461" i="1" a="1"/>
  <c r="B634" i="1" a="1"/>
  <c r="B765" i="1" a="1"/>
  <c r="B862" i="1" a="1"/>
  <c r="B956" i="1" a="1"/>
  <c r="B1027" i="1" a="1"/>
  <c r="B439" i="1" a="1"/>
  <c r="B558" i="1" a="1"/>
  <c r="B694" i="1" a="1"/>
  <c r="B784" i="1" a="1"/>
  <c r="B880" i="1" a="1"/>
  <c r="B1017" i="1" a="1"/>
  <c r="B247" i="1" a="1"/>
  <c r="B490" i="1" a="1"/>
  <c r="B675" i="1" a="1"/>
  <c r="B801" i="1" a="1"/>
  <c r="B958" i="1" a="1"/>
  <c r="B876" i="1" a="1"/>
  <c r="B670" i="1" a="1"/>
  <c r="B31" i="1" a="1"/>
  <c r="P50" i="1" a="1"/>
  <c r="P74" i="1" a="1"/>
  <c r="P39" i="1" a="1"/>
  <c r="P63" i="1" a="1"/>
  <c r="P87" i="1" a="1"/>
  <c r="P111" i="1" a="1"/>
  <c r="P135" i="1" a="1"/>
  <c r="P159" i="1" a="1"/>
  <c r="P183" i="1" a="1"/>
  <c r="P65" i="1" a="1"/>
  <c r="P110" i="1" a="1"/>
  <c r="P139" i="1" a="1"/>
  <c r="P168" i="1" a="1"/>
  <c r="P197" i="1" a="1"/>
  <c r="P243" i="1" a="1"/>
  <c r="P295" i="1" a="1"/>
  <c r="P341" i="1" a="1"/>
  <c r="P387" i="1" a="1"/>
  <c r="P439" i="1" a="1"/>
  <c r="P485" i="1" a="1"/>
  <c r="P531" i="1" a="1"/>
  <c r="P206" i="1" a="1"/>
  <c r="P252" i="1" a="1"/>
  <c r="P298" i="1" a="1"/>
  <c r="P350" i="1" a="1"/>
  <c r="P396" i="1" a="1"/>
  <c r="P442" i="1" a="1"/>
  <c r="P494" i="1" a="1"/>
  <c r="P540" i="1" a="1"/>
  <c r="P82" i="1" a="1"/>
  <c r="P143" i="1" a="1"/>
  <c r="P194" i="1" a="1"/>
  <c r="P281" i="1" a="1"/>
  <c r="P320" i="1" a="1"/>
  <c r="P391" i="1" a="1"/>
  <c r="P438" i="1" a="1"/>
  <c r="P493" i="1" a="1"/>
  <c r="P567" i="1" a="1"/>
  <c r="P613" i="1" a="1"/>
  <c r="P659" i="1" a="1"/>
  <c r="P47" i="1" a="1"/>
  <c r="P112" i="1" a="1"/>
  <c r="P198" i="1" a="1"/>
  <c r="P253" i="1" a="1"/>
  <c r="P316" i="1" a="1"/>
  <c r="P371" i="1" a="1"/>
  <c r="P418" i="1" a="1"/>
  <c r="P489" i="1" a="1"/>
  <c r="P528" i="1" a="1"/>
  <c r="P583" i="1" a="1"/>
  <c r="P629" i="1" a="1"/>
  <c r="P681" i="1" a="1"/>
  <c r="P706" i="1" a="1"/>
  <c r="P730" i="1" a="1"/>
  <c r="P754" i="1" a="1"/>
  <c r="P778" i="1" a="1"/>
  <c r="P802" i="1" a="1"/>
  <c r="P826" i="1" a="1"/>
  <c r="P91" i="1" a="1"/>
  <c r="P233" i="1" a="1"/>
  <c r="P309" i="1" a="1"/>
  <c r="P365" i="1" a="1"/>
  <c r="P403" i="1" a="1"/>
  <c r="P440" i="1" a="1"/>
  <c r="P497" i="1" a="1"/>
  <c r="P568" i="1" a="1"/>
  <c r="P623" i="1" a="1"/>
  <c r="P670" i="1" a="1"/>
  <c r="P758" i="1" a="1"/>
  <c r="P830" i="1" a="1"/>
  <c r="P882" i="1" a="1"/>
  <c r="P928" i="1" a="1"/>
  <c r="P974" i="1" a="1"/>
  <c r="P1026" i="1" a="1"/>
  <c r="P102" i="1" a="1"/>
  <c r="P185" i="1" a="1"/>
  <c r="P224" i="1" a="1"/>
  <c r="P356" i="1" a="1"/>
  <c r="P460" i="1" a="1"/>
  <c r="P507" i="1" a="1"/>
  <c r="P560" i="1" a="1"/>
  <c r="P615" i="1" a="1"/>
  <c r="P686" i="1" a="1"/>
  <c r="P737" i="1" a="1"/>
  <c r="P780" i="1" a="1"/>
  <c r="P106" i="1" a="1"/>
  <c r="P188" i="1" a="1"/>
  <c r="P312" i="1" a="1"/>
  <c r="P369" i="1" a="1"/>
  <c r="P406" i="1" a="1"/>
  <c r="P444" i="1" a="1"/>
  <c r="P500" i="1" a="1"/>
  <c r="P555" i="1" a="1"/>
  <c r="P618" i="1" a="1"/>
  <c r="P673" i="1" a="1"/>
  <c r="P725" i="1" a="1"/>
  <c r="P768" i="1" a="1"/>
  <c r="P811" i="1" a="1"/>
  <c r="P872" i="1" a="1"/>
  <c r="P924" i="1" a="1"/>
  <c r="P970" i="1" a="1"/>
  <c r="P1016" i="1" a="1"/>
  <c r="P127" i="1" a="1"/>
  <c r="P200" i="1" a="1"/>
  <c r="P119" i="1" a="1"/>
  <c r="P181" i="1" a="1"/>
  <c r="P249" i="1" a="1"/>
  <c r="P313" i="1" a="1"/>
  <c r="P362" i="1" a="1"/>
  <c r="P539" i="1" a="1"/>
  <c r="P624" i="1" a="1"/>
  <c r="P716" i="1" a="1"/>
  <c r="P810" i="1" a="1"/>
  <c r="P859" i="1" a="1"/>
  <c r="P922" i="1" a="1"/>
  <c r="P969" i="1" a="1"/>
  <c r="P54" i="1" a="1"/>
  <c r="P276" i="1" a="1"/>
  <c r="P377" i="1" a="1"/>
  <c r="P427" i="1" a="1"/>
  <c r="P551" i="1" a="1"/>
  <c r="P593" i="1" a="1"/>
  <c r="P687" i="1" a="1"/>
  <c r="P745" i="1" a="1"/>
  <c r="P828" i="1" a="1"/>
  <c r="P875" i="1" a="1"/>
  <c r="P930" i="1" a="1"/>
  <c r="P993" i="1" a="1"/>
  <c r="P121" i="1" a="1"/>
  <c r="P251" i="1" a="1"/>
  <c r="P302" i="1" a="1"/>
  <c r="P390" i="1" a="1"/>
  <c r="P477" i="1" a="1"/>
  <c r="P594" i="1" a="1"/>
  <c r="P645" i="1" a="1"/>
  <c r="P707" i="1" a="1"/>
  <c r="P803" i="1" a="1"/>
  <c r="P876" i="1" a="1"/>
  <c r="P923" i="1" a="1"/>
  <c r="P986" i="1" a="1"/>
  <c r="P42" i="1" a="1"/>
  <c r="P156" i="1" a="1"/>
  <c r="P216" i="1" a="1"/>
  <c r="P293" i="1" a="1"/>
  <c r="P381" i="1" a="1"/>
  <c r="P519" i="1" a="1"/>
  <c r="P606" i="1" a="1"/>
  <c r="P680" i="1" a="1"/>
  <c r="P786" i="1" a="1"/>
  <c r="P862" i="1" a="1"/>
  <c r="P901" i="1" a="1"/>
  <c r="P972" i="1" a="1"/>
  <c r="P1019" i="1" a="1"/>
  <c r="P95" i="1" a="1"/>
  <c r="P203" i="1" a="1"/>
  <c r="P268" i="1" a="1"/>
  <c r="P332" i="1" a="1"/>
  <c r="P432" i="1" a="1"/>
  <c r="P508" i="1" a="1"/>
  <c r="P556" i="1" a="1"/>
  <c r="P640" i="1" a="1"/>
  <c r="P682" i="1" a="1"/>
  <c r="P740" i="1" a="1"/>
  <c r="P806" i="1" a="1"/>
  <c r="P863" i="1" a="1"/>
  <c r="P918" i="1" a="1"/>
  <c r="P981" i="1" a="1"/>
  <c r="P64" i="1" a="1"/>
  <c r="P191" i="1" a="1"/>
  <c r="P333" i="1" a="1"/>
  <c r="P201" i="1" a="1"/>
  <c r="P379" i="1" a="1"/>
  <c r="P467" i="1" a="1"/>
  <c r="P679" i="1" a="1"/>
  <c r="P795" i="1" a="1"/>
  <c r="P919" i="1" a="1"/>
  <c r="P999" i="1" a="1"/>
  <c r="P279" i="1" a="1"/>
  <c r="P492" i="1" a="1"/>
  <c r="P661" i="1" a="1"/>
  <c r="P762" i="1" a="1"/>
  <c r="P853" i="1" a="1"/>
  <c r="P920" i="1" a="1"/>
  <c r="P114" i="1" a="1"/>
  <c r="P283" i="1" a="1"/>
  <c r="P448" i="1" a="1"/>
  <c r="P590" i="1" a="1"/>
  <c r="P798" i="1" a="1"/>
  <c r="P948" i="1" a="1"/>
  <c r="P1002" i="1" a="1"/>
  <c r="P176" i="1" a="1"/>
  <c r="P360" i="1" a="1"/>
  <c r="P537" i="1" a="1"/>
  <c r="P699" i="1" a="1"/>
  <c r="P827" i="1" a="1"/>
  <c r="P909" i="1" a="1"/>
  <c r="P990" i="1" a="1"/>
  <c r="P49" i="1" a="1"/>
  <c r="P235" i="1" a="1"/>
  <c r="P433" i="1" a="1"/>
  <c r="P538" i="1" a="1"/>
  <c r="P648" i="1" a="1"/>
  <c r="P767" i="1" a="1"/>
  <c r="P829" i="1" a="1"/>
  <c r="P964" i="1" a="1"/>
  <c r="P124" i="1" a="1"/>
  <c r="P417" i="1" a="1"/>
  <c r="P580" i="1" a="1"/>
  <c r="P721" i="1" a="1"/>
  <c r="P833" i="1" a="1"/>
  <c r="P887" i="1" a="1"/>
  <c r="P1007" i="1" a="1"/>
  <c r="P270" i="1" a="1"/>
  <c r="P581" i="1" a="1"/>
  <c r="P705" i="1" a="1"/>
  <c r="P789" i="1" a="1"/>
  <c r="P913" i="1" a="1"/>
  <c r="P982" i="1" a="1"/>
  <c r="P192" i="1" a="1"/>
  <c r="P296" i="1" a="1"/>
  <c r="P461" i="1" a="1"/>
  <c r="P566" i="1" a="1"/>
  <c r="P692" i="1" a="1"/>
  <c r="P874" i="1" a="1"/>
  <c r="P956" i="1" a="1"/>
  <c r="P149" i="1" a="1"/>
  <c r="P434" i="1" a="1"/>
  <c r="P684" i="1" a="1"/>
  <c r="P769" i="1" a="1"/>
  <c r="P857" i="1" a="1"/>
  <c r="P55" i="1" a="1"/>
  <c r="P240" i="1" a="1"/>
  <c r="P436" i="1" a="1"/>
  <c r="P559" i="1" a="1"/>
  <c r="P651" i="1" a="1"/>
  <c r="P845" i="1" a="1"/>
  <c r="P979" i="1" a="1"/>
  <c r="P67" i="1" a="1"/>
  <c r="P929" i="1" a="1"/>
  <c r="P549" i="1" a="1"/>
  <c r="P443" i="1" a="1"/>
  <c r="P445" i="1" a="1"/>
  <c r="P162" i="1" a="1"/>
  <c r="P958" i="1" a="1"/>
  <c r="P889" i="1" a="1"/>
  <c r="P605" i="1" a="1"/>
  <c r="P877" i="1" a="1"/>
  <c r="P824" i="1" a="1"/>
  <c r="P998" i="1" a="1"/>
  <c r="P31" i="1" a="1"/>
  <c r="N50" i="1" a="1"/>
  <c r="N74" i="1" a="1"/>
  <c r="N33" i="1" a="1"/>
  <c r="N81" i="1" a="1"/>
  <c r="N183" i="1" a="1"/>
  <c r="N327" i="1" a="1"/>
  <c r="N471" i="1" a="1"/>
  <c r="N58" i="1" a="1"/>
  <c r="N104" i="1" a="1"/>
  <c r="N133" i="1" a="1"/>
  <c r="N162" i="1" a="1"/>
  <c r="N191" i="1" a="1"/>
  <c r="N220" i="1" a="1"/>
  <c r="N248" i="1" a="1"/>
  <c r="N277" i="1" a="1"/>
  <c r="N306" i="1" a="1"/>
  <c r="N335" i="1" a="1"/>
  <c r="N364" i="1" a="1"/>
  <c r="N392" i="1" a="1"/>
  <c r="N421" i="1" a="1"/>
  <c r="N450" i="1" a="1"/>
  <c r="N479" i="1" a="1"/>
  <c r="N508" i="1" a="1"/>
  <c r="N536" i="1" a="1"/>
  <c r="N561" i="1" a="1"/>
  <c r="N585" i="1" a="1"/>
  <c r="N609" i="1" a="1"/>
  <c r="N105" i="1" a="1"/>
  <c r="N249" i="1" a="1"/>
  <c r="N393" i="1" a="1"/>
  <c r="N51" i="1" a="1"/>
  <c r="N98" i="1" a="1"/>
  <c r="N127" i="1" a="1"/>
  <c r="N156" i="1" a="1"/>
  <c r="N185" i="1" a="1"/>
  <c r="N214" i="1" a="1"/>
  <c r="N242" i="1" a="1"/>
  <c r="N271" i="1" a="1"/>
  <c r="N300" i="1" a="1"/>
  <c r="N329" i="1" a="1"/>
  <c r="N358" i="1" a="1"/>
  <c r="N386" i="1" a="1"/>
  <c r="N415" i="1" a="1"/>
  <c r="N444" i="1" a="1"/>
  <c r="N473" i="1" a="1"/>
  <c r="N502" i="1" a="1"/>
  <c r="N530" i="1" a="1"/>
  <c r="N556" i="1" a="1"/>
  <c r="N580" i="1" a="1"/>
  <c r="N604" i="1" a="1"/>
  <c r="N267" i="1" a="1"/>
  <c r="N483" i="1" a="1"/>
  <c r="N589" i="1" a="1"/>
  <c r="N646" i="1" a="1"/>
  <c r="N60" i="1" a="1"/>
  <c r="N107" i="1" a="1"/>
  <c r="N150" i="1" a="1"/>
  <c r="N193" i="1" a="1"/>
  <c r="N236" i="1" a="1"/>
  <c r="N280" i="1" a="1"/>
  <c r="N323" i="1" a="1"/>
  <c r="N366" i="1" a="1"/>
  <c r="N409" i="1" a="1"/>
  <c r="N452" i="1" a="1"/>
  <c r="N495" i="1" a="1"/>
  <c r="N558" i="1" a="1"/>
  <c r="N627" i="1" a="1"/>
  <c r="N672" i="1" a="1"/>
  <c r="N225" i="1" a="1"/>
  <c r="N441" i="1" a="1"/>
  <c r="N524" i="1" a="1"/>
  <c r="N575" i="1" a="1"/>
  <c r="N621" i="1" a="1"/>
  <c r="N37" i="1" a="1"/>
  <c r="N130" i="1" a="1"/>
  <c r="N216" i="1" a="1"/>
  <c r="N287" i="1" a="1"/>
  <c r="N373" i="1" a="1"/>
  <c r="N460" i="1" a="1"/>
  <c r="N527" i="1" a="1"/>
  <c r="N623" i="1" a="1"/>
  <c r="N667" i="1" a="1"/>
  <c r="N704" i="1" a="1"/>
  <c r="N733" i="1" a="1"/>
  <c r="N761" i="1" a="1"/>
  <c r="N808" i="1" a="1"/>
  <c r="N846" i="1" a="1"/>
  <c r="N870" i="1" a="1"/>
  <c r="N894" i="1" a="1"/>
  <c r="N918" i="1" a="1"/>
  <c r="N942" i="1" a="1"/>
  <c r="N966" i="1" a="1"/>
  <c r="N990" i="1" a="1"/>
  <c r="N1014" i="1" a="1"/>
  <c r="N101" i="1" a="1"/>
  <c r="N230" i="1" a="1"/>
  <c r="N360" i="1" a="1"/>
  <c r="N490" i="1" a="1"/>
  <c r="N658" i="1" a="1"/>
  <c r="N762" i="1" a="1"/>
  <c r="N815" i="1" a="1"/>
  <c r="N70" i="1" a="1"/>
  <c r="N158" i="1" a="1"/>
  <c r="N231" i="1" a="1"/>
  <c r="N304" i="1" a="1"/>
  <c r="N390" i="1" a="1"/>
  <c r="N461" i="1" a="1"/>
  <c r="N528" i="1" a="1"/>
  <c r="N605" i="1" a="1"/>
  <c r="N642" i="1" a="1"/>
  <c r="N691" i="1" a="1"/>
  <c r="N719" i="1" a="1"/>
  <c r="N748" i="1" a="1"/>
  <c r="N783" i="1" a="1"/>
  <c r="N829" i="1" a="1"/>
  <c r="N853" i="1" a="1"/>
  <c r="N877" i="1" a="1"/>
  <c r="N901" i="1" a="1"/>
  <c r="N925" i="1" a="1"/>
  <c r="N949" i="1" a="1"/>
  <c r="N973" i="1" a="1"/>
  <c r="N997" i="1" a="1"/>
  <c r="N1021" i="1" a="1"/>
  <c r="N88" i="1" a="1"/>
  <c r="N161" i="1" a="1"/>
  <c r="N247" i="1" a="1"/>
  <c r="N318" i="1" a="1"/>
  <c r="N404" i="1" a="1"/>
  <c r="N477" i="1" a="1"/>
  <c r="N595" i="1" a="1"/>
  <c r="N684" i="1" a="1"/>
  <c r="N790" i="1" a="1"/>
  <c r="N46" i="1" a="1"/>
  <c r="N109" i="1" a="1"/>
  <c r="N180" i="1" a="1"/>
  <c r="N266" i="1" a="1"/>
  <c r="N339" i="1" a="1"/>
  <c r="N412" i="1" a="1"/>
  <c r="N510" i="1" a="1"/>
  <c r="N569" i="1" a="1"/>
  <c r="N629" i="1" a="1"/>
  <c r="N680" i="1" a="1"/>
  <c r="N709" i="1" a="1"/>
  <c r="N737" i="1" a="1"/>
  <c r="P885" i="1" a="1"/>
  <c r="P138" i="1" a="1"/>
  <c r="P263" i="1" a="1"/>
  <c r="P644" i="1" a="1"/>
  <c r="P938" i="1" a="1"/>
  <c r="P389" i="1" a="1"/>
  <c r="P697" i="1" a="1"/>
  <c r="P946" i="1" a="1"/>
  <c r="P314" i="1" a="1"/>
  <c r="P667" i="1" a="1"/>
  <c r="P931" i="1" a="1"/>
  <c r="P230" i="1" a="1"/>
  <c r="P628" i="1" a="1"/>
  <c r="P917" i="1" a="1"/>
  <c r="P217" i="1" a="1"/>
  <c r="P521" i="1" a="1"/>
  <c r="P749" i="1" a="1"/>
  <c r="P1012" i="1" a="1"/>
  <c r="P228" i="1" a="1"/>
  <c r="P809" i="1" a="1"/>
  <c r="P534" i="1" a="1"/>
  <c r="P934" i="1" a="1"/>
  <c r="P610" i="1" a="1"/>
  <c r="P259" i="1" a="1"/>
  <c r="P841" i="1" a="1"/>
  <c r="P286" i="1" a="1"/>
  <c r="P782" i="1" a="1"/>
  <c r="P458" i="1" a="1"/>
  <c r="P900" i="1" a="1"/>
  <c r="P723" i="1" a="1"/>
  <c r="P221" i="1" a="1"/>
  <c r="P741" i="1" a="1"/>
  <c r="P475" i="1" a="1"/>
  <c r="P90" i="1" a="1"/>
  <c r="P704" i="1" a="1"/>
  <c r="P1011" i="1" a="1"/>
  <c r="P323" i="1" a="1"/>
  <c r="P373" i="1" a="1"/>
  <c r="N56" i="1" a="1"/>
  <c r="N219" i="1" a="1"/>
  <c r="N112" i="1" a="1"/>
  <c r="N227" i="1" a="1"/>
  <c r="N342" i="1" a="1"/>
  <c r="N457" i="1" a="1"/>
  <c r="N567" i="1" a="1"/>
  <c r="N285" i="1" a="1"/>
  <c r="N134" i="1" a="1"/>
  <c r="N250" i="1" a="1"/>
  <c r="N365" i="1" a="1"/>
  <c r="N430" i="1" a="1"/>
  <c r="N487" i="1" a="1"/>
  <c r="N544" i="1" a="1"/>
  <c r="N592" i="1" a="1"/>
  <c r="N375" i="1" a="1"/>
  <c r="N626" i="1" a="1"/>
  <c r="N84" i="1" a="1"/>
  <c r="N172" i="1" a="1"/>
  <c r="N258" i="1" a="1"/>
  <c r="N344" i="1" a="1"/>
  <c r="N431" i="1" a="1"/>
  <c r="N513" i="1" a="1"/>
  <c r="N653" i="1" a="1"/>
  <c r="N333" i="1" a="1"/>
  <c r="N551" i="1" a="1"/>
  <c r="N647" i="1" a="1"/>
  <c r="N173" i="1" a="1"/>
  <c r="N330" i="1" a="1"/>
  <c r="N489" i="1" a="1"/>
  <c r="N641" i="1" a="1"/>
  <c r="N718" i="1" a="1"/>
  <c r="N782" i="1" a="1"/>
  <c r="N858" i="1" a="1"/>
  <c r="N906" i="1" a="1"/>
  <c r="N954" i="1" a="1"/>
  <c r="N1002" i="1" a="1"/>
  <c r="N187" i="1" a="1"/>
  <c r="N417" i="1" a="1"/>
  <c r="N690" i="1" a="1"/>
  <c r="N39" i="1" a="1"/>
  <c r="N202" i="1" a="1"/>
  <c r="N347" i="1" a="1"/>
  <c r="N503" i="1" a="1"/>
  <c r="N624" i="1" a="1"/>
  <c r="N705" i="1" a="1"/>
  <c r="N763" i="1" a="1"/>
  <c r="N841" i="1" a="1"/>
  <c r="N889" i="1" a="1"/>
  <c r="N937" i="1" a="1"/>
  <c r="N985" i="1" a="1"/>
  <c r="N40" i="1" a="1"/>
  <c r="N204" i="1" a="1"/>
  <c r="N361" i="1" a="1"/>
  <c r="N505" i="1" a="1"/>
  <c r="N756" i="1" a="1"/>
  <c r="N78" i="1" a="1"/>
  <c r="N223" i="1" a="1"/>
  <c r="N368" i="1" a="1"/>
  <c r="N535" i="1" a="1"/>
  <c r="N655" i="1" a="1"/>
  <c r="N723" i="1" a="1"/>
  <c r="N773" i="1" a="1"/>
  <c r="N832" i="1" a="1"/>
  <c r="N868" i="1" a="1"/>
  <c r="N898" i="1" a="1"/>
  <c r="N928" i="1" a="1"/>
  <c r="N964" i="1" a="1"/>
  <c r="N994" i="1" a="1"/>
  <c r="N1024" i="1" a="1"/>
  <c r="N139" i="1" a="1"/>
  <c r="N210" i="1" a="1"/>
  <c r="N218" i="1" a="1"/>
  <c r="N340" i="1" a="1"/>
  <c r="N467" i="1" a="1"/>
  <c r="N622" i="1" a="1"/>
  <c r="N706" i="1" a="1"/>
  <c r="N855" i="1" a="1"/>
  <c r="N938" i="1" a="1"/>
  <c r="N1019" i="1" a="1"/>
  <c r="N534" i="1" a="1"/>
  <c r="N757" i="1" a="1"/>
  <c r="N845" i="1" a="1"/>
  <c r="N423" i="1" a="1"/>
  <c r="N190" i="1" a="1"/>
  <c r="N654" i="1" a="1"/>
  <c r="N791" i="1" a="1"/>
  <c r="N969" i="1" a="1"/>
  <c r="N136" i="1" a="1"/>
  <c r="N295" i="1" a="1"/>
  <c r="N395" i="1" a="1"/>
  <c r="N638" i="1" a="1"/>
  <c r="N744" i="1" a="1"/>
  <c r="N867" i="1" a="1"/>
  <c r="N950" i="1" a="1"/>
  <c r="N45" i="1" a="1"/>
  <c r="N272" i="1" a="1"/>
  <c r="N370" i="1" a="1"/>
  <c r="N537" i="1" a="1"/>
  <c r="N685" i="1" a="1"/>
  <c r="N758" i="1" a="1"/>
  <c r="N804" i="1" a="1"/>
  <c r="N848" i="1" a="1"/>
  <c r="N929" i="1" a="1"/>
  <c r="N52" i="1" a="1"/>
  <c r="N226" i="1" a="1"/>
  <c r="N497" i="1" a="1"/>
  <c r="N643" i="1" a="1"/>
  <c r="N735" i="1" a="1"/>
  <c r="N879" i="1" a="1"/>
  <c r="N962" i="1" a="1"/>
  <c r="N168" i="1" a="1"/>
  <c r="N352" i="1" a="1"/>
  <c r="N498" i="1" a="1"/>
  <c r="N577" i="1" a="1"/>
  <c r="N686" i="1" a="1"/>
  <c r="N784" i="1" a="1"/>
  <c r="N860" i="1" a="1"/>
  <c r="N941" i="1" a="1"/>
  <c r="N55" i="1" a="1"/>
  <c r="N305" i="1" a="1"/>
  <c r="N426" i="1" a="1"/>
  <c r="N596" i="1" a="1"/>
  <c r="N481" i="1" a="1"/>
  <c r="N739" i="1" a="1"/>
  <c r="N893" i="1" a="1"/>
  <c r="N61" i="1" a="1"/>
  <c r="N765" i="1" a="1"/>
  <c r="N935" i="1" a="1"/>
  <c r="N381" i="1" a="1"/>
  <c r="N749" i="1" a="1"/>
  <c r="N963" i="1" a="1"/>
  <c r="N315" i="1" a="1"/>
  <c r="N587" i="1" a="1"/>
  <c r="N750" i="1" a="1"/>
  <c r="N944" i="1" a="1"/>
  <c r="N209" i="1" a="1"/>
  <c r="N635" i="1" a="1"/>
  <c r="N903" i="1" a="1"/>
  <c r="N265" i="1" a="1"/>
  <c r="N702" i="1" a="1"/>
  <c r="N820" i="1" a="1"/>
  <c r="N1028" i="1" a="1"/>
  <c r="N384" i="1" a="1"/>
  <c r="N703" i="1" a="1"/>
  <c r="N926" i="1" a="1"/>
  <c r="N309" i="1" a="1"/>
  <c r="N545" i="1" a="1"/>
  <c r="N742" i="1" a="1"/>
  <c r="N957" i="1" a="1"/>
  <c r="N93" i="1" a="1"/>
  <c r="N564" i="1" a="1"/>
  <c r="N753" i="1" a="1"/>
  <c r="N905" i="1" a="1"/>
  <c r="N175" i="1" a="1"/>
  <c r="N459" i="1" a="1"/>
  <c r="N760" i="1" a="1"/>
  <c r="N974" i="1" a="1"/>
  <c r="N410" i="1" a="1"/>
  <c r="N713" i="1" a="1"/>
  <c r="N933" i="1" a="1"/>
  <c r="N179" i="1" a="1"/>
  <c r="N714" i="1" a="1"/>
  <c r="N851" i="1" a="1"/>
  <c r="N31" i="1" a="1"/>
  <c r="L51" i="1" a="1"/>
  <c r="L67" i="1" a="1"/>
  <c r="L115" i="1" a="1"/>
  <c r="L163" i="1" a="1"/>
  <c r="L211" i="1" a="1"/>
  <c r="L259" i="1" a="1"/>
  <c r="L307" i="1" a="1"/>
  <c r="L83" i="1" a="1"/>
  <c r="L179" i="1" a="1"/>
  <c r="L275" i="1" a="1"/>
  <c r="L371" i="1" a="1"/>
  <c r="L43" i="1" a="1"/>
  <c r="L76" i="1" a="1"/>
  <c r="L108" i="1" a="1"/>
  <c r="L140" i="1" a="1"/>
  <c r="L172" i="1" a="1"/>
  <c r="L204" i="1" a="1"/>
  <c r="L236" i="1" a="1"/>
  <c r="L268" i="1" a="1"/>
  <c r="L61" i="1" a="1"/>
  <c r="L109" i="1" a="1"/>
  <c r="L157" i="1" a="1"/>
  <c r="L205" i="1" a="1"/>
  <c r="L253" i="1" a="1"/>
  <c r="L44" i="1" a="1"/>
  <c r="L125" i="1" a="1"/>
  <c r="L221" i="1" a="1"/>
  <c r="L317" i="1" a="1"/>
  <c r="L62" i="1" a="1"/>
  <c r="L94" i="1" a="1"/>
  <c r="L126" i="1" a="1"/>
  <c r="L158" i="1" a="1"/>
  <c r="L190" i="1" a="1"/>
  <c r="L222" i="1" a="1"/>
  <c r="L254" i="1" a="1"/>
  <c r="L55" i="1" a="1"/>
  <c r="L103" i="1" a="1"/>
  <c r="L151" i="1" a="1"/>
  <c r="L199" i="1" a="1"/>
  <c r="L247" i="1" a="1"/>
  <c r="L295" i="1" a="1"/>
  <c r="L95" i="1" a="1"/>
  <c r="L191" i="1" a="1"/>
  <c r="L287" i="1" a="1"/>
  <c r="L383" i="1" a="1"/>
  <c r="L492" i="1" a="1"/>
  <c r="L56" i="1" a="1"/>
  <c r="L88" i="1" a="1"/>
  <c r="L120" i="1" a="1"/>
  <c r="L152" i="1" a="1"/>
  <c r="L184" i="1" a="1"/>
  <c r="L216" i="1" a="1"/>
  <c r="L248" i="1" a="1"/>
  <c r="L280" i="1" a="1"/>
  <c r="L312" i="1" a="1"/>
  <c r="L344" i="1" a="1"/>
  <c r="L376" i="1" a="1"/>
  <c r="L408" i="1" a="1"/>
  <c r="L440" i="1" a="1"/>
  <c r="L471" i="1" a="1"/>
  <c r="L500" i="1" a="1"/>
  <c r="L529" i="1" a="1"/>
  <c r="L555" i="1" a="1"/>
  <c r="L579" i="1" a="1"/>
  <c r="L603" i="1" a="1"/>
  <c r="L627" i="1" a="1"/>
  <c r="L651" i="1" a="1"/>
  <c r="L675" i="1" a="1"/>
  <c r="L699" i="1" a="1"/>
  <c r="L723" i="1" a="1"/>
  <c r="L747" i="1" a="1"/>
  <c r="L771" i="1" a="1"/>
  <c r="L795" i="1" a="1"/>
  <c r="L819" i="1" a="1"/>
  <c r="L843" i="1" a="1"/>
  <c r="L867" i="1" a="1"/>
  <c r="L891" i="1" a="1"/>
  <c r="L915" i="1" a="1"/>
  <c r="L81" i="1" a="1"/>
  <c r="L129" i="1" a="1"/>
  <c r="L177" i="1" a="1"/>
  <c r="L225" i="1" a="1"/>
  <c r="L273" i="1" a="1"/>
  <c r="L321" i="1" a="1"/>
  <c r="L369" i="1" a="1"/>
  <c r="L417" i="1" a="1"/>
  <c r="L486" i="1" a="1"/>
  <c r="L137" i="1" a="1"/>
  <c r="L300" i="1" a="1"/>
  <c r="L382" i="1" a="1"/>
  <c r="L452" i="1" a="1"/>
  <c r="L539" i="1" a="1"/>
  <c r="L636" i="1" a="1"/>
  <c r="L732" i="1" a="1"/>
  <c r="L828" i="1" a="1"/>
  <c r="L945" i="1" a="1"/>
  <c r="L90" i="1" a="1"/>
  <c r="L278" i="1" a="1"/>
  <c r="L372" i="1" a="1"/>
  <c r="L463" i="1" a="1"/>
  <c r="L520" i="1" a="1"/>
  <c r="L557" i="1" a="1"/>
  <c r="L605" i="1" a="1"/>
  <c r="L653" i="1" a="1"/>
  <c r="L701" i="1" a="1"/>
  <c r="L749" i="1" a="1"/>
  <c r="L797" i="1" a="1"/>
  <c r="L845" i="1" a="1"/>
  <c r="L893" i="1" a="1"/>
  <c r="L931" i="1" a="1"/>
  <c r="L960" i="1" a="1"/>
  <c r="L989" i="1" a="1"/>
  <c r="L1018" i="1" a="1"/>
  <c r="L302" i="1" a="1"/>
  <c r="L397" i="1" a="1"/>
  <c r="L474" i="1" a="1"/>
  <c r="L523" i="1" a="1"/>
  <c r="L574" i="1" a="1"/>
  <c r="L622" i="1" a="1"/>
  <c r="L670" i="1" a="1"/>
  <c r="L718" i="1" a="1"/>
  <c r="L766" i="1" a="1"/>
  <c r="L814" i="1" a="1"/>
  <c r="L862" i="1" a="1"/>
  <c r="L910" i="1" a="1"/>
  <c r="L332" i="1" a="1"/>
  <c r="L242" i="1" a="1"/>
  <c r="L386" i="1" a="1"/>
  <c r="L454" i="1" a="1"/>
  <c r="L558" i="1" a="1"/>
  <c r="L654" i="1" a="1"/>
  <c r="L750" i="1" a="1"/>
  <c r="L846" i="1" a="1"/>
  <c r="L925" i="1" a="1"/>
  <c r="L954" i="1" a="1"/>
  <c r="L983" i="1" a="1"/>
  <c r="L1012" i="1" a="1"/>
  <c r="L306" i="1" a="1"/>
  <c r="L363" i="1" a="1"/>
  <c r="L411" i="1" a="1"/>
  <c r="L466" i="1" a="1"/>
  <c r="L513" i="1" a="1"/>
  <c r="L566" i="1" a="1"/>
  <c r="L614" i="1" a="1"/>
  <c r="L662" i="1" a="1"/>
  <c r="L710" i="1" a="1"/>
  <c r="L758" i="1" a="1"/>
  <c r="L806" i="1" a="1"/>
  <c r="L854" i="1" a="1"/>
  <c r="L902" i="1" a="1"/>
  <c r="L1005" i="1" a="1"/>
  <c r="L202" i="1" a="1"/>
  <c r="L325" i="1" a="1"/>
  <c r="L375" i="1" a="1"/>
  <c r="L423" i="1" a="1"/>
  <c r="L515" i="1" a="1"/>
  <c r="L568" i="1" a="1"/>
  <c r="L616" i="1" a="1"/>
  <c r="L664" i="1" a="1"/>
  <c r="L712" i="1" a="1"/>
  <c r="L760" i="1" a="1"/>
  <c r="L808" i="1" a="1"/>
  <c r="L856" i="1" a="1"/>
  <c r="L904" i="1" a="1"/>
  <c r="L941" i="1" a="1"/>
  <c r="L970" i="1" a="1"/>
  <c r="L998" i="1" a="1"/>
  <c r="L1027" i="1" a="1"/>
  <c r="L161" i="1" a="1"/>
  <c r="L326" i="1" a="1"/>
  <c r="L401" i="1" a="1"/>
  <c r="L458" i="1" a="1"/>
  <c r="L525" i="1" a="1"/>
  <c r="L600" i="1" a="1"/>
  <c r="L696" i="1" a="1"/>
  <c r="L792" i="1" a="1"/>
  <c r="L888" i="1" a="1"/>
  <c r="L999" i="1" a="1"/>
  <c r="L162" i="1" a="1"/>
  <c r="L310" i="1" a="1"/>
  <c r="L378" i="1" a="1"/>
  <c r="L426" i="1" a="1"/>
  <c r="L477" i="1" a="1"/>
  <c r="L535" i="1" a="1"/>
  <c r="L584" i="1" a="1"/>
  <c r="L632" i="1" a="1"/>
  <c r="L680" i="1" a="1"/>
  <c r="L728" i="1" a="1"/>
  <c r="L776" i="1" a="1"/>
  <c r="L824" i="1" a="1"/>
  <c r="L872" i="1" a="1"/>
  <c r="L920" i="1" a="1"/>
  <c r="L949" i="1" a="1"/>
  <c r="L978" i="1" a="1"/>
  <c r="L1007" i="1" a="1"/>
  <c r="L470" i="1" a="1"/>
  <c r="L674" i="1" a="1"/>
  <c r="L818" i="1" a="1"/>
  <c r="L418" i="1" a="1"/>
  <c r="L724" i="1" a="1"/>
  <c r="L923" i="1" a="1"/>
  <c r="L1024" i="1" a="1"/>
  <c r="L366" i="1" a="1"/>
  <c r="L414" i="1" a="1"/>
  <c r="L469" i="1" a="1"/>
  <c r="L526" i="1" a="1"/>
  <c r="L577" i="1" a="1"/>
  <c r="L625" i="1" a="1"/>
  <c r="L673" i="1" a="1"/>
  <c r="L721" i="1" a="1"/>
  <c r="L769" i="1" a="1"/>
  <c r="L817" i="1" a="1"/>
  <c r="L865" i="1" a="1"/>
  <c r="L913" i="1" a="1"/>
  <c r="L1029" i="1" a="1"/>
  <c r="L451" i="1" a="1"/>
  <c r="L626" i="1" a="1"/>
  <c r="L755" i="1" a="1"/>
  <c r="L1023" i="1" a="1"/>
  <c r="L501" i="1" a="1"/>
  <c r="L628" i="1" a="1"/>
  <c r="L748" i="1" a="1"/>
  <c r="L868" i="1" a="1"/>
  <c r="L980" i="1" a="1"/>
  <c r="L122" i="1" a="1"/>
  <c r="L294" i="1" a="1"/>
  <c r="L356" i="1" a="1"/>
  <c r="L404" i="1" a="1"/>
  <c r="L450" i="1" a="1"/>
  <c r="L498" i="1" a="1"/>
  <c r="L594" i="1" a="1"/>
  <c r="L690" i="1" a="1"/>
  <c r="L786" i="1" a="1"/>
  <c r="L882" i="1" a="1"/>
  <c r="L936" i="1" a="1"/>
  <c r="L965" i="1" a="1"/>
  <c r="L994" i="1" a="1"/>
  <c r="L1022" i="1" a="1"/>
  <c r="L381" i="1" a="1"/>
  <c r="L509" i="1" a="1"/>
  <c r="L635" i="1" a="1"/>
  <c r="L746" i="1" a="1"/>
  <c r="L866" i="1" a="1"/>
  <c r="L130" i="1" a="1"/>
  <c r="L490" i="1" a="1"/>
  <c r="L619" i="1" a="1"/>
  <c r="L739" i="1" a="1"/>
  <c r="L883" i="1" a="1"/>
  <c r="L966" i="1" a="1"/>
  <c r="L31" i="1" a="1"/>
  <c r="J54" i="1" a="1"/>
  <c r="J78" i="1" a="1"/>
  <c r="J102" i="1" a="1"/>
  <c r="J126" i="1" a="1"/>
  <c r="J150" i="1" a="1"/>
  <c r="J174" i="1" a="1"/>
  <c r="J198" i="1" a="1"/>
  <c r="J41" i="1" a="1"/>
  <c r="J77" i="1" a="1"/>
  <c r="J113" i="1" a="1"/>
  <c r="J149" i="1" a="1"/>
  <c r="J233" i="1" a="1"/>
  <c r="J265" i="1" a="1"/>
  <c r="J297" i="1" a="1"/>
  <c r="J355" i="1" a="1"/>
  <c r="J398" i="1" a="1"/>
  <c r="J441" i="1" a="1"/>
  <c r="J499" i="1" a="1"/>
  <c r="J542" i="1" a="1"/>
  <c r="J566" i="1" a="1"/>
  <c r="J65" i="1" a="1"/>
  <c r="J101" i="1" a="1"/>
  <c r="J137" i="1" a="1"/>
  <c r="J173" i="1" a="1"/>
  <c r="J209" i="1" a="1"/>
  <c r="J298" i="1" a="1"/>
  <c r="J341" i="1" a="1"/>
  <c r="J384" i="1" a="1"/>
  <c r="J442" i="1" a="1"/>
  <c r="J485" i="1" a="1"/>
  <c r="J528" i="1" a="1"/>
  <c r="J93" i="1" a="1"/>
  <c r="J165" i="1" a="1"/>
  <c r="J234" i="1" a="1"/>
  <c r="J282" i="1" a="1"/>
  <c r="J327" i="1" a="1"/>
  <c r="J385" i="1" a="1"/>
  <c r="J428" i="1" a="1"/>
  <c r="J471" i="1" a="1"/>
  <c r="J529" i="1" a="1"/>
  <c r="J555" i="1" a="1"/>
  <c r="J579" i="1" a="1"/>
  <c r="J603" i="1" a="1"/>
  <c r="J627" i="1" a="1"/>
  <c r="J651" i="1" a="1"/>
  <c r="J675" i="1" a="1"/>
  <c r="J99" i="1" a="1"/>
  <c r="J190" i="1" a="1"/>
  <c r="J246" i="1" a="1"/>
  <c r="J309" i="1" a="1"/>
  <c r="J347" i="1" a="1"/>
  <c r="J444" i="1" a="1"/>
  <c r="J482" i="1" a="1"/>
  <c r="J520" i="1" a="1"/>
  <c r="J706" i="1" a="1"/>
  <c r="J758" i="1" a="1"/>
  <c r="J782" i="1" a="1"/>
  <c r="J806" i="1" a="1"/>
  <c r="J830" i="1" a="1"/>
  <c r="J854" i="1" a="1"/>
  <c r="J61" i="1" a="1"/>
  <c r="J115" i="1" a="1"/>
  <c r="J179" i="1" a="1"/>
  <c r="J237" i="1" a="1"/>
  <c r="J279" i="1" a="1"/>
  <c r="J378" i="1" a="1"/>
  <c r="J416" i="1" a="1"/>
  <c r="J454" i="1" a="1"/>
  <c r="J557" i="1" a="1"/>
  <c r="J594" i="1" a="1"/>
  <c r="J76" i="1" a="1"/>
  <c r="J169" i="1" a="1"/>
  <c r="J292" i="1" a="1"/>
  <c r="J350" i="1" a="1"/>
  <c r="J388" i="1" a="1"/>
  <c r="J483" i="1" a="1"/>
  <c r="J523" i="1" a="1"/>
  <c r="J565" i="1" a="1"/>
  <c r="J116" i="1" a="1"/>
  <c r="J63" i="1" a="1"/>
  <c r="J52" i="1" a="1"/>
  <c r="J106" i="1" a="1"/>
  <c r="J67" i="1" a="1"/>
  <c r="J172" i="1" a="1"/>
  <c r="J107" i="1" a="1"/>
  <c r="J197" i="1" a="1"/>
  <c r="J243" i="1" a="1"/>
  <c r="J285" i="1" a="1"/>
  <c r="J324" i="1" a="1"/>
  <c r="J364" i="1" a="1"/>
  <c r="J459" i="1" a="1"/>
  <c r="J497" i="1" a="1"/>
  <c r="J545" i="1" a="1"/>
  <c r="J590" i="1" a="1"/>
  <c r="J619" i="1" a="1"/>
  <c r="J648" i="1" a="1"/>
  <c r="J677" i="1" a="1"/>
  <c r="J723" i="1" a="1"/>
  <c r="J81" i="1" a="1"/>
  <c r="J232" i="1" a="1"/>
  <c r="J316" i="1" a="1"/>
  <c r="J411" i="1" a="1"/>
  <c r="J451" i="1" a="1"/>
  <c r="J553" i="1" a="1"/>
  <c r="J710" i="1" a="1"/>
  <c r="J756" i="1" a="1"/>
  <c r="J780" i="1" a="1"/>
  <c r="J804" i="1" a="1"/>
  <c r="J828" i="1" a="1"/>
  <c r="J852" i="1" a="1"/>
  <c r="J876" i="1" a="1"/>
  <c r="J900" i="1" a="1"/>
  <c r="J924" i="1" a="1"/>
  <c r="J948" i="1" a="1"/>
  <c r="J972" i="1" a="1"/>
  <c r="J70" i="1" a="1"/>
  <c r="J124" i="1" a="1"/>
  <c r="J176" i="1" a="1"/>
  <c r="J254" i="1" a="1"/>
  <c r="J336" i="1" a="1"/>
  <c r="J374" i="1" a="1"/>
  <c r="J412" i="1" a="1"/>
  <c r="J509" i="1" a="1"/>
  <c r="J546" i="1" a="1"/>
  <c r="J592" i="1" a="1"/>
  <c r="J620" i="1" a="1"/>
  <c r="J649" i="1" a="1"/>
  <c r="J678" i="1" a="1"/>
  <c r="J724" i="1" a="1"/>
  <c r="J85" i="1" a="1"/>
  <c r="J177" i="1" a="1"/>
  <c r="J223" i="1" a="1"/>
  <c r="J267" i="1" a="1"/>
  <c r="J308" i="1" a="1"/>
  <c r="J346" i="1" a="1"/>
  <c r="J371" i="1" a="1"/>
  <c r="J504" i="1" a="1"/>
  <c r="J640" i="1" a="1"/>
  <c r="J702" i="1" a="1"/>
  <c r="J877" i="1" a="1"/>
  <c r="J923" i="1" a="1"/>
  <c r="J976" i="1" a="1"/>
  <c r="J303" i="1" a="1"/>
  <c r="J467" i="1" a="1"/>
  <c r="J559" i="1" a="1"/>
  <c r="J630" i="1" a="1"/>
  <c r="J733" i="1" a="1"/>
  <c r="J771" i="1" a="1"/>
  <c r="J807" i="1" a="1"/>
  <c r="J843" i="1" a="1"/>
  <c r="J909" i="1" a="1"/>
  <c r="J256" i="1" a="1"/>
  <c r="J352" i="1" a="1"/>
  <c r="J430" i="1" a="1"/>
  <c r="J631" i="1" a="1"/>
  <c r="J705" i="1" a="1"/>
  <c r="J781" i="1" a="1"/>
  <c r="J853" i="1" a="1"/>
  <c r="J902" i="1" a="1"/>
  <c r="J951" i="1" a="1"/>
  <c r="J260" i="1" a="1"/>
  <c r="J472" i="1" a="1"/>
  <c r="J665" i="1" a="1"/>
  <c r="J754" i="1" a="1"/>
  <c r="J826" i="1" a="1"/>
  <c r="J886" i="1" a="1"/>
  <c r="J945" i="1" a="1"/>
  <c r="J171" i="1" a="1"/>
  <c r="J311" i="1" a="1"/>
  <c r="J395" i="1" a="1"/>
  <c r="J530" i="1" a="1"/>
  <c r="J607" i="1" a="1"/>
  <c r="J666" i="1" a="1"/>
  <c r="J726" i="1" a="1"/>
  <c r="J919" i="1" a="1"/>
  <c r="J965" i="1" a="1"/>
  <c r="J417" i="1" a="1"/>
  <c r="J581" i="1" a="1"/>
  <c r="J696" i="1" a="1"/>
  <c r="J765" i="1" a="1"/>
  <c r="J801" i="1" a="1"/>
  <c r="J239" i="1" a="1"/>
  <c r="J400" i="1" a="1"/>
  <c r="J533" i="1" a="1"/>
  <c r="J667" i="1" a="1"/>
  <c r="J727" i="1" a="1"/>
  <c r="J793" i="1" a="1"/>
  <c r="J865" i="1" a="1"/>
  <c r="J913" i="1" a="1"/>
  <c r="J953" i="1" a="1"/>
  <c r="J340" i="1" a="1"/>
  <c r="J476" i="1" a="1"/>
  <c r="J596" i="1" a="1"/>
  <c r="J658" i="1" a="1"/>
  <c r="J738" i="1" a="1"/>
  <c r="J820" i="1" a="1"/>
  <c r="J897" i="1" a="1"/>
  <c r="J980" i="1" a="1"/>
  <c r="J270" i="1" a="1"/>
  <c r="J419" i="1" a="1"/>
  <c r="J552" i="1" a="1"/>
  <c r="J668" i="1" a="1"/>
  <c r="J728" i="1" a="1"/>
  <c r="J881" i="1" a="1"/>
  <c r="J921" i="1" a="1"/>
  <c r="J974" i="1" a="1"/>
  <c r="J574" i="1" a="1"/>
  <c r="J751" i="1" a="1"/>
  <c r="J194" i="1" a="1"/>
  <c r="J322" i="1" a="1"/>
  <c r="J461" i="1" a="1"/>
  <c r="J709" i="1" a="1"/>
  <c r="J767" i="1" a="1"/>
  <c r="J803" i="1" a="1"/>
  <c r="J839" i="1" a="1"/>
  <c r="J883" i="1" a="1"/>
  <c r="J955" i="1" a="1"/>
  <c r="J993" i="1" a="1"/>
  <c r="J1017" i="1" a="1"/>
  <c r="J672" i="1" a="1"/>
  <c r="J145" i="1" a="1"/>
  <c r="J386" i="1" a="1"/>
  <c r="J519" i="1" a="1"/>
  <c r="J586" i="1" a="1"/>
  <c r="J660" i="1" a="1"/>
  <c r="J769" i="1" a="1"/>
  <c r="J841" i="1" a="1"/>
  <c r="J915" i="1" a="1"/>
  <c r="J962" i="1" a="1"/>
  <c r="J272" i="1" a="1"/>
  <c r="J426" i="1" a="1"/>
  <c r="J682" i="1" a="1"/>
  <c r="J809" i="1" a="1"/>
  <c r="J1027" i="1" a="1"/>
  <c r="J996" i="1" a="1"/>
  <c r="J979" i="1" a="1"/>
  <c r="J1028" i="1" a="1"/>
  <c r="J997" i="1" a="1"/>
  <c r="J845" i="1" a="1"/>
  <c r="J990" i="1" a="1"/>
  <c r="J970" i="1" a="1"/>
  <c r="J1022" i="1" a="1"/>
  <c r="J1015" i="1" a="1"/>
  <c r="J984" i="1" a="1"/>
  <c r="J933" i="1" a="1"/>
  <c r="J957" i="1" a="1"/>
  <c r="J1016" i="1" a="1"/>
  <c r="J977" i="1" a="1"/>
  <c r="J994" i="1" a="1"/>
  <c r="J31" i="1" a="1"/>
  <c r="H50" i="1" a="1"/>
  <c r="H74" i="1" a="1"/>
  <c r="H98" i="1" a="1"/>
  <c r="H122" i="1" a="1"/>
  <c r="H146" i="1" a="1"/>
  <c r="H170" i="1" a="1"/>
  <c r="H194" i="1" a="1"/>
  <c r="H218" i="1" a="1"/>
  <c r="H242" i="1" a="1"/>
  <c r="H266" i="1" a="1"/>
  <c r="H290" i="1" a="1"/>
  <c r="H314" i="1" a="1"/>
  <c r="H338" i="1" a="1"/>
  <c r="H362" i="1" a="1"/>
  <c r="H386" i="1" a="1"/>
  <c r="H410" i="1" a="1"/>
  <c r="H434" i="1" a="1"/>
  <c r="H39" i="1" a="1"/>
  <c r="H63" i="1" a="1"/>
  <c r="H87" i="1" a="1"/>
  <c r="H111" i="1" a="1"/>
  <c r="H135" i="1" a="1"/>
  <c r="H159" i="1" a="1"/>
  <c r="H183" i="1" a="1"/>
  <c r="H207" i="1" a="1"/>
  <c r="H231" i="1" a="1"/>
  <c r="H255" i="1" a="1"/>
  <c r="H279" i="1" a="1"/>
  <c r="H303" i="1" a="1"/>
  <c r="H327" i="1" a="1"/>
  <c r="H351" i="1" a="1"/>
  <c r="H375" i="1" a="1"/>
  <c r="H399" i="1" a="1"/>
  <c r="H423" i="1" a="1"/>
  <c r="H447" i="1" a="1"/>
  <c r="H471" i="1" a="1"/>
  <c r="H36" i="1" a="1"/>
  <c r="H60" i="1" a="1"/>
  <c r="H84" i="1" a="1"/>
  <c r="H108" i="1" a="1"/>
  <c r="H132" i="1" a="1"/>
  <c r="H156" i="1" a="1"/>
  <c r="H180" i="1" a="1"/>
  <c r="H204" i="1" a="1"/>
  <c r="H228" i="1" a="1"/>
  <c r="H252" i="1" a="1"/>
  <c r="H276" i="1" a="1"/>
  <c r="H300" i="1" a="1"/>
  <c r="H324" i="1" a="1"/>
  <c r="H348" i="1" a="1"/>
  <c r="H372" i="1" a="1"/>
  <c r="H396" i="1" a="1"/>
  <c r="H420" i="1" a="1"/>
  <c r="H444" i="1" a="1"/>
  <c r="H468" i="1" a="1"/>
  <c r="H37" i="1" a="1"/>
  <c r="H61" i="1" a="1"/>
  <c r="H85" i="1" a="1"/>
  <c r="H109" i="1" a="1"/>
  <c r="H133" i="1" a="1"/>
  <c r="H157" i="1" a="1"/>
  <c r="H181" i="1" a="1"/>
  <c r="H205" i="1" a="1"/>
  <c r="H229" i="1" a="1"/>
  <c r="H253" i="1" a="1"/>
  <c r="H277" i="1" a="1"/>
  <c r="H172" i="1" a="1"/>
  <c r="H311" i="1" a="1"/>
  <c r="H383" i="1" a="1"/>
  <c r="H463" i="1" a="1"/>
  <c r="H520" i="1" a="1"/>
  <c r="H558" i="1" a="1"/>
  <c r="H582" i="1" a="1"/>
  <c r="H606" i="1" a="1"/>
  <c r="H70" i="1" a="1"/>
  <c r="H214" i="1" a="1"/>
  <c r="H501" i="1" a="1"/>
  <c r="H40" i="1" a="1"/>
  <c r="H184" i="1" a="1"/>
  <c r="H295" i="1" a="1"/>
  <c r="H331" i="1" a="1"/>
  <c r="H367" i="1" a="1"/>
  <c r="H403" i="1" a="1"/>
  <c r="H439" i="1" a="1"/>
  <c r="H488" i="1" a="1"/>
  <c r="H534" i="1" a="1"/>
  <c r="H559" i="1" a="1"/>
  <c r="H583" i="1" a="1"/>
  <c r="H607" i="1" a="1"/>
  <c r="H82" i="1" a="1"/>
  <c r="H298" i="1" a="1"/>
  <c r="H442" i="1" a="1"/>
  <c r="H538" i="1" a="1"/>
  <c r="H626" i="1" a="1"/>
  <c r="H191" i="1" a="1"/>
  <c r="H335" i="1" a="1"/>
  <c r="H454" i="1" a="1"/>
  <c r="H513" i="1" a="1"/>
  <c r="H556" i="1" a="1"/>
  <c r="H640" i="1" a="1"/>
  <c r="H686" i="1" a="1"/>
  <c r="H738" i="1" a="1"/>
  <c r="H179" i="1" a="1"/>
  <c r="H325" i="1" a="1"/>
  <c r="H457" i="1" a="1"/>
  <c r="H573" i="1" a="1"/>
  <c r="H647" i="1" a="1"/>
  <c r="H693" i="1" a="1"/>
  <c r="H739" i="1" a="1"/>
  <c r="H167" i="1" a="1"/>
  <c r="H301" i="1" a="1"/>
  <c r="H445" i="1" a="1"/>
  <c r="H532" i="1" a="1"/>
  <c r="H581" i="1" a="1"/>
  <c r="H628" i="1" a="1"/>
  <c r="H674" i="1" a="1"/>
  <c r="H726" i="1" a="1"/>
  <c r="H239" i="1" a="1"/>
  <c r="H652" i="1" a="1"/>
  <c r="H688" i="1" a="1"/>
  <c r="H763" i="1" a="1"/>
  <c r="H906" i="1" a="1"/>
  <c r="H930" i="1" a="1"/>
  <c r="H954" i="1" a="1"/>
  <c r="H978" i="1" a="1"/>
  <c r="H1002" i="1" a="1"/>
  <c r="H1026" i="1" a="1"/>
  <c r="H281" i="1" a="1"/>
  <c r="H425" i="1" a="1"/>
  <c r="H544" i="1" a="1"/>
  <c r="H636" i="1" a="1"/>
  <c r="H715" i="1" a="1"/>
  <c r="H756" i="1" a="1"/>
  <c r="H785" i="1" a="1"/>
  <c r="H814" i="1" a="1"/>
  <c r="H843" i="1" a="1"/>
  <c r="H872" i="1" a="1"/>
  <c r="H900" i="1" a="1"/>
  <c r="H263" i="1" a="1"/>
  <c r="H645" i="1" a="1"/>
  <c r="H681" i="1" a="1"/>
  <c r="H757" i="1" a="1"/>
  <c r="H907" i="1" a="1"/>
  <c r="H937" i="1" a="1"/>
  <c r="H961" i="1" a="1"/>
  <c r="H985" i="1" a="1"/>
  <c r="H226" i="1" a="1"/>
  <c r="H391" i="1" a="1"/>
  <c r="H493" i="1" a="1"/>
  <c r="H569" i="1" a="1"/>
  <c r="H698" i="1" a="1"/>
  <c r="H742" i="1" a="1"/>
  <c r="H779" i="1" a="1"/>
  <c r="H808" i="1" a="1"/>
  <c r="H202" i="1" a="1"/>
  <c r="H377" i="1" a="1"/>
  <c r="H124" i="1" a="1"/>
  <c r="H359" i="1" a="1"/>
  <c r="H496" i="1" a="1"/>
  <c r="H572" i="1" a="1"/>
  <c r="H648" i="1" a="1"/>
  <c r="H727" i="1" a="1"/>
  <c r="H759" i="1" a="1"/>
  <c r="H788" i="1" a="1"/>
  <c r="H816" i="1" a="1"/>
  <c r="H845" i="1" a="1"/>
  <c r="H874" i="1" a="1"/>
  <c r="H64" i="1" a="1"/>
  <c r="H343" i="1" a="1"/>
  <c r="H498" i="1" a="1"/>
  <c r="H574" i="1" a="1"/>
  <c r="H622" i="1" a="1"/>
  <c r="H657" i="1" a="1"/>
  <c r="H701" i="1" a="1"/>
  <c r="H889" i="1" a="1"/>
  <c r="H921" i="1" a="1"/>
  <c r="H469" i="1" a="1"/>
  <c r="H537" i="1" a="1"/>
  <c r="H728" i="1" a="1"/>
  <c r="H760" i="1" a="1"/>
  <c r="H789" i="1" a="1"/>
  <c r="H818" i="1" a="1"/>
  <c r="H846" i="1" a="1"/>
  <c r="H875" i="1" a="1"/>
  <c r="H65" i="1" a="1"/>
  <c r="H328" i="1" a="1"/>
  <c r="H452" i="1" a="1"/>
  <c r="H575" i="1" a="1"/>
  <c r="H623" i="1" a="1"/>
  <c r="H668" i="1" a="1"/>
  <c r="H702" i="1" a="1"/>
  <c r="H811" i="1" a="1"/>
  <c r="H910" i="1" a="1"/>
  <c r="H934" i="1" a="1"/>
  <c r="H958" i="1" a="1"/>
  <c r="H982" i="1" a="1"/>
  <c r="H1006" i="1" a="1"/>
  <c r="H1030" i="1" a="1"/>
  <c r="H578" i="1" a="1"/>
  <c r="H149" i="1" a="1"/>
  <c r="H382" i="1" a="1"/>
  <c r="H500" i="1" a="1"/>
  <c r="H611" i="1" a="1"/>
  <c r="H711" i="1" a="1"/>
  <c r="H754" i="1" a="1"/>
  <c r="H783" i="1" a="1"/>
  <c r="H812" i="1" a="1"/>
  <c r="H840" i="1" a="1"/>
  <c r="H869" i="1" a="1"/>
  <c r="H898" i="1" a="1"/>
  <c r="H529" i="1" a="1"/>
  <c r="H155" i="1" a="1"/>
  <c r="H490" i="1" a="1"/>
  <c r="H624" i="1" a="1"/>
  <c r="H659" i="1" a="1"/>
  <c r="H747" i="1" a="1"/>
  <c r="H877" i="1" a="1"/>
  <c r="H923" i="1" a="1"/>
  <c r="H947" i="1" a="1"/>
  <c r="H971" i="1" a="1"/>
  <c r="H995" i="1" a="1"/>
  <c r="H1019" i="1" a="1"/>
  <c r="H352" i="1" a="1"/>
  <c r="H602" i="1" a="1"/>
  <c r="H863" i="1" a="1"/>
  <c r="H762" i="1" a="1"/>
  <c r="H894" i="1" a="1"/>
  <c r="H1003" i="1" a="1"/>
  <c r="H920" i="1" a="1"/>
  <c r="H509" i="1" a="1"/>
  <c r="H901" i="1" a="1"/>
  <c r="H730" i="1" a="1"/>
  <c r="H925" i="1" a="1"/>
  <c r="H1005" i="1" a="1"/>
  <c r="H664" i="1" a="1"/>
  <c r="H968" i="1" a="1"/>
  <c r="H784" i="1" a="1"/>
  <c r="H926" i="1" a="1"/>
  <c r="H1021" i="1" a="1"/>
  <c r="H999" i="1" a="1"/>
  <c r="H682" i="1" a="1"/>
  <c r="H956" i="1" a="1"/>
  <c r="H770" i="1" a="1"/>
  <c r="H791" i="1" a="1"/>
  <c r="H927" i="1" a="1"/>
  <c r="H1022" i="1" a="1"/>
  <c r="H1011" i="1" a="1"/>
  <c r="H584" i="1" a="1"/>
  <c r="H944" i="1" a="1"/>
  <c r="H31" i="1" a="1"/>
  <c r="F51" i="1" a="1"/>
  <c r="F75" i="1" a="1"/>
  <c r="F99" i="1" a="1"/>
  <c r="F36" i="1" a="1"/>
  <c r="F55" i="1" a="1"/>
  <c r="F79" i="1" a="1"/>
  <c r="F103" i="1" a="1"/>
  <c r="F127" i="1" a="1"/>
  <c r="F151" i="1" a="1"/>
  <c r="F175" i="1" a="1"/>
  <c r="F199" i="1" a="1"/>
  <c r="F223" i="1" a="1"/>
  <c r="F247" i="1" a="1"/>
  <c r="F271" i="1" a="1"/>
  <c r="F295" i="1" a="1"/>
  <c r="F319" i="1" a="1"/>
  <c r="F343" i="1" a="1"/>
  <c r="F367" i="1" a="1"/>
  <c r="F391" i="1" a="1"/>
  <c r="F415" i="1" a="1"/>
  <c r="F439" i="1" a="1"/>
  <c r="F50" i="1" a="1"/>
  <c r="F98" i="1" a="1"/>
  <c r="F38" i="1" a="1"/>
  <c r="F118" i="1" a="1"/>
  <c r="F147" i="1" a="1"/>
  <c r="F176" i="1" a="1"/>
  <c r="F204" i="1" a="1"/>
  <c r="F233" i="1" a="1"/>
  <c r="F262" i="1" a="1"/>
  <c r="F291" i="1" a="1"/>
  <c r="F320" i="1" a="1"/>
  <c r="F348" i="1" a="1"/>
  <c r="F377" i="1" a="1"/>
  <c r="F406" i="1" a="1"/>
  <c r="F435" i="1" a="1"/>
  <c r="F463" i="1" a="1"/>
  <c r="F515" i="1" a="1"/>
  <c r="F71" i="1" a="1"/>
  <c r="F483" i="1" a="1"/>
  <c r="F529" i="1" a="1"/>
  <c r="F560" i="1" a="1"/>
  <c r="F584" i="1" a="1"/>
  <c r="F608" i="1" a="1"/>
  <c r="F632" i="1" a="1"/>
  <c r="F656" i="1" a="1"/>
  <c r="F680" i="1" a="1"/>
  <c r="F40" i="1" a="1"/>
  <c r="F88" i="1" a="1"/>
  <c r="F126" i="1" a="1"/>
  <c r="F155" i="1" a="1"/>
  <c r="F184" i="1" a="1"/>
  <c r="F213" i="1" a="1"/>
  <c r="F242" i="1" a="1"/>
  <c r="F270" i="1" a="1"/>
  <c r="F299" i="1" a="1"/>
  <c r="F328" i="1" a="1"/>
  <c r="F357" i="1" a="1"/>
  <c r="F386" i="1" a="1"/>
  <c r="F414" i="1" a="1"/>
  <c r="F443" i="1" a="1"/>
  <c r="F490" i="1" a="1"/>
  <c r="F536" i="1" a="1"/>
  <c r="F458" i="1" a="1"/>
  <c r="F510" i="1" a="1"/>
  <c r="F549" i="1" a="1"/>
  <c r="F573" i="1" a="1"/>
  <c r="F597" i="1" a="1"/>
  <c r="F621" i="1" a="1"/>
  <c r="F645" i="1" a="1"/>
  <c r="P937" i="1" a="1"/>
  <c r="P209" i="1" a="1"/>
  <c r="P325" i="1" a="1"/>
  <c r="P763" i="1" a="1"/>
  <c r="P977" i="1" a="1"/>
  <c r="P464" i="1" a="1"/>
  <c r="P755" i="1" a="1"/>
  <c r="P1001" i="1" a="1"/>
  <c r="P415" i="1" a="1"/>
  <c r="P717" i="1" a="1"/>
  <c r="P994" i="1" a="1"/>
  <c r="P317" i="1" a="1"/>
  <c r="P710" i="1" a="1"/>
  <c r="P980" i="1" a="1"/>
  <c r="P294" i="1" a="1"/>
  <c r="P577" i="1" a="1"/>
  <c r="P823" i="1" a="1"/>
  <c r="P97" i="1" a="1"/>
  <c r="P404" i="1" a="1"/>
  <c r="P945" i="1" a="1"/>
  <c r="P713" i="1" a="1"/>
  <c r="P207" i="1" a="1"/>
  <c r="P854" i="1" a="1"/>
  <c r="P385" i="1" a="1"/>
  <c r="P921" i="1" a="1"/>
  <c r="P474" i="1" a="1"/>
  <c r="P842" i="1" a="1"/>
  <c r="P617" i="1" a="1"/>
  <c r="P1021" i="1" a="1"/>
  <c r="P818" i="1" a="1"/>
  <c r="P348" i="1" a="1"/>
  <c r="P888" i="1" a="1"/>
  <c r="P719" i="1" a="1"/>
  <c r="P266" i="1" a="1"/>
  <c r="P912" i="1" a="1"/>
  <c r="P850" i="1" a="1"/>
  <c r="P193" i="1" a="1"/>
  <c r="P904" i="1" a="1"/>
  <c r="N80" i="1" a="1"/>
  <c r="N363" i="1" a="1"/>
  <c r="N140" i="1" a="1"/>
  <c r="N256" i="1" a="1"/>
  <c r="N371" i="1" a="1"/>
  <c r="N486" i="1" a="1"/>
  <c r="N591" i="1" a="1"/>
  <c r="N429" i="1" a="1"/>
  <c r="N163" i="1" a="1"/>
  <c r="N278" i="1" a="1"/>
  <c r="N394" i="1" a="1"/>
  <c r="N451" i="1" a="1"/>
  <c r="N509" i="1" a="1"/>
  <c r="N562" i="1" a="1"/>
  <c r="N610" i="1" a="1"/>
  <c r="N512" i="1" a="1"/>
  <c r="N659" i="1" a="1"/>
  <c r="N116" i="1" a="1"/>
  <c r="N203" i="1" a="1"/>
  <c r="N289" i="1" a="1"/>
  <c r="N376" i="1" a="1"/>
  <c r="N462" i="1" a="1"/>
  <c r="N582" i="1" a="1"/>
  <c r="N678" i="1" a="1"/>
  <c r="N453" i="1" a="1"/>
  <c r="N590" i="1" a="1"/>
  <c r="N53" i="1" a="1"/>
  <c r="N244" i="1" a="1"/>
  <c r="N389" i="1" a="1"/>
  <c r="N571" i="1" a="1"/>
  <c r="N682" i="1" a="1"/>
  <c r="N740" i="1" a="1"/>
  <c r="N821" i="1" a="1"/>
  <c r="N876" i="1" a="1"/>
  <c r="N924" i="1" a="1"/>
  <c r="N972" i="1" a="1"/>
  <c r="N1020" i="1" a="1"/>
  <c r="N274" i="1" a="1"/>
  <c r="N540" i="1" a="1"/>
  <c r="N776" i="1" a="1"/>
  <c r="N87" i="1" a="1"/>
  <c r="N245" i="1" a="1"/>
  <c r="N418" i="1" a="1"/>
  <c r="N563" i="1" a="1"/>
  <c r="N650" i="1" a="1"/>
  <c r="N727" i="1" a="1"/>
  <c r="N796" i="1" a="1"/>
  <c r="N859" i="1" a="1"/>
  <c r="N907" i="1" a="1"/>
  <c r="N955" i="1" a="1"/>
  <c r="N1003" i="1" a="1"/>
  <c r="N102" i="1" a="1"/>
  <c r="N261" i="1" a="1"/>
  <c r="N420" i="1" a="1"/>
  <c r="N607" i="1" a="1"/>
  <c r="N803" i="1" a="1"/>
  <c r="N123" i="1" a="1"/>
  <c r="N282" i="1" a="1"/>
  <c r="N439" i="1" a="1"/>
  <c r="N578" i="1" a="1"/>
  <c r="N687" i="1" a="1"/>
  <c r="N745" i="1" a="1"/>
  <c r="N786" i="1" a="1"/>
  <c r="N844" i="1" a="1"/>
  <c r="N874" i="1" a="1"/>
  <c r="N904" i="1" a="1"/>
  <c r="N940" i="1" a="1"/>
  <c r="N970" i="1" a="1"/>
  <c r="N1000" i="1" a="1"/>
  <c r="N48" i="1" a="1"/>
  <c r="N153" i="1" a="1"/>
  <c r="N76" i="1" a="1"/>
  <c r="N240" i="1" a="1"/>
  <c r="N367" i="1" a="1"/>
  <c r="N488" i="1" a="1"/>
  <c r="N652" i="1" a="1"/>
  <c r="N717" i="1" a="1"/>
  <c r="N866" i="1" a="1"/>
  <c r="N947" i="1" a="1"/>
  <c r="N43" i="1" a="1"/>
  <c r="N570" i="1" a="1"/>
  <c r="N779" i="1" a="1"/>
  <c r="N908" i="1" a="1"/>
  <c r="N103" i="1" a="1"/>
  <c r="N243" i="1" a="1"/>
  <c r="N681" i="1" a="1"/>
  <c r="N836" i="1" a="1"/>
  <c r="N468" i="1" a="1"/>
  <c r="N165" i="1" a="1"/>
  <c r="N319" i="1" a="1"/>
  <c r="N492" i="1" a="1"/>
  <c r="N707" i="1" a="1"/>
  <c r="N768" i="1" a="1"/>
  <c r="N878" i="1" a="1"/>
  <c r="N959" i="1" a="1"/>
  <c r="N166" i="1" a="1"/>
  <c r="N296" i="1" a="1"/>
  <c r="N424" i="1" a="1"/>
  <c r="N576" i="1" a="1"/>
  <c r="N695" i="1" a="1"/>
  <c r="N771" i="1" a="1"/>
  <c r="N814" i="1" a="1"/>
  <c r="N857" i="1" a="1"/>
  <c r="N981" i="1" a="1"/>
  <c r="N79" i="1" a="1"/>
  <c r="N297" i="1" a="1"/>
  <c r="N518" i="1" a="1"/>
  <c r="N656" i="1" a="1"/>
  <c r="N746" i="1" a="1"/>
  <c r="N890" i="1" a="1"/>
  <c r="N971" i="1" a="1"/>
  <c r="N252" i="1" a="1"/>
  <c r="N425" i="1" a="1"/>
  <c r="N519" i="1" a="1"/>
  <c r="N612" i="1" a="1"/>
  <c r="N699" i="1" a="1"/>
  <c r="N794" i="1" a="1"/>
  <c r="N869" i="1" a="1"/>
  <c r="N993" i="1" a="1"/>
  <c r="N207" i="1" a="1"/>
  <c r="N326" i="1" a="1"/>
  <c r="N454" i="1" a="1"/>
  <c r="N644" i="1" a="1"/>
  <c r="N618" i="1" a="1"/>
  <c r="N787" i="1" a="1"/>
  <c r="N956" i="1" a="1"/>
  <c r="N122" i="1" a="1"/>
  <c r="N811" i="1" a="1"/>
  <c r="N998" i="1" a="1"/>
  <c r="N434" i="1" a="1"/>
  <c r="N818" i="1" a="1"/>
  <c r="N983" i="1" a="1"/>
  <c r="N382" i="1" a="1"/>
  <c r="N664" i="1" a="1"/>
  <c r="N797" i="1" a="1"/>
  <c r="N1005" i="1" a="1"/>
  <c r="N383" i="1" a="1"/>
  <c r="N751" i="1" a="1"/>
  <c r="N923" i="1" a="1"/>
  <c r="N506" i="1" a="1"/>
  <c r="N728" i="1" a="1"/>
  <c r="N884" i="1" a="1"/>
  <c r="N154" i="1" a="1"/>
  <c r="N560" i="1" a="1"/>
  <c r="N799" i="1" a="1"/>
  <c r="N987" i="1" a="1"/>
  <c r="N362" i="1" a="1"/>
  <c r="N581" i="1" a="1"/>
  <c r="N788" i="1" a="1"/>
  <c r="N977" i="1" a="1"/>
  <c r="N229" i="1" a="1"/>
  <c r="N645" i="1" a="1"/>
  <c r="N778" i="1" a="1"/>
  <c r="N968" i="1" a="1"/>
  <c r="N283" i="1" a="1"/>
  <c r="N602" i="1" a="1"/>
  <c r="N830" i="1" a="1"/>
  <c r="N100" i="1" a="1"/>
  <c r="N525" i="1" a="1"/>
  <c r="N785" i="1" a="1"/>
  <c r="N953" i="1" a="1"/>
  <c r="N238" i="1" a="1"/>
  <c r="N738" i="1" a="1"/>
  <c r="N914" i="1" a="1"/>
  <c r="L33" i="1" a="1"/>
  <c r="L32" i="1" a="1"/>
  <c r="L75" i="1" a="1"/>
  <c r="L123" i="1" a="1"/>
  <c r="L171" i="1" a="1"/>
  <c r="L219" i="1" a="1"/>
  <c r="L267" i="1" a="1"/>
  <c r="L315" i="1" a="1"/>
  <c r="L107" i="1" a="1"/>
  <c r="L203" i="1" a="1"/>
  <c r="L299" i="1" a="1"/>
  <c r="L395" i="1" a="1"/>
  <c r="L52" i="1" a="1"/>
  <c r="L84" i="1" a="1"/>
  <c r="L116" i="1" a="1"/>
  <c r="L148" i="1" a="1"/>
  <c r="L180" i="1" a="1"/>
  <c r="L212" i="1" a="1"/>
  <c r="L244" i="1" a="1"/>
  <c r="L276" i="1" a="1"/>
  <c r="L69" i="1" a="1"/>
  <c r="L117" i="1" a="1"/>
  <c r="L165" i="1" a="1"/>
  <c r="L213" i="1" a="1"/>
  <c r="L261" i="1" a="1"/>
  <c r="L53" i="1" a="1"/>
  <c r="L149" i="1" a="1"/>
  <c r="L245" i="1" a="1"/>
  <c r="L341" i="1" a="1"/>
  <c r="L70" i="1" a="1"/>
  <c r="L102" i="1" a="1"/>
  <c r="L134" i="1" a="1"/>
  <c r="L166" i="1" a="1"/>
  <c r="L198" i="1" a="1"/>
  <c r="L230" i="1" a="1"/>
  <c r="L262" i="1" a="1"/>
  <c r="L63" i="1" a="1"/>
  <c r="L111" i="1" a="1"/>
  <c r="L159" i="1" a="1"/>
  <c r="L207" i="1" a="1"/>
  <c r="L255" i="1" a="1"/>
  <c r="L303" i="1" a="1"/>
  <c r="L119" i="1" a="1"/>
  <c r="L215" i="1" a="1"/>
  <c r="L311" i="1" a="1"/>
  <c r="L407" i="1" a="1"/>
  <c r="L528" i="1" a="1"/>
  <c r="L64" i="1" a="1"/>
  <c r="L96" i="1" a="1"/>
  <c r="L128" i="1" a="1"/>
  <c r="L160" i="1" a="1"/>
  <c r="L192" i="1" a="1"/>
  <c r="L224" i="1" a="1"/>
  <c r="L256" i="1" a="1"/>
  <c r="L288" i="1" a="1"/>
  <c r="L320" i="1" a="1"/>
  <c r="L352" i="1" a="1"/>
  <c r="L384" i="1" a="1"/>
  <c r="L416" i="1" a="1"/>
  <c r="L448" i="1" a="1"/>
  <c r="L478" i="1" a="1"/>
  <c r="L507" i="1" a="1"/>
  <c r="L536" i="1" a="1"/>
  <c r="L561" i="1" a="1"/>
  <c r="L585" i="1" a="1"/>
  <c r="L609" i="1" a="1"/>
  <c r="L633" i="1" a="1"/>
  <c r="L657" i="1" a="1"/>
  <c r="L681" i="1" a="1"/>
  <c r="L705" i="1" a="1"/>
  <c r="L729" i="1" a="1"/>
  <c r="L753" i="1" a="1"/>
  <c r="L777" i="1" a="1"/>
  <c r="L801" i="1" a="1"/>
  <c r="L825" i="1" a="1"/>
  <c r="L849" i="1" a="1"/>
  <c r="L873" i="1" a="1"/>
  <c r="L897" i="1" a="1"/>
  <c r="L48" i="1" a="1"/>
  <c r="L97" i="1" a="1"/>
  <c r="L145" i="1" a="1"/>
  <c r="L193" i="1" a="1"/>
  <c r="L241" i="1" a="1"/>
  <c r="L289" i="1" a="1"/>
  <c r="L337" i="1" a="1"/>
  <c r="L385" i="1" a="1"/>
  <c r="L433" i="1" a="1"/>
  <c r="L522" i="1" a="1"/>
  <c r="L185" i="1" a="1"/>
  <c r="L318" i="1" a="1"/>
  <c r="L406" i="1" a="1"/>
  <c r="L462" i="1" a="1"/>
  <c r="L564" i="1" a="1"/>
  <c r="L660" i="1" a="1"/>
  <c r="L756" i="1" a="1"/>
  <c r="L852" i="1" a="1"/>
  <c r="L981" i="1" a="1"/>
  <c r="L138" i="1" a="1"/>
  <c r="L301" i="1" a="1"/>
  <c r="L396" i="1" a="1"/>
  <c r="L473" i="1" a="1"/>
  <c r="L531" i="1" a="1"/>
  <c r="L572" i="1" a="1"/>
  <c r="L620" i="1" a="1"/>
  <c r="L668" i="1" a="1"/>
  <c r="L716" i="1" a="1"/>
  <c r="L764" i="1" a="1"/>
  <c r="L812" i="1" a="1"/>
  <c r="L860" i="1" a="1"/>
  <c r="L908" i="1" a="1"/>
  <c r="L938" i="1" a="1"/>
  <c r="L967" i="1" a="1"/>
  <c r="L996" i="1" a="1"/>
  <c r="L1025" i="1" a="1"/>
  <c r="L322" i="1" a="1"/>
  <c r="L421" i="1" a="1"/>
  <c r="L483" i="1" a="1"/>
  <c r="L541" i="1" a="1"/>
  <c r="L589" i="1" a="1"/>
  <c r="L637" i="1" a="1"/>
  <c r="L685" i="1" a="1"/>
  <c r="L733" i="1" a="1"/>
  <c r="L781" i="1" a="1"/>
  <c r="L829" i="1" a="1"/>
  <c r="L877" i="1" a="1"/>
  <c r="L939" i="1" a="1"/>
  <c r="L98" i="1" a="1"/>
  <c r="L282" i="1" a="1"/>
  <c r="L410" i="1" a="1"/>
  <c r="L475" i="1" a="1"/>
  <c r="L582" i="1" a="1"/>
  <c r="L678" i="1" a="1"/>
  <c r="L774" i="1" a="1"/>
  <c r="L870" i="1" a="1"/>
  <c r="L932" i="1" a="1"/>
  <c r="L961" i="1" a="1"/>
  <c r="L990" i="1" a="1"/>
  <c r="L1019" i="1" a="1"/>
  <c r="L324" i="1" a="1"/>
  <c r="L374" i="1" a="1"/>
  <c r="L422" i="1" a="1"/>
  <c r="L484" i="1" a="1"/>
  <c r="L524" i="1" a="1"/>
  <c r="L575" i="1" a="1"/>
  <c r="L623" i="1" a="1"/>
  <c r="L671" i="1" a="1"/>
  <c r="L719" i="1" a="1"/>
  <c r="L767" i="1" a="1"/>
  <c r="L815" i="1" a="1"/>
  <c r="L863" i="1" a="1"/>
  <c r="L911" i="1" a="1"/>
  <c r="L58" i="1" a="1"/>
  <c r="L250" i="1" a="1"/>
  <c r="L339" i="1" a="1"/>
  <c r="L388" i="1" a="1"/>
  <c r="L476" i="1" a="1"/>
  <c r="L533" i="1" a="1"/>
  <c r="L583" i="1" a="1"/>
  <c r="L631" i="1" a="1"/>
  <c r="L679" i="1" a="1"/>
  <c r="L727" i="1" a="1"/>
  <c r="L775" i="1" a="1"/>
  <c r="L823" i="1" a="1"/>
  <c r="L871" i="1" a="1"/>
  <c r="L919" i="1" a="1"/>
  <c r="L948" i="1" a="1"/>
  <c r="L977" i="1" a="1"/>
  <c r="L1006" i="1" a="1"/>
  <c r="L226" i="1" a="1"/>
  <c r="L209" i="1" a="1"/>
  <c r="L340" i="1" a="1"/>
  <c r="L425" i="1" a="1"/>
  <c r="L467" i="1" a="1"/>
  <c r="L534" i="1" a="1"/>
  <c r="L624" i="1" a="1"/>
  <c r="L720" i="1" a="1"/>
  <c r="L816" i="1" a="1"/>
  <c r="L912" i="1" a="1"/>
  <c r="L298" i="1" a="1"/>
  <c r="L210" i="1" a="1"/>
  <c r="L327" i="1" a="1"/>
  <c r="L389" i="1" a="1"/>
  <c r="L447" i="1" a="1"/>
  <c r="L488" i="1" a="1"/>
  <c r="L545" i="1" a="1"/>
  <c r="L593" i="1" a="1"/>
  <c r="L641" i="1" a="1"/>
  <c r="L689" i="1" a="1"/>
  <c r="L737" i="1" a="1"/>
  <c r="L785" i="1" a="1"/>
  <c r="L833" i="1" a="1"/>
  <c r="L881" i="1" a="1"/>
  <c r="L928" i="1" a="1"/>
  <c r="L956" i="1" a="1"/>
  <c r="L985" i="1" a="1"/>
  <c r="L1014" i="1" a="1"/>
  <c r="L527" i="1" a="1"/>
  <c r="L698" i="1" a="1"/>
  <c r="L890" i="1" a="1"/>
  <c r="L510" i="1" a="1"/>
  <c r="L787" i="1" a="1"/>
  <c r="L944" i="1" a="1"/>
  <c r="L329" i="1" a="1"/>
  <c r="L379" i="1" a="1"/>
  <c r="L427" i="1" a="1"/>
  <c r="L479" i="1" a="1"/>
  <c r="L537" i="1" a="1"/>
  <c r="L586" i="1" a="1"/>
  <c r="L634" i="1" a="1"/>
  <c r="L682" i="1" a="1"/>
  <c r="L730" i="1" a="1"/>
  <c r="L778" i="1" a="1"/>
  <c r="L826" i="1" a="1"/>
  <c r="L874" i="1" a="1"/>
  <c r="L921" i="1" a="1"/>
  <c r="L316" i="1" a="1"/>
  <c r="L499" i="1" a="1"/>
  <c r="L650" i="1" a="1"/>
  <c r="L803" i="1" a="1"/>
  <c r="L82" i="1" a="1"/>
  <c r="L547" i="1" a="1"/>
  <c r="L652" i="1" a="1"/>
  <c r="L772" i="1" a="1"/>
  <c r="L916" i="1" a="1"/>
  <c r="L995" i="1" a="1"/>
  <c r="L170" i="1" a="1"/>
  <c r="L314" i="1" a="1"/>
  <c r="L367" i="1" a="1"/>
  <c r="L415" i="1" a="1"/>
  <c r="L460" i="1" a="1"/>
  <c r="L518" i="1" a="1"/>
  <c r="L618" i="1" a="1"/>
  <c r="L714" i="1" a="1"/>
  <c r="L810" i="1" a="1"/>
  <c r="L906" i="1" a="1"/>
  <c r="L943" i="1" a="1"/>
  <c r="L972" i="1" a="1"/>
  <c r="L1001" i="1" a="1"/>
  <c r="L1030" i="1" a="1"/>
  <c r="L405" i="1" a="1"/>
  <c r="L554" i="1" a="1"/>
  <c r="L659" i="1" a="1"/>
  <c r="L779" i="1" a="1"/>
  <c r="L899" i="1" a="1"/>
  <c r="L346" i="1" a="1"/>
  <c r="L530" i="1" a="1"/>
  <c r="L643" i="1" a="1"/>
  <c r="L763" i="1" a="1"/>
  <c r="L907" i="1" a="1"/>
  <c r="L988" i="1" a="1"/>
  <c r="J36" i="1" a="1"/>
  <c r="J60" i="1" a="1"/>
  <c r="J84" i="1" a="1"/>
  <c r="J108" i="1" a="1"/>
  <c r="J132" i="1" a="1"/>
  <c r="J156" i="1" a="1"/>
  <c r="J180" i="1" a="1"/>
  <c r="J204" i="1" a="1"/>
  <c r="J50" i="1" a="1"/>
  <c r="J86" i="1" a="1"/>
  <c r="J122" i="1" a="1"/>
  <c r="J158" i="1" a="1"/>
  <c r="J241" i="1" a="1"/>
  <c r="J273" i="1" a="1"/>
  <c r="J319" i="1" a="1"/>
  <c r="J362" i="1" a="1"/>
  <c r="J405" i="1" a="1"/>
  <c r="J463" i="1" a="1"/>
  <c r="J506" i="1" a="1"/>
  <c r="J548" i="1" a="1"/>
  <c r="J38" i="1" a="1"/>
  <c r="J74" i="1" a="1"/>
  <c r="J110" i="1" a="1"/>
  <c r="J146" i="1" a="1"/>
  <c r="J182" i="1" a="1"/>
  <c r="J226" i="1" a="1"/>
  <c r="J305" i="1" a="1"/>
  <c r="J348" i="1" a="1"/>
  <c r="J406" i="1" a="1"/>
  <c r="J449" i="1" a="1"/>
  <c r="J492" i="1" a="1"/>
  <c r="J39" i="1" a="1"/>
  <c r="J111" i="1" a="1"/>
  <c r="J183" i="1" a="1"/>
  <c r="J242" i="1" a="1"/>
  <c r="J290" i="1" a="1"/>
  <c r="J349" i="1" a="1"/>
  <c r="J392" i="1" a="1"/>
  <c r="J435" i="1" a="1"/>
  <c r="J493" i="1" a="1"/>
  <c r="J536" i="1" a="1"/>
  <c r="J561" i="1" a="1"/>
  <c r="J585" i="1" a="1"/>
  <c r="J609" i="1" a="1"/>
  <c r="J633" i="1" a="1"/>
  <c r="J657" i="1" a="1"/>
  <c r="J33" i="1" a="1"/>
  <c r="J141" i="1" a="1"/>
  <c r="J203" i="1" a="1"/>
  <c r="J278" i="1" a="1"/>
  <c r="J318" i="1" a="1"/>
  <c r="J358" i="1" a="1"/>
  <c r="J453" i="1" a="1"/>
  <c r="J491" i="1" a="1"/>
  <c r="J564" i="1" a="1"/>
  <c r="J719" i="1" a="1"/>
  <c r="J764" i="1" a="1"/>
  <c r="J788" i="1" a="1"/>
  <c r="J812" i="1" a="1"/>
  <c r="J836" i="1" a="1"/>
  <c r="J860" i="1" a="1"/>
  <c r="J73" i="1" a="1"/>
  <c r="J127" i="1" a="1"/>
  <c r="J193" i="1" a="1"/>
  <c r="J247" i="1" a="1"/>
  <c r="J291" i="1" a="1"/>
  <c r="J387" i="1" a="1"/>
  <c r="J425" i="1" a="1"/>
  <c r="J522" i="1" a="1"/>
  <c r="J572" i="1" a="1"/>
  <c r="J601" i="1" a="1"/>
  <c r="J103" i="1" a="1"/>
  <c r="J205" i="1" a="1"/>
  <c r="J321" i="1" a="1"/>
  <c r="J359" i="1" a="1"/>
  <c r="J397" i="1" a="1"/>
  <c r="J494" i="1" a="1"/>
  <c r="J532" i="1" a="1"/>
  <c r="J35" i="1" a="1"/>
  <c r="J143" i="1" a="1"/>
  <c r="J105" i="1" a="1"/>
  <c r="J64" i="1" a="1"/>
  <c r="J118" i="1" a="1"/>
  <c r="J94" i="1" a="1"/>
  <c r="J185" i="1" a="1"/>
  <c r="J134" i="1" a="1"/>
  <c r="J211" i="1" a="1"/>
  <c r="J253" i="1" a="1"/>
  <c r="J295" i="1" a="1"/>
  <c r="J335" i="1" a="1"/>
  <c r="J373" i="1" a="1"/>
  <c r="J468" i="1" a="1"/>
  <c r="J508" i="1" a="1"/>
  <c r="J569" i="1" a="1"/>
  <c r="J598" i="1" a="1"/>
  <c r="J626" i="1" a="1"/>
  <c r="J655" i="1" a="1"/>
  <c r="J690" i="1" a="1"/>
  <c r="J736" i="1" a="1"/>
  <c r="J123" i="1" a="1"/>
  <c r="J244" i="1" a="1"/>
  <c r="J325" i="1" a="1"/>
  <c r="J422" i="1" a="1"/>
  <c r="J460" i="1" a="1"/>
  <c r="J562" i="1" a="1"/>
  <c r="J717" i="1" a="1"/>
  <c r="J762" i="1" a="1"/>
  <c r="J786" i="1" a="1"/>
  <c r="J810" i="1" a="1"/>
  <c r="J834" i="1" a="1"/>
  <c r="J858" i="1" a="1"/>
  <c r="J882" i="1" a="1"/>
  <c r="J906" i="1" a="1"/>
  <c r="J930" i="1" a="1"/>
  <c r="J954" i="1" a="1"/>
  <c r="J978" i="1" a="1"/>
  <c r="J82" i="1" a="1"/>
  <c r="J136" i="1" a="1"/>
  <c r="J199" i="1" a="1"/>
  <c r="J264" i="1" a="1"/>
  <c r="J345" i="1" a="1"/>
  <c r="J383" i="1" a="1"/>
  <c r="J480" i="1" a="1"/>
  <c r="J518" i="1" a="1"/>
  <c r="J570" i="1" a="1"/>
  <c r="J599" i="1" a="1"/>
  <c r="J628" i="1" a="1"/>
  <c r="J656" i="1" a="1"/>
  <c r="J691" i="1" a="1"/>
  <c r="J737" i="1" a="1"/>
  <c r="J112" i="1" a="1"/>
  <c r="J188" i="1" a="1"/>
  <c r="J235" i="1" a="1"/>
  <c r="J277" i="1" a="1"/>
  <c r="J317" i="1" a="1"/>
  <c r="J44" i="1" a="1"/>
  <c r="J389" i="1" a="1"/>
  <c r="J524" i="1" a="1"/>
  <c r="J652" i="1" a="1"/>
  <c r="J713" i="1" a="1"/>
  <c r="J892" i="1" a="1"/>
  <c r="J937" i="1" a="1"/>
  <c r="J160" i="1" a="1"/>
  <c r="J351" i="1" a="1"/>
  <c r="J487" i="1" a="1"/>
  <c r="J575" i="1" a="1"/>
  <c r="J683" i="1" a="1"/>
  <c r="J742" i="1" a="1"/>
  <c r="J779" i="1" a="1"/>
  <c r="J815" i="1" a="1"/>
  <c r="J851" i="1" a="1"/>
  <c r="J931" i="1" a="1"/>
  <c r="J283" i="1" a="1"/>
  <c r="J372" i="1" a="1"/>
  <c r="J448" i="1" a="1"/>
  <c r="J653" i="1" a="1"/>
  <c r="J714" i="1" a="1"/>
  <c r="J799" i="1" a="1"/>
  <c r="J869" i="1" a="1"/>
  <c r="J917" i="1" a="1"/>
  <c r="J170" i="1" a="1"/>
  <c r="J414" i="1" a="1"/>
  <c r="J490" i="1" a="1"/>
  <c r="J695" i="1" a="1"/>
  <c r="J772" i="1" a="1"/>
  <c r="J844" i="1" a="1"/>
  <c r="J895" i="1" a="1"/>
  <c r="J958" i="1" a="1"/>
  <c r="J207" i="1" a="1"/>
  <c r="J332" i="1" a="1"/>
  <c r="J415" i="1" a="1"/>
  <c r="J547" i="1" a="1"/>
  <c r="J632" i="1" a="1"/>
  <c r="J676" i="1" a="1"/>
  <c r="J735" i="1" a="1"/>
  <c r="J926" i="1" a="1"/>
  <c r="J178" i="1" a="1"/>
  <c r="J437" i="1" a="1"/>
  <c r="J595" i="1" a="1"/>
  <c r="J707" i="1" a="1"/>
  <c r="J773" i="1" a="1"/>
  <c r="J125" i="1" a="1"/>
  <c r="J314" i="1" a="1"/>
  <c r="J418" i="1" a="1"/>
  <c r="J551" i="1" a="1"/>
  <c r="J688" i="1" a="1"/>
  <c r="J747" i="1" a="1"/>
  <c r="J811" i="1" a="1"/>
  <c r="J880" i="1" a="1"/>
  <c r="J920" i="1" a="1"/>
  <c r="J216" i="1" a="1"/>
  <c r="J361" i="1" a="1"/>
  <c r="J496" i="1" a="1"/>
  <c r="J611" i="1" a="1"/>
  <c r="J679" i="1" a="1"/>
  <c r="J766" i="1" a="1"/>
  <c r="J838" i="1" a="1"/>
  <c r="J934" i="1" a="1"/>
  <c r="J189" i="1" a="1"/>
  <c r="J342" i="1" a="1"/>
  <c r="J439" i="1" a="1"/>
  <c r="J637" i="1" a="1"/>
  <c r="J680" i="1" a="1"/>
  <c r="J739" i="1" a="1"/>
  <c r="J890" i="1" a="1"/>
  <c r="J928" i="1" a="1"/>
  <c r="J196" i="1" a="1"/>
  <c r="J616" i="1" a="1"/>
  <c r="J778" i="1" a="1"/>
  <c r="J220" i="1" a="1"/>
  <c r="J343" i="1" a="1"/>
  <c r="J481" i="1" a="1"/>
  <c r="J720" i="1" a="1"/>
  <c r="J777" i="1" a="1"/>
  <c r="J813" i="1" a="1"/>
  <c r="J849" i="1" a="1"/>
  <c r="J898" i="1" a="1"/>
  <c r="J968" i="1" a="1"/>
  <c r="J999" i="1" a="1"/>
  <c r="J1023" i="1" a="1"/>
  <c r="J712" i="1" a="1"/>
  <c r="J195" i="1" a="1"/>
  <c r="J404" i="1" a="1"/>
  <c r="J539" i="1" a="1"/>
  <c r="J600" i="1" a="1"/>
  <c r="J701" i="1" a="1"/>
  <c r="J787" i="1" a="1"/>
  <c r="J859" i="1" a="1"/>
  <c r="J922" i="1" a="1"/>
  <c r="J975" i="1" a="1"/>
  <c r="J302" i="1" a="1"/>
  <c r="J466" i="1" a="1"/>
  <c r="J721" i="1" a="1"/>
  <c r="J988" i="1" a="1"/>
  <c r="J819" i="1" a="1"/>
  <c r="J1020" i="1" a="1"/>
  <c r="J989" i="1" a="1"/>
  <c r="J946" i="1" a="1"/>
  <c r="J1006" i="1" a="1"/>
  <c r="J908" i="1" a="1"/>
  <c r="J1014" i="1" a="1"/>
  <c r="J983" i="1" a="1"/>
  <c r="J855" i="1" a="1"/>
  <c r="J1024" i="1" a="1"/>
  <c r="J1008" i="1" a="1"/>
  <c r="J986" i="1" a="1"/>
  <c r="J973" i="1" a="1"/>
  <c r="J1025" i="1" a="1"/>
  <c r="J995" i="1" a="1"/>
  <c r="J1009" i="1" a="1"/>
  <c r="H32" i="1" a="1"/>
  <c r="H56" i="1" a="1"/>
  <c r="H80" i="1" a="1"/>
  <c r="H104" i="1" a="1"/>
  <c r="H128" i="1" a="1"/>
  <c r="H152" i="1" a="1"/>
  <c r="H176" i="1" a="1"/>
  <c r="H200" i="1" a="1"/>
  <c r="H224" i="1" a="1"/>
  <c r="H248" i="1" a="1"/>
  <c r="H272" i="1" a="1"/>
  <c r="H296" i="1" a="1"/>
  <c r="H320" i="1" a="1"/>
  <c r="H344" i="1" a="1"/>
  <c r="H368" i="1" a="1"/>
  <c r="H392" i="1" a="1"/>
  <c r="H416" i="1" a="1"/>
  <c r="H440" i="1" a="1"/>
  <c r="H45" i="1" a="1"/>
  <c r="H69" i="1" a="1"/>
  <c r="H93" i="1" a="1"/>
  <c r="H117" i="1" a="1"/>
  <c r="H141" i="1" a="1"/>
  <c r="H165" i="1" a="1"/>
  <c r="H189" i="1" a="1"/>
  <c r="H213" i="1" a="1"/>
  <c r="H237" i="1" a="1"/>
  <c r="H261" i="1" a="1"/>
  <c r="H285" i="1" a="1"/>
  <c r="H309" i="1" a="1"/>
  <c r="H333" i="1" a="1"/>
  <c r="H357" i="1" a="1"/>
  <c r="H381" i="1" a="1"/>
  <c r="H405" i="1" a="1"/>
  <c r="H429" i="1" a="1"/>
  <c r="H453" i="1" a="1"/>
  <c r="H477" i="1" a="1"/>
  <c r="H42" i="1" a="1"/>
  <c r="H66" i="1" a="1"/>
  <c r="H90" i="1" a="1"/>
  <c r="H114" i="1" a="1"/>
  <c r="H138" i="1" a="1"/>
  <c r="H162" i="1" a="1"/>
  <c r="H186" i="1" a="1"/>
  <c r="H210" i="1" a="1"/>
  <c r="H234" i="1" a="1"/>
  <c r="H258" i="1" a="1"/>
  <c r="H282" i="1" a="1"/>
  <c r="H306" i="1" a="1"/>
  <c r="H330" i="1" a="1"/>
  <c r="H354" i="1" a="1"/>
  <c r="H378" i="1" a="1"/>
  <c r="H402" i="1" a="1"/>
  <c r="H426" i="1" a="1"/>
  <c r="H450" i="1" a="1"/>
  <c r="H474" i="1" a="1"/>
  <c r="H43" i="1" a="1"/>
  <c r="H67" i="1" a="1"/>
  <c r="H91" i="1" a="1"/>
  <c r="H115" i="1" a="1"/>
  <c r="H139" i="1" a="1"/>
  <c r="H163" i="1" a="1"/>
  <c r="H187" i="1" a="1"/>
  <c r="H211" i="1" a="1"/>
  <c r="H235" i="1" a="1"/>
  <c r="H259" i="1" a="1"/>
  <c r="H89" i="1" a="1"/>
  <c r="H233" i="1" a="1"/>
  <c r="H329" i="1" a="1"/>
  <c r="H401" i="1" a="1"/>
  <c r="H487" i="1" a="1"/>
  <c r="H533" i="1" a="1"/>
  <c r="H564" i="1" a="1"/>
  <c r="H588" i="1" a="1"/>
  <c r="H612" i="1" a="1"/>
  <c r="H131" i="1" a="1"/>
  <c r="H275" i="1" a="1"/>
  <c r="H514" i="1" a="1"/>
  <c r="H101" i="1" a="1"/>
  <c r="H245" i="1" a="1"/>
  <c r="H304" i="1" a="1"/>
  <c r="H340" i="1" a="1"/>
  <c r="H376" i="1" a="1"/>
  <c r="H412" i="1" a="1"/>
  <c r="H448" i="1" a="1"/>
  <c r="H495" i="1" a="1"/>
  <c r="H541" i="1" a="1"/>
  <c r="H565" i="1" a="1"/>
  <c r="H589" i="1" a="1"/>
  <c r="H613" i="1" a="1"/>
  <c r="H107" i="1" a="1"/>
  <c r="H334" i="1" a="1"/>
  <c r="H475" i="1" a="1"/>
  <c r="H555" i="1" a="1"/>
  <c r="H83" i="1" a="1"/>
  <c r="H220" i="1" a="1"/>
  <c r="H371" i="1" a="1"/>
  <c r="H466" i="1" a="1"/>
  <c r="H523" i="1" a="1"/>
  <c r="H580" i="1" a="1"/>
  <c r="H653" i="1" a="1"/>
  <c r="H699" i="1" a="1"/>
  <c r="H71" i="1" a="1"/>
  <c r="H208" i="1" a="1"/>
  <c r="H361" i="1" a="1"/>
  <c r="H497" i="1" a="1"/>
  <c r="H597" i="1" a="1"/>
  <c r="H660" i="1" a="1"/>
  <c r="H706" i="1" a="1"/>
  <c r="H745" i="1" a="1"/>
  <c r="H196" i="1" a="1"/>
  <c r="H337" i="1" a="1"/>
  <c r="H467" i="1" a="1"/>
  <c r="H542" i="1" a="1"/>
  <c r="H590" i="1" a="1"/>
  <c r="H641" i="1" a="1"/>
  <c r="H687" i="1" a="1"/>
  <c r="H733" i="1" a="1"/>
  <c r="H491" i="1" a="1"/>
  <c r="H662" i="1" a="1"/>
  <c r="H696" i="1" a="1"/>
  <c r="H799" i="1" a="1"/>
  <c r="H912" i="1" a="1"/>
  <c r="H936" i="1" a="1"/>
  <c r="H960" i="1" a="1"/>
  <c r="H984" i="1" a="1"/>
  <c r="H1008" i="1" a="1"/>
  <c r="H76" i="1" a="1"/>
  <c r="H317" i="1" a="1"/>
  <c r="H460" i="1" a="1"/>
  <c r="H568" i="1" a="1"/>
  <c r="H679" i="1" a="1"/>
  <c r="H723" i="1" a="1"/>
  <c r="H764" i="1" a="1"/>
  <c r="H792" i="1" a="1"/>
  <c r="H821" i="1" a="1"/>
  <c r="H850" i="1" a="1"/>
  <c r="H879" i="1" a="1"/>
  <c r="H35" i="1" a="1"/>
  <c r="H478" i="1" a="1"/>
  <c r="H655" i="1" a="1"/>
  <c r="H689" i="1" a="1"/>
  <c r="H793" i="1" a="1"/>
  <c r="H913" i="1" a="1"/>
  <c r="H943" i="1" a="1"/>
  <c r="H967" i="1" a="1"/>
  <c r="H77" i="1" a="1"/>
  <c r="H283" i="1" a="1"/>
  <c r="H427" i="1" a="1"/>
  <c r="H519" i="1" a="1"/>
  <c r="H593" i="1" a="1"/>
  <c r="H716" i="1" a="1"/>
  <c r="H758" i="1" a="1"/>
  <c r="H786" i="1" a="1"/>
  <c r="H815" i="1" a="1"/>
  <c r="H268" i="1" a="1"/>
  <c r="H413" i="1" a="1"/>
  <c r="H227" i="1" a="1"/>
  <c r="H395" i="1" a="1"/>
  <c r="H522" i="1" a="1"/>
  <c r="H596" i="1" a="1"/>
  <c r="H691" i="1" a="1"/>
  <c r="H735" i="1" a="1"/>
  <c r="H766" i="1" a="1"/>
  <c r="H795" i="1" a="1"/>
  <c r="H824" i="1" a="1"/>
  <c r="H852" i="1" a="1"/>
  <c r="H881" i="1" a="1"/>
  <c r="H209" i="1" a="1"/>
  <c r="H379" i="1" a="1"/>
  <c r="H510" i="1" a="1"/>
  <c r="H585" i="1" a="1"/>
  <c r="H631" i="1" a="1"/>
  <c r="H665" i="1" a="1"/>
  <c r="H781" i="1" a="1"/>
  <c r="H903" i="1" a="1"/>
  <c r="H46" i="1" a="1"/>
  <c r="H499" i="1" a="1"/>
  <c r="H692" i="1" a="1"/>
  <c r="H736" i="1" a="1"/>
  <c r="H767" i="1" a="1"/>
  <c r="H796" i="1" a="1"/>
  <c r="H825" i="1" a="1"/>
  <c r="H854" i="1" a="1"/>
  <c r="H882" i="1" a="1"/>
  <c r="H88" i="1" a="1"/>
  <c r="H364" i="1" a="1"/>
  <c r="H484" i="1" a="1"/>
  <c r="H586" i="1" a="1"/>
  <c r="H632" i="1" a="1"/>
  <c r="H676" i="1" a="1"/>
  <c r="H720" i="1" a="1"/>
  <c r="H847" i="1" a="1"/>
  <c r="H916" i="1" a="1"/>
  <c r="H940" i="1" a="1"/>
  <c r="H964" i="1" a="1"/>
  <c r="H988" i="1" a="1"/>
  <c r="H1012" i="1" a="1"/>
  <c r="H197" i="1" a="1"/>
  <c r="H615" i="1" a="1"/>
  <c r="H232" i="1" a="1"/>
  <c r="H418" i="1" a="1"/>
  <c r="H526" i="1" a="1"/>
  <c r="H642" i="1" a="1"/>
  <c r="H721" i="1" a="1"/>
  <c r="H761" i="1" a="1"/>
  <c r="H790" i="1" a="1"/>
  <c r="H819" i="1" a="1"/>
  <c r="H848" i="1" a="1"/>
  <c r="H876" i="1" a="1"/>
  <c r="H257" i="1" a="1"/>
  <c r="H554" i="1" a="1"/>
  <c r="H215" i="1" a="1"/>
  <c r="H502" i="1" a="1"/>
  <c r="H633" i="1" a="1"/>
  <c r="H669" i="1" a="1"/>
  <c r="H769" i="1" a="1"/>
  <c r="H905" i="1" a="1"/>
  <c r="H929" i="1" a="1"/>
  <c r="H953" i="1" a="1"/>
  <c r="H977" i="1" a="1"/>
  <c r="H1001" i="1" a="1"/>
  <c r="H1025" i="1" a="1"/>
  <c r="H473" i="1" a="1"/>
  <c r="H635" i="1" a="1"/>
  <c r="H892" i="1" a="1"/>
  <c r="H806" i="1" a="1"/>
  <c r="H962" i="1" a="1"/>
  <c r="H1015" i="1" a="1"/>
  <c r="H933" i="1" a="1"/>
  <c r="H646" i="1" a="1"/>
  <c r="H980" i="1" a="1"/>
  <c r="H777" i="1" a="1"/>
  <c r="H938" i="1" a="1"/>
  <c r="H1017" i="1" a="1"/>
  <c r="H822" i="1" a="1"/>
  <c r="H981" i="1" a="1"/>
  <c r="H823" i="1" a="1"/>
  <c r="H939" i="1" a="1"/>
  <c r="H755" i="1" a="1"/>
  <c r="H842" i="1" a="1"/>
  <c r="H787" i="1" a="1"/>
  <c r="H969" i="1" a="1"/>
  <c r="H963" i="1" a="1"/>
  <c r="H830" i="1" a="1"/>
  <c r="H986" i="1" a="1"/>
  <c r="H834" i="1" a="1"/>
  <c r="H813" i="1" a="1"/>
  <c r="H750" i="1" a="1"/>
  <c r="H957" i="1" a="1"/>
  <c r="F33" i="1" a="1"/>
  <c r="F57" i="1" a="1"/>
  <c r="F81" i="1" a="1"/>
  <c r="F105" i="1" a="1"/>
  <c r="F37" i="1" a="1"/>
  <c r="F61" i="1" a="1"/>
  <c r="F85" i="1" a="1"/>
  <c r="F109" i="1" a="1"/>
  <c r="F133" i="1" a="1"/>
  <c r="F157" i="1" a="1"/>
  <c r="F181" i="1" a="1"/>
  <c r="F205" i="1" a="1"/>
  <c r="F229" i="1" a="1"/>
  <c r="F253" i="1" a="1"/>
  <c r="F277" i="1" a="1"/>
  <c r="F301" i="1" a="1"/>
  <c r="F325" i="1" a="1"/>
  <c r="F349" i="1" a="1"/>
  <c r="F373" i="1" a="1"/>
  <c r="F397" i="1" a="1"/>
  <c r="F421" i="1" a="1"/>
  <c r="F445" i="1" a="1"/>
  <c r="F58" i="1" a="1"/>
  <c r="F106" i="1" a="1"/>
  <c r="F54" i="1" a="1"/>
  <c r="F125" i="1" a="1"/>
  <c r="F154" i="1" a="1"/>
  <c r="F183" i="1" a="1"/>
  <c r="F212" i="1" a="1"/>
  <c r="F240" i="1" a="1"/>
  <c r="F269" i="1" a="1"/>
  <c r="F298" i="1" a="1"/>
  <c r="F327" i="1" a="1"/>
  <c r="F356" i="1" a="1"/>
  <c r="F384" i="1" a="1"/>
  <c r="F413" i="1" a="1"/>
  <c r="F442" i="1" a="1"/>
  <c r="F476" i="1" a="1"/>
  <c r="F528" i="1" a="1"/>
  <c r="F95" i="1" a="1"/>
  <c r="F496" i="1" a="1"/>
  <c r="F542" i="1" a="1"/>
  <c r="F566" i="1" a="1"/>
  <c r="F590" i="1" a="1"/>
  <c r="F614" i="1" a="1"/>
  <c r="F638" i="1" a="1"/>
  <c r="F662" i="1" a="1"/>
  <c r="F686" i="1" a="1"/>
  <c r="F56" i="1" a="1"/>
  <c r="F104" i="1" a="1"/>
  <c r="F134" i="1" a="1"/>
  <c r="F162" i="1" a="1"/>
  <c r="F191" i="1" a="1"/>
  <c r="F220" i="1" a="1"/>
  <c r="F249" i="1" a="1"/>
  <c r="F278" i="1" a="1"/>
  <c r="F306" i="1" a="1"/>
  <c r="F335" i="1" a="1"/>
  <c r="F364" i="1" a="1"/>
  <c r="F393" i="1" a="1"/>
  <c r="F422" i="1" a="1"/>
  <c r="F450" i="1" a="1"/>
  <c r="F503" i="1" a="1"/>
  <c r="F48" i="1" a="1"/>
  <c r="F471" i="1" a="1"/>
  <c r="F517" i="1" a="1"/>
  <c r="F555" i="1" a="1"/>
  <c r="F579" i="1" a="1"/>
  <c r="F603" i="1" a="1"/>
  <c r="F627" i="1" a="1"/>
  <c r="F651" i="1" a="1"/>
  <c r="P983" i="1" a="1"/>
  <c r="P134" i="1" a="1"/>
  <c r="P376" i="1" a="1"/>
  <c r="P819" i="1" a="1"/>
  <c r="P71" i="1" a="1"/>
  <c r="P562" i="1" a="1"/>
  <c r="P836" i="1" a="1"/>
  <c r="P167" i="1" a="1"/>
  <c r="P503" i="1" a="1"/>
  <c r="P812" i="1" a="1"/>
  <c r="P94" i="1" a="1"/>
  <c r="P392" i="1" a="1"/>
  <c r="P805" i="1" a="1"/>
  <c r="P1027" i="1" a="1"/>
  <c r="P343" i="1" a="1"/>
  <c r="P650" i="1" a="1"/>
  <c r="P879" i="1" a="1"/>
  <c r="P204" i="1" a="1"/>
  <c r="P533" i="1" a="1"/>
  <c r="P77" i="1" a="1"/>
  <c r="P779" i="1" a="1"/>
  <c r="P307" i="1" a="1"/>
  <c r="P960" i="1" a="1"/>
  <c r="P611" i="1" a="1"/>
  <c r="P1003" i="1" a="1"/>
  <c r="P558" i="1" a="1"/>
  <c r="P976" i="1" a="1"/>
  <c r="P738" i="1" a="1"/>
  <c r="P321" i="1" a="1"/>
  <c r="P942" i="1" a="1"/>
  <c r="P484" i="1" a="1"/>
  <c r="P997" i="1" a="1"/>
  <c r="P785" i="1" a="1"/>
  <c r="P499" i="1" a="1"/>
  <c r="P992" i="1" a="1"/>
  <c r="P674" i="1" a="1"/>
  <c r="P971" i="1" a="1"/>
  <c r="P248" i="1" a="1"/>
  <c r="N41" i="1" a="1"/>
  <c r="N507" i="1" a="1"/>
  <c r="N169" i="1" a="1"/>
  <c r="N284" i="1" a="1"/>
  <c r="N400" i="1" a="1"/>
  <c r="N515" i="1" a="1"/>
  <c r="N42" i="1" a="1"/>
  <c r="N59" i="1" a="1"/>
  <c r="N192" i="1" a="1"/>
  <c r="N307" i="1" a="1"/>
  <c r="N401" i="1" a="1"/>
  <c r="N458" i="1" a="1"/>
  <c r="N516" i="1" a="1"/>
  <c r="N568" i="1" a="1"/>
  <c r="N159" i="1" a="1"/>
  <c r="N541" i="1" a="1"/>
  <c r="N36" i="1" a="1"/>
  <c r="N128" i="1" a="1"/>
  <c r="N215" i="1" a="1"/>
  <c r="N301" i="1" a="1"/>
  <c r="N388" i="1" a="1"/>
  <c r="N474" i="1" a="1"/>
  <c r="N606" i="1" a="1"/>
  <c r="N117" i="1" a="1"/>
  <c r="N496" i="1" a="1"/>
  <c r="N599" i="1" a="1"/>
  <c r="N85" i="1" a="1"/>
  <c r="N259" i="1" a="1"/>
  <c r="N416" i="1" a="1"/>
  <c r="N583" i="1" a="1"/>
  <c r="N689" i="1" a="1"/>
  <c r="N747" i="1" a="1"/>
  <c r="N834" i="1" a="1"/>
  <c r="N882" i="1" a="1"/>
  <c r="N930" i="1" a="1"/>
  <c r="N978" i="1" a="1"/>
  <c r="N1026" i="1" a="1"/>
  <c r="N303" i="1" a="1"/>
  <c r="N552" i="1" a="1"/>
  <c r="N789" i="1" a="1"/>
  <c r="N115" i="1" a="1"/>
  <c r="N260" i="1" a="1"/>
  <c r="N433" i="1" a="1"/>
  <c r="N572" i="1" a="1"/>
  <c r="N668" i="1" a="1"/>
  <c r="N734" i="1" a="1"/>
  <c r="N809" i="1" a="1"/>
  <c r="N865" i="1" a="1"/>
  <c r="N913" i="1" a="1"/>
  <c r="N961" i="1" a="1"/>
  <c r="N1009" i="1" a="1"/>
  <c r="N118" i="1" a="1"/>
  <c r="N275" i="1" a="1"/>
  <c r="N448" i="1" a="1"/>
  <c r="N651" i="1" a="1"/>
  <c r="N816" i="1" a="1"/>
  <c r="N137" i="1" a="1"/>
  <c r="N310" i="1" a="1"/>
  <c r="N455" i="1" a="1"/>
  <c r="N611" i="1" a="1"/>
  <c r="N694" i="1" a="1"/>
  <c r="N752" i="1" a="1"/>
  <c r="N806" i="1" a="1"/>
  <c r="N850" i="1" a="1"/>
  <c r="N880" i="1" a="1"/>
  <c r="N916" i="1" a="1"/>
  <c r="N946" i="1" a="1"/>
  <c r="N976" i="1" a="1"/>
  <c r="N1012" i="1" a="1"/>
  <c r="N64" i="1" a="1"/>
  <c r="N167" i="1" a="1"/>
  <c r="N132" i="1" a="1"/>
  <c r="N294" i="1" a="1"/>
  <c r="N391" i="1" a="1"/>
  <c r="N532" i="1" a="1"/>
  <c r="N665" i="1" a="1"/>
  <c r="N812" i="1" a="1"/>
  <c r="N875" i="1" a="1"/>
  <c r="N999" i="1" a="1"/>
  <c r="N269" i="1" a="1"/>
  <c r="N608" i="1" a="1"/>
  <c r="N801" i="1" a="1"/>
  <c r="N980" i="1" a="1"/>
  <c r="N135" i="1" a="1"/>
  <c r="N511" i="1" a="1"/>
  <c r="N743" i="1" a="1"/>
  <c r="N897" i="1" a="1"/>
  <c r="N77" i="1" a="1"/>
  <c r="N194" i="1" a="1"/>
  <c r="N341" i="1" a="1"/>
  <c r="N554" i="1" a="1"/>
  <c r="N721" i="1" a="1"/>
  <c r="N780" i="1" a="1"/>
  <c r="N887" i="1" a="1"/>
  <c r="N1011" i="1" a="1"/>
  <c r="N195" i="1" a="1"/>
  <c r="N324" i="1" a="1"/>
  <c r="N445" i="1" a="1"/>
  <c r="N639" i="1" a="1"/>
  <c r="N708" i="1" a="1"/>
  <c r="N781" i="1" a="1"/>
  <c r="N826" i="1" a="1"/>
  <c r="N909" i="1" a="1"/>
  <c r="N992" i="1" a="1"/>
  <c r="N110" i="1" a="1"/>
  <c r="N351" i="1" a="1"/>
  <c r="N593" i="1" a="1"/>
  <c r="N696" i="1" a="1"/>
  <c r="N805" i="1" a="1"/>
  <c r="N899" i="1" a="1"/>
  <c r="N1023" i="1" a="1"/>
  <c r="N276" i="1" a="1"/>
  <c r="N449" i="1" a="1"/>
  <c r="N539" i="1" a="1"/>
  <c r="N657" i="1" a="1"/>
  <c r="N710" i="1" a="1"/>
  <c r="N827" i="1" a="1"/>
  <c r="N921" i="1" a="1"/>
  <c r="N1004" i="1" a="1"/>
  <c r="N253" i="1" a="1"/>
  <c r="N380" i="1" a="1"/>
  <c r="N478" i="1" a="1"/>
  <c r="N661" i="1" a="1"/>
  <c r="N688" i="1" a="1"/>
  <c r="N810" i="1" a="1"/>
  <c r="N1017" i="1" a="1"/>
  <c r="N308" i="1" a="1"/>
  <c r="N854" i="1" a="1"/>
  <c r="N254" i="1" a="1"/>
  <c r="N630" i="1" a="1"/>
  <c r="N839" i="1" a="1"/>
  <c r="N67" i="1" a="1"/>
  <c r="N499" i="1" a="1"/>
  <c r="N700" i="1" a="1"/>
  <c r="N861" i="1" a="1"/>
  <c r="N1025" i="1" a="1"/>
  <c r="N438" i="1" a="1"/>
  <c r="N774" i="1" a="1"/>
  <c r="N986" i="1" a="1"/>
  <c r="N600" i="1" a="1"/>
  <c r="N775" i="1" a="1"/>
  <c r="N945" i="1" a="1"/>
  <c r="N211" i="1" a="1"/>
  <c r="N601" i="1" a="1"/>
  <c r="N843" i="1" a="1"/>
  <c r="N1007" i="1" a="1"/>
  <c r="N427" i="1" a="1"/>
  <c r="N662" i="1" a="1"/>
  <c r="N833" i="1" a="1"/>
  <c r="N125" i="1" a="1"/>
  <c r="N405" i="1" a="1"/>
  <c r="N677" i="1" a="1"/>
  <c r="N800" i="1" a="1"/>
  <c r="N1029" i="1" a="1"/>
  <c r="N338" i="1" a="1"/>
  <c r="N679" i="1" a="1"/>
  <c r="N891" i="1" a="1"/>
  <c r="N233" i="1" a="1"/>
  <c r="N617" i="1" a="1"/>
  <c r="N807" i="1" a="1"/>
  <c r="N1016" i="1" a="1"/>
  <c r="N411" i="1" a="1"/>
  <c r="N764" i="1" a="1"/>
  <c r="N975" i="1" a="1"/>
  <c r="L39" i="1" a="1"/>
  <c r="L41" i="1" a="1"/>
  <c r="L91" i="1" a="1"/>
  <c r="L139" i="1" a="1"/>
  <c r="L187" i="1" a="1"/>
  <c r="L235" i="1" a="1"/>
  <c r="L283" i="1" a="1"/>
  <c r="L42" i="1" a="1"/>
  <c r="L131" i="1" a="1"/>
  <c r="L227" i="1" a="1"/>
  <c r="L323" i="1" a="1"/>
  <c r="L419" i="1" a="1"/>
  <c r="L60" i="1" a="1"/>
  <c r="L92" i="1" a="1"/>
  <c r="L124" i="1" a="1"/>
  <c r="L156" i="1" a="1"/>
  <c r="L188" i="1" a="1"/>
  <c r="L220" i="1" a="1"/>
  <c r="L252" i="1" a="1"/>
  <c r="L284" i="1" a="1"/>
  <c r="L85" i="1" a="1"/>
  <c r="L133" i="1" a="1"/>
  <c r="L181" i="1" a="1"/>
  <c r="L229" i="1" a="1"/>
  <c r="L277" i="1" a="1"/>
  <c r="L77" i="1" a="1"/>
  <c r="L173" i="1" a="1"/>
  <c r="L269" i="1" a="1"/>
  <c r="L36" i="1" a="1"/>
  <c r="L78" i="1" a="1"/>
  <c r="L110" i="1" a="1"/>
  <c r="L142" i="1" a="1"/>
  <c r="L174" i="1" a="1"/>
  <c r="L206" i="1" a="1"/>
  <c r="L238" i="1" a="1"/>
  <c r="L37" i="1" a="1"/>
  <c r="L79" i="1" a="1"/>
  <c r="L127" i="1" a="1"/>
  <c r="L175" i="1" a="1"/>
  <c r="L223" i="1" a="1"/>
  <c r="L271" i="1" a="1"/>
  <c r="L319" i="1" a="1"/>
  <c r="L143" i="1" a="1"/>
  <c r="L239" i="1" a="1"/>
  <c r="L335" i="1" a="1"/>
  <c r="L431" i="1" a="1"/>
  <c r="L38" i="1" a="1"/>
  <c r="L72" i="1" a="1"/>
  <c r="L104" i="1" a="1"/>
  <c r="L136" i="1" a="1"/>
  <c r="L168" i="1" a="1"/>
  <c r="L200" i="1" a="1"/>
  <c r="L232" i="1" a="1"/>
  <c r="L264" i="1" a="1"/>
  <c r="L296" i="1" a="1"/>
  <c r="L328" i="1" a="1"/>
  <c r="L360" i="1" a="1"/>
  <c r="L392" i="1" a="1"/>
  <c r="L424" i="1" a="1"/>
  <c r="L456" i="1" a="1"/>
  <c r="L485" i="1" a="1"/>
  <c r="L514" i="1" a="1"/>
  <c r="L543" i="1" a="1"/>
  <c r="L567" i="1" a="1"/>
  <c r="L591" i="1" a="1"/>
  <c r="L615" i="1" a="1"/>
  <c r="L639" i="1" a="1"/>
  <c r="L663" i="1" a="1"/>
  <c r="L687" i="1" a="1"/>
  <c r="L711" i="1" a="1"/>
  <c r="L735" i="1" a="1"/>
  <c r="L759" i="1" a="1"/>
  <c r="L783" i="1" a="1"/>
  <c r="L807" i="1" a="1"/>
  <c r="L831" i="1" a="1"/>
  <c r="L855" i="1" a="1"/>
  <c r="L879" i="1" a="1"/>
  <c r="L903" i="1" a="1"/>
  <c r="L57" i="1" a="1"/>
  <c r="L105" i="1" a="1"/>
  <c r="L153" i="1" a="1"/>
  <c r="L201" i="1" a="1"/>
  <c r="L249" i="1" a="1"/>
  <c r="L297" i="1" a="1"/>
  <c r="L345" i="1" a="1"/>
  <c r="L393" i="1" a="1"/>
  <c r="L441" i="1" a="1"/>
  <c r="L40" i="1" a="1"/>
  <c r="L233" i="1" a="1"/>
  <c r="L333" i="1" a="1"/>
  <c r="L430" i="1" a="1"/>
  <c r="L482" i="1" a="1"/>
  <c r="L588" i="1" a="1"/>
  <c r="L684" i="1" a="1"/>
  <c r="L780" i="1" a="1"/>
  <c r="L876" i="1" a="1"/>
  <c r="L1017" i="1" a="1"/>
  <c r="L186" i="1" a="1"/>
  <c r="L334" i="1" a="1"/>
  <c r="L420" i="1" a="1"/>
  <c r="L491" i="1" a="1"/>
  <c r="L540" i="1" a="1"/>
  <c r="L581" i="1" a="1"/>
  <c r="L629" i="1" a="1"/>
  <c r="L677" i="1" a="1"/>
  <c r="L725" i="1" a="1"/>
  <c r="L773" i="1" a="1"/>
  <c r="L821" i="1" a="1"/>
  <c r="L869" i="1" a="1"/>
  <c r="L917" i="1" a="1"/>
  <c r="L946" i="1" a="1"/>
  <c r="L974" i="1" a="1"/>
  <c r="L1003" i="1" a="1"/>
  <c r="L49" i="1" a="1"/>
  <c r="L349" i="1" a="1"/>
  <c r="L443" i="1" a="1"/>
  <c r="L494" i="1" a="1"/>
  <c r="L550" i="1" a="1"/>
  <c r="L598" i="1" a="1"/>
  <c r="L646" i="1" a="1"/>
  <c r="L694" i="1" a="1"/>
  <c r="L742" i="1" a="1"/>
  <c r="L790" i="1" a="1"/>
  <c r="L838" i="1" a="1"/>
  <c r="L886" i="1" a="1"/>
  <c r="L975" i="1" a="1"/>
  <c r="L146" i="1" a="1"/>
  <c r="L305" i="1" a="1"/>
  <c r="L434" i="1" a="1"/>
  <c r="L503" i="1" a="1"/>
  <c r="L606" i="1" a="1"/>
  <c r="L702" i="1" a="1"/>
  <c r="L798" i="1" a="1"/>
  <c r="L894" i="1" a="1"/>
  <c r="L940" i="1" a="1"/>
  <c r="L968" i="1" a="1"/>
  <c r="L997" i="1" a="1"/>
  <c r="L1026" i="1" a="1"/>
  <c r="L338" i="1" a="1"/>
  <c r="L387" i="1" a="1"/>
  <c r="L435" i="1" a="1"/>
  <c r="L495" i="1" a="1"/>
  <c r="L542" i="1" a="1"/>
  <c r="L590" i="1" a="1"/>
  <c r="L638" i="1" a="1"/>
  <c r="L686" i="1" a="1"/>
  <c r="L734" i="1" a="1"/>
  <c r="L782" i="1" a="1"/>
  <c r="L830" i="1" a="1"/>
  <c r="L878" i="1" a="1"/>
  <c r="L933" i="1" a="1"/>
  <c r="L106" i="1" a="1"/>
  <c r="L286" i="1" a="1"/>
  <c r="L351" i="1" a="1"/>
  <c r="L399" i="1" a="1"/>
  <c r="L487" i="1" a="1"/>
  <c r="L544" i="1" a="1"/>
  <c r="L592" i="1" a="1"/>
  <c r="L640" i="1" a="1"/>
  <c r="L688" i="1" a="1"/>
  <c r="L736" i="1" a="1"/>
  <c r="L784" i="1" a="1"/>
  <c r="L832" i="1" a="1"/>
  <c r="L880" i="1" a="1"/>
  <c r="L926" i="1" a="1"/>
  <c r="L955" i="1" a="1"/>
  <c r="L984" i="1" a="1"/>
  <c r="L1013" i="1" a="1"/>
  <c r="L65" i="1" a="1"/>
  <c r="L257" i="1" a="1"/>
  <c r="L353" i="1" a="1"/>
  <c r="L436" i="1" a="1"/>
  <c r="L496" i="1" a="1"/>
  <c r="L552" i="1" a="1"/>
  <c r="L648" i="1" a="1"/>
  <c r="L744" i="1" a="1"/>
  <c r="L840" i="1" a="1"/>
  <c r="L927" i="1" a="1"/>
  <c r="L66" i="1" a="1"/>
  <c r="L258" i="1" a="1"/>
  <c r="L354" i="1" a="1"/>
  <c r="L402" i="1" a="1"/>
  <c r="L459" i="1" a="1"/>
  <c r="L506" i="1" a="1"/>
  <c r="L560" i="1" a="1"/>
  <c r="L608" i="1" a="1"/>
  <c r="L656" i="1" a="1"/>
  <c r="L704" i="1" a="1"/>
  <c r="L752" i="1" a="1"/>
  <c r="L800" i="1" a="1"/>
  <c r="L848" i="1" a="1"/>
  <c r="L896" i="1" a="1"/>
  <c r="L935" i="1" a="1"/>
  <c r="L964" i="1" a="1"/>
  <c r="L992" i="1" a="1"/>
  <c r="L1021" i="1" a="1"/>
  <c r="L563" i="1" a="1"/>
  <c r="L770" i="1" a="1"/>
  <c r="L914" i="1" a="1"/>
  <c r="L571" i="1" a="1"/>
  <c r="L820" i="1" a="1"/>
  <c r="L973" i="1" a="1"/>
  <c r="L342" i="1" a="1"/>
  <c r="L390" i="1" a="1"/>
  <c r="L437" i="1" a="1"/>
  <c r="L497" i="1" a="1"/>
  <c r="L553" i="1" a="1"/>
  <c r="L601" i="1" a="1"/>
  <c r="L649" i="1" a="1"/>
  <c r="L697" i="1" a="1"/>
  <c r="L745" i="1" a="1"/>
  <c r="L793" i="1" a="1"/>
  <c r="L841" i="1" a="1"/>
  <c r="L889" i="1" a="1"/>
  <c r="L957" i="1" a="1"/>
  <c r="L357" i="1" a="1"/>
  <c r="L538" i="1" a="1"/>
  <c r="L683" i="1" a="1"/>
  <c r="L851" i="1" a="1"/>
  <c r="L370" i="1" a="1"/>
  <c r="L580" i="1" a="1"/>
  <c r="L676" i="1" a="1"/>
  <c r="L811" i="1" a="1"/>
  <c r="L937" i="1" a="1"/>
  <c r="L1016" i="1" a="1"/>
  <c r="L218" i="1" a="1"/>
  <c r="L330" i="1" a="1"/>
  <c r="L380" i="1" a="1"/>
  <c r="L428" i="1" a="1"/>
  <c r="L480" i="1" a="1"/>
  <c r="L546" i="1" a="1"/>
  <c r="L642" i="1" a="1"/>
  <c r="L738" i="1" a="1"/>
  <c r="L834" i="1" a="1"/>
  <c r="L922" i="1" a="1"/>
  <c r="L950" i="1" a="1"/>
  <c r="L979" i="1" a="1"/>
  <c r="L1008" i="1" a="1"/>
  <c r="L270" i="1" a="1"/>
  <c r="L439" i="1" a="1"/>
  <c r="L578" i="1" a="1"/>
  <c r="L707" i="1" a="1"/>
  <c r="L827" i="1" a="1"/>
  <c r="L951" i="1" a="1"/>
  <c r="L394" i="1" a="1"/>
  <c r="L556" i="1" a="1"/>
  <c r="L667" i="1" a="1"/>
  <c r="L796" i="1" a="1"/>
  <c r="L930" i="1" a="1"/>
  <c r="L1009" i="1" a="1"/>
  <c r="J42" i="1" a="1"/>
  <c r="J66" i="1" a="1"/>
  <c r="J90" i="1" a="1"/>
  <c r="J114" i="1" a="1"/>
  <c r="J138" i="1" a="1"/>
  <c r="J162" i="1" a="1"/>
  <c r="J186" i="1" a="1"/>
  <c r="J210" i="1" a="1"/>
  <c r="J59" i="1" a="1"/>
  <c r="J95" i="1" a="1"/>
  <c r="J131" i="1" a="1"/>
  <c r="J217" i="1" a="1"/>
  <c r="J249" i="1" a="1"/>
  <c r="J281" i="1" a="1"/>
  <c r="J326" i="1" a="1"/>
  <c r="J369" i="1" a="1"/>
  <c r="J427" i="1" a="1"/>
  <c r="J470" i="1" a="1"/>
  <c r="J513" i="1" a="1"/>
  <c r="J554" i="1" a="1"/>
  <c r="J47" i="1" a="1"/>
  <c r="J83" i="1" a="1"/>
  <c r="J119" i="1" a="1"/>
  <c r="J155" i="1" a="1"/>
  <c r="J191" i="1" a="1"/>
  <c r="J250" i="1" a="1"/>
  <c r="J312" i="1" a="1"/>
  <c r="J370" i="1" a="1"/>
  <c r="J413" i="1" a="1"/>
  <c r="J456" i="1" a="1"/>
  <c r="J514" i="1" a="1"/>
  <c r="J57" i="1" a="1"/>
  <c r="J129" i="1" a="1"/>
  <c r="J201" i="1" a="1"/>
  <c r="J258" i="1" a="1"/>
  <c r="J313" i="1" a="1"/>
  <c r="J356" i="1" a="1"/>
  <c r="J399" i="1" a="1"/>
  <c r="J457" i="1" a="1"/>
  <c r="J500" i="1" a="1"/>
  <c r="J543" i="1" a="1"/>
  <c r="J567" i="1" a="1"/>
  <c r="J591" i="1" a="1"/>
  <c r="J615" i="1" a="1"/>
  <c r="J639" i="1" a="1"/>
  <c r="J663" i="1" a="1"/>
  <c r="J45" i="1" a="1"/>
  <c r="J153" i="1" a="1"/>
  <c r="J224" i="1" a="1"/>
  <c r="J288" i="1" a="1"/>
  <c r="J329" i="1" a="1"/>
  <c r="J367" i="1" a="1"/>
  <c r="J462" i="1" a="1"/>
  <c r="J502" i="1" a="1"/>
  <c r="J686" i="1" a="1"/>
  <c r="J732" i="1" a="1"/>
  <c r="J770" i="1" a="1"/>
  <c r="J794" i="1" a="1"/>
  <c r="J818" i="1" a="1"/>
  <c r="J842" i="1" a="1"/>
  <c r="J34" i="1" a="1"/>
  <c r="J88" i="1" a="1"/>
  <c r="J142" i="1" a="1"/>
  <c r="J215" i="1" a="1"/>
  <c r="J259" i="1" a="1"/>
  <c r="J301" i="1" a="1"/>
  <c r="J396" i="1" a="1"/>
  <c r="J436" i="1" a="1"/>
  <c r="J531" i="1" a="1"/>
  <c r="J580" i="1" a="1"/>
  <c r="J608" i="1" a="1"/>
  <c r="J130" i="1" a="1"/>
  <c r="J238" i="1" a="1"/>
  <c r="J330" i="1" a="1"/>
  <c r="J368" i="1" a="1"/>
  <c r="J465" i="1" a="1"/>
  <c r="J503" i="1" a="1"/>
  <c r="J541" i="1" a="1"/>
  <c r="J62" i="1" a="1"/>
  <c r="J181" i="1" a="1"/>
  <c r="J117" i="1" a="1"/>
  <c r="J79" i="1" a="1"/>
  <c r="J133" i="1" a="1"/>
  <c r="J121" i="1" a="1"/>
  <c r="J53" i="1" a="1"/>
  <c r="J161" i="1" a="1"/>
  <c r="J221" i="1" a="1"/>
  <c r="J263" i="1" a="1"/>
  <c r="J306" i="1" a="1"/>
  <c r="J344" i="1" a="1"/>
  <c r="J382" i="1" a="1"/>
  <c r="J479" i="1" a="1"/>
  <c r="J517" i="1" a="1"/>
  <c r="J576" i="1" a="1"/>
  <c r="J605" i="1" a="1"/>
  <c r="J634" i="1" a="1"/>
  <c r="J662" i="1" a="1"/>
  <c r="J703" i="1" a="1"/>
  <c r="J749" i="1" a="1"/>
  <c r="J135" i="1" a="1"/>
  <c r="J286" i="1" a="1"/>
  <c r="J393" i="1" a="1"/>
  <c r="J431" i="1" a="1"/>
  <c r="J469" i="1" a="1"/>
  <c r="J684" i="1" a="1"/>
  <c r="J730" i="1" a="1"/>
  <c r="J768" i="1" a="1"/>
  <c r="J792" i="1" a="1"/>
  <c r="J816" i="1" a="1"/>
  <c r="J840" i="1" a="1"/>
  <c r="J864" i="1" a="1"/>
  <c r="J888" i="1" a="1"/>
  <c r="J912" i="1" a="1"/>
  <c r="J936" i="1" a="1"/>
  <c r="J960" i="1" a="1"/>
  <c r="J43" i="1" a="1"/>
  <c r="J97" i="1" a="1"/>
  <c r="J151" i="1" a="1"/>
  <c r="J212" i="1" a="1"/>
  <c r="J276" i="1" a="1"/>
  <c r="J354" i="1" a="1"/>
  <c r="J394" i="1" a="1"/>
  <c r="J489" i="1" a="1"/>
  <c r="J527" i="1" a="1"/>
  <c r="J577" i="1" a="1"/>
  <c r="J606" i="1" a="1"/>
  <c r="J635" i="1" a="1"/>
  <c r="J664" i="1" a="1"/>
  <c r="J704" i="1" a="1"/>
  <c r="J750" i="1" a="1"/>
  <c r="J139" i="1" a="1"/>
  <c r="J202" i="1" a="1"/>
  <c r="J245" i="1" a="1"/>
  <c r="J287" i="1" a="1"/>
  <c r="J328" i="1" a="1"/>
  <c r="J159" i="1" a="1"/>
  <c r="J409" i="1" a="1"/>
  <c r="J617" i="1" a="1"/>
  <c r="J661" i="1" a="1"/>
  <c r="J752" i="1" a="1"/>
  <c r="J901" i="1" a="1"/>
  <c r="J950" i="1" a="1"/>
  <c r="J229" i="1" a="1"/>
  <c r="J429" i="1" a="1"/>
  <c r="J505" i="1" a="1"/>
  <c r="J589" i="1" a="1"/>
  <c r="J694" i="1" a="1"/>
  <c r="J753" i="1" a="1"/>
  <c r="J789" i="1" a="1"/>
  <c r="J825" i="1" a="1"/>
  <c r="J861" i="1" a="1"/>
  <c r="J944" i="1" a="1"/>
  <c r="J304" i="1" a="1"/>
  <c r="J390" i="1" a="1"/>
  <c r="J525" i="1" a="1"/>
  <c r="J674" i="1" a="1"/>
  <c r="J744" i="1" a="1"/>
  <c r="J817" i="1" a="1"/>
  <c r="J878" i="1" a="1"/>
  <c r="J925" i="1" a="1"/>
  <c r="J206" i="1" a="1"/>
  <c r="J432" i="1" a="1"/>
  <c r="J563" i="1" a="1"/>
  <c r="J725" i="1" a="1"/>
  <c r="J790" i="1" a="1"/>
  <c r="J862" i="1" a="1"/>
  <c r="J910" i="1" a="1"/>
  <c r="J971" i="1" a="1"/>
  <c r="J261" i="1" a="1"/>
  <c r="J357" i="1" a="1"/>
  <c r="J433" i="1" a="1"/>
  <c r="J578" i="1" a="1"/>
  <c r="J644" i="1" a="1"/>
  <c r="J687" i="1" a="1"/>
  <c r="J879" i="1" a="1"/>
  <c r="J939" i="1" a="1"/>
  <c r="J208" i="1" a="1"/>
  <c r="J455" i="1" a="1"/>
  <c r="J610" i="1" a="1"/>
  <c r="J746" i="1" a="1"/>
  <c r="J783" i="1" a="1"/>
  <c r="J184" i="1" a="1"/>
  <c r="J360" i="1" a="1"/>
  <c r="J495" i="1" a="1"/>
  <c r="J623" i="1" a="1"/>
  <c r="J698" i="1" a="1"/>
  <c r="J757" i="1" a="1"/>
  <c r="J829" i="1" a="1"/>
  <c r="J889" i="1" a="1"/>
  <c r="J927" i="1" a="1"/>
  <c r="J268" i="1" a="1"/>
  <c r="J438" i="1" a="1"/>
  <c r="J568" i="1" a="1"/>
  <c r="J624" i="1" a="1"/>
  <c r="J699" i="1" a="1"/>
  <c r="J784" i="1" a="1"/>
  <c r="J856" i="1" a="1"/>
  <c r="J947" i="1" a="1"/>
  <c r="J219" i="1" a="1"/>
  <c r="J381" i="1" a="1"/>
  <c r="J516" i="1" a="1"/>
  <c r="J647" i="1" a="1"/>
  <c r="J689" i="1" a="1"/>
  <c r="J748" i="1" a="1"/>
  <c r="J905" i="1" a="1"/>
  <c r="J941" i="1" a="1"/>
  <c r="J446" i="1" a="1"/>
  <c r="J650" i="1" a="1"/>
  <c r="J814" i="1" a="1"/>
  <c r="J271" i="1" a="1"/>
  <c r="J423" i="1" a="1"/>
  <c r="J625" i="1" a="1"/>
  <c r="J729" i="1" a="1"/>
  <c r="J785" i="1" a="1"/>
  <c r="J821" i="1" a="1"/>
  <c r="J857" i="1" a="1"/>
  <c r="J907" i="1" a="1"/>
  <c r="J981" i="1" a="1"/>
  <c r="J1005" i="1" a="1"/>
  <c r="J1029" i="1" a="1"/>
  <c r="J760" i="1" a="1"/>
  <c r="J248" i="1" a="1"/>
  <c r="J424" i="1" a="1"/>
  <c r="J556" i="1" a="1"/>
  <c r="J614" i="1" a="1"/>
  <c r="J731" i="1" a="1"/>
  <c r="J805" i="1" a="1"/>
  <c r="J867" i="1" a="1"/>
  <c r="J929" i="1" a="1"/>
  <c r="J152" i="1" a="1"/>
  <c r="J323" i="1" a="1"/>
  <c r="J588" i="1" a="1"/>
  <c r="J741" i="1" a="1"/>
  <c r="J1003" i="1" a="1"/>
  <c r="J896" i="1" a="1"/>
  <c r="J827" i="1" a="1"/>
  <c r="J1004" i="1" a="1"/>
  <c r="J899" i="1" a="1"/>
  <c r="J1021" i="1" a="1"/>
  <c r="J969" i="1" a="1"/>
  <c r="J850" i="1" a="1"/>
  <c r="J998" i="1" a="1"/>
  <c r="J991" i="1" a="1"/>
  <c r="J863" i="1" a="1"/>
  <c r="J884" i="1" a="1"/>
  <c r="J1010" i="1" a="1"/>
  <c r="J992" i="1" a="1"/>
  <c r="J1002" i="1" a="1"/>
  <c r="J1019" i="1" a="1"/>
  <c r="J1018" i="1" a="1"/>
  <c r="H38" i="1" a="1"/>
  <c r="H62" i="1" a="1"/>
  <c r="H86" i="1" a="1"/>
  <c r="H110" i="1" a="1"/>
  <c r="H134" i="1" a="1"/>
  <c r="H158" i="1" a="1"/>
  <c r="H182" i="1" a="1"/>
  <c r="H206" i="1" a="1"/>
  <c r="H230" i="1" a="1"/>
  <c r="H254" i="1" a="1"/>
  <c r="H278" i="1" a="1"/>
  <c r="H302" i="1" a="1"/>
  <c r="H326" i="1" a="1"/>
  <c r="H350" i="1" a="1"/>
  <c r="H374" i="1" a="1"/>
  <c r="H398" i="1" a="1"/>
  <c r="H422" i="1" a="1"/>
  <c r="H446" i="1" a="1"/>
  <c r="H51" i="1" a="1"/>
  <c r="H75" i="1" a="1"/>
  <c r="H99" i="1" a="1"/>
  <c r="H123" i="1" a="1"/>
  <c r="H147" i="1" a="1"/>
  <c r="H171" i="1" a="1"/>
  <c r="H195" i="1" a="1"/>
  <c r="H219" i="1" a="1"/>
  <c r="H243" i="1" a="1"/>
  <c r="H267" i="1" a="1"/>
  <c r="H291" i="1" a="1"/>
  <c r="H315" i="1" a="1"/>
  <c r="H339" i="1" a="1"/>
  <c r="H363" i="1" a="1"/>
  <c r="H387" i="1" a="1"/>
  <c r="H411" i="1" a="1"/>
  <c r="H435" i="1" a="1"/>
  <c r="H459" i="1" a="1"/>
  <c r="H483" i="1" a="1"/>
  <c r="H48" i="1" a="1"/>
  <c r="H72" i="1" a="1"/>
  <c r="H96" i="1" a="1"/>
  <c r="H120" i="1" a="1"/>
  <c r="H144" i="1" a="1"/>
  <c r="H168" i="1" a="1"/>
  <c r="H192" i="1" a="1"/>
  <c r="H216" i="1" a="1"/>
  <c r="H240" i="1" a="1"/>
  <c r="H264" i="1" a="1"/>
  <c r="H288" i="1" a="1"/>
  <c r="H312" i="1" a="1"/>
  <c r="H336" i="1" a="1"/>
  <c r="H360" i="1" a="1"/>
  <c r="H384" i="1" a="1"/>
  <c r="H408" i="1" a="1"/>
  <c r="H432" i="1" a="1"/>
  <c r="H456" i="1" a="1"/>
  <c r="H480" i="1" a="1"/>
  <c r="H49" i="1" a="1"/>
  <c r="H73" i="1" a="1"/>
  <c r="H97" i="1" a="1"/>
  <c r="H121" i="1" a="1"/>
  <c r="H145" i="1" a="1"/>
  <c r="H169" i="1" a="1"/>
  <c r="H193" i="1" a="1"/>
  <c r="H217" i="1" a="1"/>
  <c r="H241" i="1" a="1"/>
  <c r="H265" i="1" a="1"/>
  <c r="H100" i="1" a="1"/>
  <c r="H244" i="1" a="1"/>
  <c r="H347" i="1" a="1"/>
  <c r="H419" i="1" a="1"/>
  <c r="H494" i="1" a="1"/>
  <c r="H546" i="1" a="1"/>
  <c r="H570" i="1" a="1"/>
  <c r="H594" i="1" a="1"/>
  <c r="H618" i="1" a="1"/>
  <c r="H142" i="1" a="1"/>
  <c r="H455" i="1" a="1"/>
  <c r="H527" i="1" a="1"/>
  <c r="H112" i="1" a="1"/>
  <c r="H256" i="1" a="1"/>
  <c r="H313" i="1" a="1"/>
  <c r="H349" i="1" a="1"/>
  <c r="H385" i="1" a="1"/>
  <c r="H421" i="1" a="1"/>
  <c r="H464" i="1" a="1"/>
  <c r="H508" i="1" a="1"/>
  <c r="H547" i="1" a="1"/>
  <c r="H571" i="1" a="1"/>
  <c r="H595" i="1" a="1"/>
  <c r="H619" i="1" a="1"/>
  <c r="H136" i="1" a="1"/>
  <c r="H370" i="1" a="1"/>
  <c r="H512" i="1" a="1"/>
  <c r="H579" i="1" a="1"/>
  <c r="H137" i="1" a="1"/>
  <c r="H274" i="1" a="1"/>
  <c r="H407" i="1" a="1"/>
  <c r="H476" i="1" a="1"/>
  <c r="H531" i="1" a="1"/>
  <c r="H604" i="1" a="1"/>
  <c r="H666" i="1" a="1"/>
  <c r="H712" i="1" a="1"/>
  <c r="H125" i="1" a="1"/>
  <c r="H262" i="1" a="1"/>
  <c r="H397" i="1" a="1"/>
  <c r="H515" i="1" a="1"/>
  <c r="H621" i="1" a="1"/>
  <c r="H667" i="1" a="1"/>
  <c r="H719" i="1" a="1"/>
  <c r="H751" i="1" a="1"/>
  <c r="H221" i="1" a="1"/>
  <c r="H373" i="1" a="1"/>
  <c r="H506" i="1" a="1"/>
  <c r="H557" i="1" a="1"/>
  <c r="H605" i="1" a="1"/>
  <c r="H654" i="1" a="1"/>
  <c r="H700" i="1" a="1"/>
  <c r="H34" i="1" a="1"/>
  <c r="H503" i="1" a="1"/>
  <c r="H670" i="1" a="1"/>
  <c r="H714" i="1" a="1"/>
  <c r="H835" i="1" a="1"/>
  <c r="H918" i="1" a="1"/>
  <c r="H942" i="1" a="1"/>
  <c r="H966" i="1" a="1"/>
  <c r="H990" i="1" a="1"/>
  <c r="H1014" i="1" a="1"/>
  <c r="H95" i="1" a="1"/>
  <c r="H353" i="1" a="1"/>
  <c r="H504" i="1" a="1"/>
  <c r="H592" i="1" a="1"/>
  <c r="H697" i="1" a="1"/>
  <c r="H731" i="1" a="1"/>
  <c r="H771" i="1" a="1"/>
  <c r="H800" i="1" a="1"/>
  <c r="H828" i="1" a="1"/>
  <c r="H857" i="1" a="1"/>
  <c r="H886" i="1" a="1"/>
  <c r="H58" i="1" a="1"/>
  <c r="H492" i="1" a="1"/>
  <c r="H663" i="1" a="1"/>
  <c r="H707" i="1" a="1"/>
  <c r="H829" i="1" a="1"/>
  <c r="H919" i="1" a="1"/>
  <c r="H949" i="1" a="1"/>
  <c r="H973" i="1" a="1"/>
  <c r="H143" i="1" a="1"/>
  <c r="H319" i="1" a="1"/>
  <c r="H461" i="1" a="1"/>
  <c r="H535" i="1" a="1"/>
  <c r="H617" i="1" a="1"/>
  <c r="H724" i="1" a="1"/>
  <c r="H765" i="1" a="1"/>
  <c r="H794" i="1" a="1"/>
  <c r="H119" i="1" a="1"/>
  <c r="H305" i="1" a="1"/>
  <c r="H449" i="1" a="1"/>
  <c r="H287" i="1" a="1"/>
  <c r="H431" i="1" a="1"/>
  <c r="H536" i="1" a="1"/>
  <c r="H620" i="1" a="1"/>
  <c r="H709" i="1" a="1"/>
  <c r="H743" i="1" a="1"/>
  <c r="H773" i="1" a="1"/>
  <c r="H802" i="1" a="1"/>
  <c r="H831" i="1" a="1"/>
  <c r="H860" i="1" a="1"/>
  <c r="H888" i="1" a="1"/>
  <c r="H269" i="1" a="1"/>
  <c r="H415" i="1" a="1"/>
  <c r="H550" i="1" a="1"/>
  <c r="H598" i="1" a="1"/>
  <c r="H639" i="1" a="1"/>
  <c r="H675" i="1" a="1"/>
  <c r="H817" i="1" a="1"/>
  <c r="H909" i="1" a="1"/>
  <c r="H106" i="1" a="1"/>
  <c r="H511" i="1" a="1"/>
  <c r="H710" i="1" a="1"/>
  <c r="H744" i="1" a="1"/>
  <c r="H774" i="1" a="1"/>
  <c r="H803" i="1" a="1"/>
  <c r="H832" i="1" a="1"/>
  <c r="H861" i="1" a="1"/>
  <c r="H890" i="1" a="1"/>
  <c r="H148" i="1" a="1"/>
  <c r="H400" i="1" a="1"/>
  <c r="H551" i="1" a="1"/>
  <c r="H599" i="1" a="1"/>
  <c r="H650" i="1" a="1"/>
  <c r="H684" i="1" a="1"/>
  <c r="H746" i="1" a="1"/>
  <c r="H883" i="1" a="1"/>
  <c r="H922" i="1" a="1"/>
  <c r="H946" i="1" a="1"/>
  <c r="H970" i="1" a="1"/>
  <c r="H994" i="1" a="1"/>
  <c r="H1018" i="1" a="1"/>
  <c r="H424" i="1" a="1"/>
  <c r="H47" i="1" a="1"/>
  <c r="H310" i="1" a="1"/>
  <c r="H470" i="1" a="1"/>
  <c r="H563" i="1" a="1"/>
  <c r="H685" i="1" a="1"/>
  <c r="H729" i="1" a="1"/>
  <c r="H768" i="1" a="1"/>
  <c r="H797" i="1" a="1"/>
  <c r="H826" i="1" a="1"/>
  <c r="H855" i="1" a="1"/>
  <c r="H884" i="1" a="1"/>
  <c r="H316" i="1" a="1"/>
  <c r="H591" i="1" a="1"/>
  <c r="H238" i="1" a="1"/>
  <c r="H516" i="1" a="1"/>
  <c r="H643" i="1" a="1"/>
  <c r="H677" i="1" a="1"/>
  <c r="H805" i="1" a="1"/>
  <c r="H911" i="1" a="1"/>
  <c r="H935" i="1" a="1"/>
  <c r="H959" i="1" a="1"/>
  <c r="H983" i="1" a="1"/>
  <c r="H1007" i="1" a="1"/>
  <c r="H52" i="1" a="1"/>
  <c r="H517" i="1" a="1"/>
  <c r="H608" i="1" a="1"/>
  <c r="H932" i="1" a="1"/>
  <c r="H837" i="1" a="1"/>
  <c r="H975" i="1" a="1"/>
  <c r="H1027" i="1" a="1"/>
  <c r="H722" i="1" a="1"/>
  <c r="H844" i="1" a="1"/>
  <c r="H899" i="1" a="1"/>
  <c r="H820" i="1" a="1"/>
  <c r="H951" i="1" a="1"/>
  <c r="H1029" i="1" a="1"/>
  <c r="H849" i="1" a="1"/>
  <c r="H672" i="1" a="1"/>
  <c r="H851" i="1" a="1"/>
  <c r="H997" i="1" a="1"/>
  <c r="H859" i="1" a="1"/>
  <c r="H1004" i="1" a="1"/>
  <c r="H827" i="1" a="1"/>
  <c r="H704" i="1" a="1"/>
  <c r="H1016" i="1" a="1"/>
  <c r="H856" i="1" a="1"/>
  <c r="H998" i="1" a="1"/>
  <c r="H914" i="1" a="1"/>
  <c r="H992" i="1" a="1"/>
  <c r="H858" i="1" a="1"/>
  <c r="H798" i="1" a="1"/>
  <c r="F39" i="1" a="1"/>
  <c r="F63" i="1" a="1"/>
  <c r="F87" i="1" a="1"/>
  <c r="F111" i="1" a="1"/>
  <c r="F43" i="1" a="1"/>
  <c r="F67" i="1" a="1"/>
  <c r="F91" i="1" a="1"/>
  <c r="F115" i="1" a="1"/>
  <c r="F139" i="1" a="1"/>
  <c r="F163" i="1" a="1"/>
  <c r="F187" i="1" a="1"/>
  <c r="F211" i="1" a="1"/>
  <c r="F235" i="1" a="1"/>
  <c r="F259" i="1" a="1"/>
  <c r="F283" i="1" a="1"/>
  <c r="F307" i="1" a="1"/>
  <c r="F331" i="1" a="1"/>
  <c r="F355" i="1" a="1"/>
  <c r="F379" i="1" a="1"/>
  <c r="F403" i="1" a="1"/>
  <c r="F427" i="1" a="1"/>
  <c r="F451" i="1" a="1"/>
  <c r="F74" i="1" a="1"/>
  <c r="F59" i="1" a="1"/>
  <c r="F78" i="1" a="1"/>
  <c r="F132" i="1" a="1"/>
  <c r="F161" i="1" a="1"/>
  <c r="F190" i="1" a="1"/>
  <c r="F219" i="1" a="1"/>
  <c r="F248" i="1" a="1"/>
  <c r="F276" i="1" a="1"/>
  <c r="F305" i="1" a="1"/>
  <c r="F334" i="1" a="1"/>
  <c r="F363" i="1" a="1"/>
  <c r="F392" i="1" a="1"/>
  <c r="F420" i="1" a="1"/>
  <c r="F449" i="1" a="1"/>
  <c r="F489" i="1" a="1"/>
  <c r="F535" i="1" a="1"/>
  <c r="F457" i="1" a="1"/>
  <c r="F509" i="1" a="1"/>
  <c r="F548" i="1" a="1"/>
  <c r="F572" i="1" a="1"/>
  <c r="F596" i="1" a="1"/>
  <c r="F620" i="1" a="1"/>
  <c r="F644" i="1" a="1"/>
  <c r="F668" i="1" a="1"/>
  <c r="F692" i="1" a="1"/>
  <c r="F64" i="1" a="1"/>
  <c r="F112" i="1" a="1"/>
  <c r="F141" i="1" a="1"/>
  <c r="F170" i="1" a="1"/>
  <c r="F198" i="1" a="1"/>
  <c r="F227" i="1" a="1"/>
  <c r="F256" i="1" a="1"/>
  <c r="F285" i="1" a="1"/>
  <c r="F314" i="1" a="1"/>
  <c r="F342" i="1" a="1"/>
  <c r="F371" i="1" a="1"/>
  <c r="F400" i="1" a="1"/>
  <c r="F429" i="1" a="1"/>
  <c r="F464" i="1" a="1"/>
  <c r="F516" i="1" a="1"/>
  <c r="F72" i="1" a="1"/>
  <c r="F484" i="1" a="1"/>
  <c r="F530" i="1" a="1"/>
  <c r="F561" i="1" a="1"/>
  <c r="F585" i="1" a="1"/>
  <c r="F609" i="1" a="1"/>
  <c r="F633" i="1" a="1"/>
  <c r="F657" i="1" a="1"/>
  <c r="P1029" i="1" a="1"/>
  <c r="P301" i="1" a="1"/>
  <c r="P614" i="1" a="1"/>
  <c r="P870" i="1" a="1"/>
  <c r="P926" i="1" a="1"/>
  <c r="P866" i="1" a="1"/>
  <c r="P115" i="1" a="1"/>
  <c r="P619" i="1" a="1"/>
  <c r="P871" i="1" a="1"/>
  <c r="P890" i="1" a="1"/>
  <c r="N198" i="1" a="1"/>
  <c r="N141" i="1" a="1"/>
  <c r="N422" i="1" a="1"/>
  <c r="N279" i="1" a="1"/>
  <c r="N246" i="1" a="1"/>
  <c r="N640" i="1" a="1"/>
  <c r="N157" i="1" a="1"/>
  <c r="N711" i="1" a="1"/>
  <c r="N948" i="1" a="1"/>
  <c r="N675" i="1" a="1"/>
  <c r="N476" i="1" a="1"/>
  <c r="N835" i="1" a="1"/>
  <c r="N1027" i="1" a="1"/>
  <c r="N720" i="1" a="1"/>
  <c r="N521" i="1" a="1"/>
  <c r="N819" i="1" a="1"/>
  <c r="N952" i="1" a="1"/>
  <c r="N182" i="1" a="1"/>
  <c r="N548" i="1" a="1"/>
  <c r="N1010" i="1" a="1"/>
  <c r="N989" i="1" a="1"/>
  <c r="N917" i="1" a="1"/>
  <c r="N625" i="1" a="1"/>
  <c r="N1022" i="1" a="1"/>
  <c r="N670" i="1" a="1"/>
  <c r="N920" i="1" a="1"/>
  <c r="N628" i="1" a="1"/>
  <c r="N143" i="1" a="1"/>
  <c r="N673" i="1" a="1"/>
  <c r="N1013" i="1" a="1"/>
  <c r="N359" i="1" a="1"/>
  <c r="N531" i="1" a="1"/>
  <c r="N902" i="1" a="1"/>
  <c r="N881" i="1" a="1"/>
  <c r="N91" i="1" a="1"/>
  <c r="N337" i="1" a="1"/>
  <c r="N485" i="1" a="1"/>
  <c r="N456" i="1" a="1"/>
  <c r="N406" i="1" a="1"/>
  <c r="N648" i="1" a="1"/>
  <c r="N831" i="1" a="1"/>
  <c r="L99" i="1" a="1"/>
  <c r="L291" i="1" a="1"/>
  <c r="L347" i="1" a="1"/>
  <c r="L132" i="1" a="1"/>
  <c r="L260" i="1" a="1"/>
  <c r="L189" i="1" a="1"/>
  <c r="L197" i="1" a="1"/>
  <c r="L118" i="1" a="1"/>
  <c r="L246" i="1" a="1"/>
  <c r="L183" i="1" a="1"/>
  <c r="L167" i="1" a="1"/>
  <c r="L47" i="1" a="1"/>
  <c r="L176" i="1" a="1"/>
  <c r="L304" i="1" a="1"/>
  <c r="L432" i="1" a="1"/>
  <c r="L549" i="1" a="1"/>
  <c r="L645" i="1" a="1"/>
  <c r="L741" i="1" a="1"/>
  <c r="L837" i="1" a="1"/>
  <c r="L73" i="1" a="1"/>
  <c r="L265" i="1" a="1"/>
  <c r="L457" i="1" a="1"/>
  <c r="L442" i="1" a="1"/>
  <c r="L804" i="1" a="1"/>
  <c r="L348" i="1" a="1"/>
  <c r="L596" i="1" a="1"/>
  <c r="L788" i="1" a="1"/>
  <c r="L953" i="1" a="1"/>
  <c r="L373" i="1" a="1"/>
  <c r="L613" i="1" a="1"/>
  <c r="L805" i="1" a="1"/>
  <c r="L194" i="1" a="1"/>
  <c r="L630" i="1" a="1"/>
  <c r="L947" i="1" a="1"/>
  <c r="L350" i="1" a="1"/>
  <c r="L551" i="1" a="1"/>
  <c r="L743" i="1" a="1"/>
  <c r="L969" i="1" a="1"/>
  <c r="L412" i="1" a="1"/>
  <c r="L655" i="1" a="1"/>
  <c r="L847" i="1" a="1"/>
  <c r="L991" i="1" a="1"/>
  <c r="L377" i="1" a="1"/>
  <c r="L672" i="1" a="1"/>
  <c r="L114" i="1" a="1"/>
  <c r="L468" i="1" a="1"/>
  <c r="L665" i="1" a="1"/>
  <c r="L857" i="1" a="1"/>
  <c r="L1000" i="1" a="1"/>
  <c r="L178" i="1" a="1"/>
  <c r="L355" i="1" a="1"/>
  <c r="L562" i="1" a="1"/>
  <c r="L754" i="1" a="1"/>
  <c r="L993" i="1" a="1"/>
  <c r="L875" i="1" a="1"/>
  <c r="L835" i="1" a="1"/>
  <c r="L343" i="1" a="1"/>
  <c r="L570" i="1" a="1"/>
  <c r="L929" i="1" a="1"/>
  <c r="L331" i="1" a="1"/>
  <c r="L842" i="1" a="1"/>
  <c r="L700" i="1" a="1"/>
  <c r="J48" i="1" a="1"/>
  <c r="J144" i="1" a="1"/>
  <c r="J68" i="1" a="1"/>
  <c r="J257" i="1" a="1"/>
  <c r="J434" i="1" a="1"/>
  <c r="J56" i="1" a="1"/>
  <c r="J200" i="1" a="1"/>
  <c r="J420" i="1" a="1"/>
  <c r="J147" i="1" a="1"/>
  <c r="J363" i="1" a="1"/>
  <c r="J549" i="1" a="1"/>
  <c r="J645" i="1" a="1"/>
  <c r="J236" i="1" a="1"/>
  <c r="J473" i="1" a="1"/>
  <c r="J776" i="1" a="1"/>
  <c r="J46" i="1" a="1"/>
  <c r="J269" i="1" a="1"/>
  <c r="J540" i="1" a="1"/>
  <c r="J280" i="1" a="1"/>
  <c r="J512" i="1" a="1"/>
  <c r="J37" i="1" a="1"/>
  <c r="J80" i="1" a="1"/>
  <c r="J315" i="1" a="1"/>
  <c r="J526" i="1" a="1"/>
  <c r="J670" i="1" a="1"/>
  <c r="J307" i="1" a="1"/>
  <c r="J697" i="1" a="1"/>
  <c r="J822" i="1" a="1"/>
  <c r="J918" i="1" a="1"/>
  <c r="J109" i="1" a="1"/>
  <c r="J365" i="1" a="1"/>
  <c r="J584" i="1" a="1"/>
  <c r="J711" i="1" a="1"/>
  <c r="J255" i="1" a="1"/>
  <c r="J486" i="1" a="1"/>
  <c r="J916" i="1" a="1"/>
  <c r="J544" i="1" a="1"/>
  <c r="J797" i="1" a="1"/>
  <c r="J331" i="1" a="1"/>
  <c r="J763" i="1" a="1"/>
  <c r="J230" i="1" a="1"/>
  <c r="J808" i="1" a="1"/>
  <c r="J284" i="1" a="1"/>
  <c r="J654" i="1" a="1"/>
  <c r="J262" i="1" a="1"/>
  <c r="J791" i="1" a="1"/>
  <c r="J646" i="1" a="1"/>
  <c r="J904" i="1" a="1"/>
  <c r="J582" i="1" a="1"/>
  <c r="J873" i="1" a="1"/>
  <c r="J534" i="1" a="1"/>
  <c r="J914" i="1" a="1"/>
  <c r="J875" i="1" a="1"/>
  <c r="J759" i="1" a="1"/>
  <c r="J935" i="1" a="1"/>
  <c r="J796" i="1" a="1"/>
  <c r="J638" i="1" a="1"/>
  <c r="J949" i="1" a="1"/>
  <c r="J832" i="1" a="1"/>
  <c r="J1013" i="1" a="1"/>
  <c r="J911" i="1" a="1"/>
  <c r="J1026" i="1" a="1"/>
  <c r="J985" i="1" a="1"/>
  <c r="H92" i="1" a="1"/>
  <c r="H188" i="1" a="1"/>
  <c r="H284" i="1" a="1"/>
  <c r="H380" i="1" a="1"/>
  <c r="H57" i="1" a="1"/>
  <c r="H153" i="1" a="1"/>
  <c r="H249" i="1" a="1"/>
  <c r="H345" i="1" a="1"/>
  <c r="H441" i="1" a="1"/>
  <c r="H78" i="1" a="1"/>
  <c r="H174" i="1" a="1"/>
  <c r="H270" i="1" a="1"/>
  <c r="H366" i="1" a="1"/>
  <c r="H462" i="1" a="1"/>
  <c r="H103" i="1" a="1"/>
  <c r="H199" i="1" a="1"/>
  <c r="H161" i="1" a="1"/>
  <c r="H507" i="1" a="1"/>
  <c r="H59" i="1" a="1"/>
  <c r="H173" i="1" a="1"/>
  <c r="H394" i="1" a="1"/>
  <c r="H553" i="1" a="1"/>
  <c r="H190" i="1" a="1"/>
  <c r="H166" i="1" a="1"/>
  <c r="H539" i="1" a="1"/>
  <c r="H154" i="1" a="1"/>
  <c r="H634" i="1" a="1"/>
  <c r="H250" i="1" a="1"/>
  <c r="H614" i="1" a="1"/>
  <c r="H644" i="1" a="1"/>
  <c r="H924" i="1" a="1"/>
  <c r="H1020" i="1" a="1"/>
  <c r="H616" i="1" a="1"/>
  <c r="H807" i="1" a="1"/>
  <c r="H118" i="1" a="1"/>
  <c r="H865" i="1" a="1"/>
  <c r="H160" i="1" a="1"/>
  <c r="H629" i="1" a="1"/>
  <c r="H185" i="1" a="1"/>
  <c r="H482" i="1" a="1"/>
  <c r="H752" i="1" a="1"/>
  <c r="H867" i="1" a="1"/>
  <c r="H561" i="1" a="1"/>
  <c r="H853" i="1" a="1"/>
  <c r="H718" i="1" a="1"/>
  <c r="H839" i="1" a="1"/>
  <c r="H436" i="1" a="1"/>
  <c r="H694" i="1" a="1"/>
  <c r="H952" i="1" a="1"/>
  <c r="H543" i="1" a="1"/>
  <c r="H587" i="1" a="1"/>
  <c r="H804" i="1" a="1"/>
  <c r="H388" i="1" a="1"/>
  <c r="H651" i="1" a="1"/>
  <c r="H941" i="1" a="1"/>
  <c r="H280" i="1" a="1"/>
  <c r="H866" i="1" a="1"/>
  <c r="H873" i="1" a="1"/>
  <c r="H870" i="1" a="1"/>
  <c r="H1009" i="1" a="1"/>
  <c r="H1023" i="1" a="1"/>
  <c r="H974" i="1" a="1"/>
  <c r="F45" i="1" a="1"/>
  <c r="F49" i="1" a="1"/>
  <c r="F145" i="1" a="1"/>
  <c r="F241" i="1" a="1"/>
  <c r="F337" i="1" a="1"/>
  <c r="F433" i="1" a="1"/>
  <c r="F102" i="1" a="1"/>
  <c r="F226" i="1" a="1"/>
  <c r="F341" i="1" a="1"/>
  <c r="F456" i="1" a="1"/>
  <c r="F522" i="1" a="1"/>
  <c r="F626" i="1" a="1"/>
  <c r="F80" i="1" a="1"/>
  <c r="F206" i="1" a="1"/>
  <c r="F321" i="1" a="1"/>
  <c r="F436" i="1" a="1"/>
  <c r="F497" i="1" a="1"/>
  <c r="F615" i="1" a="1"/>
  <c r="F675" i="1" a="1"/>
  <c r="F66" i="1" a="1"/>
  <c r="F144" i="1" a="1"/>
  <c r="F231" i="1" a="1"/>
  <c r="F317" i="1" a="1"/>
  <c r="F388" i="1" a="1"/>
  <c r="F431" i="1" a="1"/>
  <c r="F501" i="1" a="1"/>
  <c r="F581" i="1" a="1"/>
  <c r="F677" i="1" a="1"/>
  <c r="F122" i="1" a="1"/>
  <c r="F208" i="1" a="1"/>
  <c r="F294" i="1" a="1"/>
  <c r="F473" i="1" a="1"/>
  <c r="F532" i="1" a="1"/>
  <c r="F574" i="1" a="1"/>
  <c r="F622" i="1" a="1"/>
  <c r="F94" i="1" a="1"/>
  <c r="F159" i="1" a="1"/>
  <c r="F245" i="1" a="1"/>
  <c r="F332" i="1" a="1"/>
  <c r="F389" i="1" a="1"/>
  <c r="F432" i="1" a="1"/>
  <c r="F504" i="1" a="1"/>
  <c r="F582" i="1" a="1"/>
  <c r="F678" i="1" a="1"/>
  <c r="F83" i="1" a="1"/>
  <c r="F196" i="1" a="1"/>
  <c r="F282" i="1" a="1"/>
  <c r="F474" i="1" a="1"/>
  <c r="F533" i="1" a="1"/>
  <c r="F623" i="1" a="1"/>
  <c r="F128" i="1" a="1"/>
  <c r="F254" i="1" a="1"/>
  <c r="F507" i="1" a="1"/>
  <c r="F610" i="1" a="1"/>
  <c r="F773" i="1" a="1"/>
  <c r="F916" i="1" a="1"/>
  <c r="F940" i="1" a="1"/>
  <c r="F964" i="1" a="1"/>
  <c r="F988" i="1" a="1"/>
  <c r="F1012" i="1" a="1"/>
  <c r="F42" i="1" a="1"/>
  <c r="F149" i="1" a="1"/>
  <c r="F275" i="1" a="1"/>
  <c r="F383" i="1" a="1"/>
  <c r="F448" i="1" a="1"/>
  <c r="F538" i="1" a="1"/>
  <c r="F683" i="1" a="1"/>
  <c r="F730" i="1" a="1"/>
  <c r="F759" i="1" a="1"/>
  <c r="F788" i="1" a="1"/>
  <c r="F817" i="1" a="1"/>
  <c r="F846" i="1" a="1"/>
  <c r="F874" i="1" a="1"/>
  <c r="F903" i="1" a="1"/>
  <c r="F90" i="1" a="1"/>
  <c r="F224" i="1" a="1"/>
  <c r="F352" i="1" a="1"/>
  <c r="F563" i="1" a="1"/>
  <c r="F611" i="1" a="1"/>
  <c r="F702" i="1" a="1"/>
  <c r="F839" i="1" a="1"/>
  <c r="F929" i="1" a="1"/>
  <c r="F953" i="1" a="1"/>
  <c r="F977" i="1" a="1"/>
  <c r="F1001" i="1" a="1"/>
  <c r="F1025" i="1" a="1"/>
  <c r="F203" i="1" a="1"/>
  <c r="F336" i="1" a="1"/>
  <c r="F418" i="1" a="1"/>
  <c r="F480" i="1" a="1"/>
  <c r="F635" i="1" a="1"/>
  <c r="F717" i="1" a="1"/>
  <c r="F746" i="1" a="1"/>
  <c r="F775" i="1" a="1"/>
  <c r="F804" i="1" a="1"/>
  <c r="F832" i="1" a="1"/>
  <c r="F861" i="1" a="1"/>
  <c r="F890" i="1" a="1"/>
  <c r="F912" i="1" a="1"/>
  <c r="F960" i="1" a="1"/>
  <c r="F92" i="1" a="1"/>
  <c r="F243" i="1" a="1"/>
  <c r="F353" i="1" a="1"/>
  <c r="F564" i="1" a="1"/>
  <c r="F612" i="1" a="1"/>
  <c r="F685" i="1" a="1"/>
  <c r="F761" i="1" a="1"/>
  <c r="F905" i="1" a="1"/>
  <c r="F954" i="1" a="1"/>
  <c r="F116" i="1" a="1"/>
  <c r="F264" i="1" a="1"/>
  <c r="F374" i="1" a="1"/>
  <c r="F438" i="1" a="1"/>
  <c r="F514" i="1" a="1"/>
  <c r="F592" i="1" a="1"/>
  <c r="F658" i="1" a="1"/>
  <c r="F733" i="1" a="1"/>
  <c r="F762" i="1" a="1"/>
  <c r="F790" i="1" a="1"/>
  <c r="F819" i="1" a="1"/>
  <c r="F76" i="1" a="1"/>
  <c r="F228" i="1" a="1"/>
  <c r="F339" i="1" a="1"/>
  <c r="F688" i="1" a="1"/>
  <c r="F755" i="1" a="1"/>
  <c r="F899" i="1" a="1"/>
  <c r="F931" i="1" a="1"/>
  <c r="F955" i="1" a="1"/>
  <c r="F979" i="1" a="1"/>
  <c r="F100" i="1" a="1"/>
  <c r="F230" i="1" a="1"/>
  <c r="F360" i="1" a="1"/>
  <c r="F425" i="1" a="1"/>
  <c r="F545" i="1" a="1"/>
  <c r="F593" i="1" a="1"/>
  <c r="F640" i="1" a="1"/>
  <c r="F712" i="1" a="1"/>
  <c r="F741" i="1" a="1"/>
  <c r="F770" i="1" a="1"/>
  <c r="F799" i="1" a="1"/>
  <c r="F828" i="1" a="1"/>
  <c r="F856" i="1" a="1"/>
  <c r="F885" i="1" a="1"/>
  <c r="F77" i="1" a="1"/>
  <c r="F214" i="1" a="1"/>
  <c r="F340" i="1" a="1"/>
  <c r="F531" i="1" a="1"/>
  <c r="F697" i="1" a="1"/>
  <c r="F821" i="1" a="1"/>
  <c r="F920" i="1" a="1"/>
  <c r="F944" i="1" a="1"/>
  <c r="F968" i="1" a="1"/>
  <c r="F992" i="1" a="1"/>
  <c r="F1016" i="1" a="1"/>
  <c r="F160" i="1" a="1"/>
  <c r="F273" i="1" a="1"/>
  <c r="F381" i="1" a="1"/>
  <c r="F446" i="1" a="1"/>
  <c r="F559" i="1" a="1"/>
  <c r="F607" i="1" a="1"/>
  <c r="F671" i="1" a="1"/>
  <c r="F728" i="1" a="1"/>
  <c r="F757" i="1" a="1"/>
  <c r="F786" i="1" a="1"/>
  <c r="F814" i="1" a="1"/>
  <c r="F843" i="1" a="1"/>
  <c r="F872" i="1" a="1"/>
  <c r="F901" i="1" a="1"/>
  <c r="F743" i="1" a="1"/>
  <c r="F1021" i="1" a="1"/>
  <c r="F491" i="1" a="1"/>
  <c r="F787" i="1" a="1"/>
  <c r="F969" i="1" a="1"/>
  <c r="F200" i="1" a="1"/>
  <c r="F707" i="1" a="1"/>
  <c r="F201" i="1" a="1"/>
  <c r="F794" i="1" a="1"/>
  <c r="F996" i="1" a="1"/>
  <c r="F519" i="1" a="1"/>
  <c r="F975" i="1" a="1"/>
  <c r="F715" i="1" a="1"/>
  <c r="F873" i="1" a="1"/>
  <c r="F1027" i="1" a="1"/>
  <c r="F848" i="1" a="1"/>
  <c r="F347" i="1" a="1"/>
  <c r="F722" i="1" a="1"/>
  <c r="F933" i="1" a="1"/>
  <c r="F1015" i="1" a="1"/>
  <c r="F142" i="1" a="1"/>
  <c r="F852" i="1" a="1"/>
  <c r="F690" i="1" a="1"/>
  <c r="F987" i="1" a="1"/>
  <c r="F143" i="1" a="1"/>
  <c r="F682" i="1" a="1"/>
  <c r="F855" i="1" a="1"/>
  <c r="F887" i="1" a="1"/>
  <c r="F478" i="1" a="1"/>
  <c r="F148" i="1" a="1"/>
  <c r="F410" i="1" a="1"/>
  <c r="F629" i="1" a="1"/>
  <c r="F268" i="1" a="1"/>
  <c r="F550" i="1" a="1"/>
  <c r="F135" i="1" a="1"/>
  <c r="F308" i="1" a="1"/>
  <c r="F524" i="1" a="1"/>
  <c r="F701" i="1" a="1"/>
  <c r="F309" i="1" a="1"/>
  <c r="F494" i="1" a="1"/>
  <c r="F180" i="1" a="1"/>
  <c r="F562" i="1" a="1"/>
  <c r="F845" i="1" a="1"/>
  <c r="F976" i="1" a="1"/>
  <c r="F1024" i="1" a="1"/>
  <c r="F351" i="1" a="1"/>
  <c r="F479" i="1" a="1"/>
  <c r="F745" i="1" a="1"/>
  <c r="F802" i="1" a="1"/>
  <c r="F889" i="1" a="1"/>
  <c r="F150" i="1" a="1"/>
  <c r="F587" i="1" a="1"/>
  <c r="F767" i="1" a="1"/>
  <c r="F965" i="1" a="1"/>
  <c r="F1013" i="1" a="1"/>
  <c r="F387" i="1" a="1"/>
  <c r="F526" i="1" a="1"/>
  <c r="F732" i="1" a="1"/>
  <c r="F789" i="1" a="1"/>
  <c r="F876" i="1" a="1"/>
  <c r="F936" i="1" a="1"/>
  <c r="F300" i="1" a="1"/>
  <c r="F588" i="1" a="1"/>
  <c r="F703" i="1" a="1"/>
  <c r="F978" i="1" a="1"/>
  <c r="F322" i="1" a="1"/>
  <c r="F544" i="1" a="1"/>
  <c r="F718" i="1" a="1"/>
  <c r="F805" i="1" a="1"/>
  <c r="F153" i="1" a="1"/>
  <c r="F704" i="1" a="1"/>
  <c r="F919" i="1" a="1"/>
  <c r="F991" i="1" a="1"/>
  <c r="F394" i="1" a="1"/>
  <c r="F569" i="1" a="1"/>
  <c r="F617" i="1" a="1"/>
  <c r="F756" i="1" a="1"/>
  <c r="F813" i="1" a="1"/>
  <c r="F900" i="1" a="1"/>
  <c r="F679" i="1" a="1"/>
  <c r="F893" i="1" a="1"/>
  <c r="F980" i="1" a="1"/>
  <c r="F1004" i="1" a="1"/>
  <c r="F346" i="1" a="1"/>
  <c r="F583" i="1" a="1"/>
  <c r="F742" i="1" a="1"/>
  <c r="F800" i="1" a="1"/>
  <c r="F886" i="1" a="1"/>
  <c r="F290" i="1" a="1"/>
  <c r="F642" i="1" a="1"/>
  <c r="F506" i="1" a="1"/>
  <c r="F708" i="1" a="1"/>
  <c r="F927" i="1" a="1"/>
  <c r="F801" i="1" a="1"/>
  <c r="F906" i="1" a="1"/>
  <c r="F808" i="1" a="1"/>
  <c r="F460" i="1" a="1"/>
  <c r="F915" i="1" a="1"/>
  <c r="F772" i="1" a="1"/>
  <c r="P867" i="1" a="1"/>
  <c r="N73" i="1" a="1"/>
  <c r="N160" i="1" a="1"/>
  <c r="N631" i="1" a="1"/>
  <c r="N331" i="1" a="1"/>
  <c r="N491" i="1" a="1"/>
  <c r="N766" i="1" a="1"/>
  <c r="N413" i="1" a="1"/>
  <c r="N767" i="1" a="1"/>
  <c r="N469" i="1" a="1"/>
  <c r="N398" i="1" a="1"/>
  <c r="N520" i="1" a="1"/>
  <c r="N724" i="1" a="1"/>
  <c r="N965" i="1" a="1"/>
  <c r="N355" i="1" a="1"/>
  <c r="L243" i="1" a="1"/>
  <c r="L228" i="1" a="1"/>
  <c r="L86" i="1" a="1"/>
  <c r="L71" i="1" a="1"/>
  <c r="L272" i="1" a="1"/>
  <c r="L621" i="1" a="1"/>
  <c r="L217" i="1" a="1"/>
  <c r="L708" i="1" a="1"/>
  <c r="L548" i="1" a="1"/>
  <c r="L281" i="1" a="1"/>
  <c r="L1011" i="1" a="1"/>
  <c r="L285" i="1" a="1"/>
  <c r="L887" i="1" a="1"/>
  <c r="L799" i="1" a="1"/>
  <c r="L576" i="1" a="1"/>
  <c r="L617" i="1" a="1"/>
  <c r="L794" i="1" a="1"/>
  <c r="L508" i="1" a="1"/>
  <c r="L731" i="1" a="1"/>
  <c r="L489" i="1" a="1"/>
  <c r="L722" i="1" a="1"/>
  <c r="J120" i="1" a="1"/>
  <c r="J391" i="1" a="1"/>
  <c r="J377" i="1" a="1"/>
  <c r="J320" i="1" a="1"/>
  <c r="J167" i="1" a="1"/>
  <c r="J227" i="1" a="1"/>
  <c r="J157" i="1" a="1"/>
  <c r="J148" i="1" a="1"/>
  <c r="J641" i="1" a="1"/>
  <c r="J537" i="1" a="1"/>
  <c r="J55" i="1" a="1"/>
  <c r="J538" i="1" a="1"/>
  <c r="J671" i="1" a="1"/>
  <c r="J228" i="1" a="1"/>
  <c r="J447" i="1" a="1"/>
  <c r="J71" i="1" a="1"/>
  <c r="J734" i="1" a="1"/>
  <c r="J593" i="1" a="1"/>
  <c r="J515" i="1" a="1"/>
  <c r="J802" i="1" a="1"/>
  <c r="J692" i="1" a="1"/>
  <c r="J558" i="1" a="1"/>
  <c r="J891" i="1" a="1"/>
  <c r="J982" i="1" a="1"/>
  <c r="H68" i="1" a="1"/>
  <c r="H356" i="1" a="1"/>
  <c r="H129" i="1" a="1"/>
  <c r="H417" i="1" a="1"/>
  <c r="H246" i="1" a="1"/>
  <c r="H79" i="1" a="1"/>
  <c r="H437" i="1" a="1"/>
  <c r="H358" i="1" a="1"/>
  <c r="H603" i="1" a="1"/>
  <c r="H549" i="1" a="1"/>
  <c r="H94" i="1" a="1"/>
  <c r="H518" i="1" a="1"/>
  <c r="H893" i="1" a="1"/>
  <c r="H545" i="1" a="1"/>
  <c r="H717" i="1" a="1"/>
  <c r="H683" i="1" a="1"/>
  <c r="H292" i="1" a="1"/>
  <c r="H1024" i="1" a="1"/>
  <c r="H891" i="1" a="1"/>
  <c r="H1013" i="1" a="1"/>
  <c r="H993" i="1" a="1"/>
  <c r="H1010" i="1" a="1"/>
  <c r="F121" i="1" a="1"/>
  <c r="F409" i="1" a="1"/>
  <c r="F428" i="1" a="1"/>
  <c r="F698" i="1" a="1"/>
  <c r="F292" i="1" a="1"/>
  <c r="F591" i="1" a="1"/>
  <c r="F131" i="1" a="1"/>
  <c r="F376" i="1" a="1"/>
  <c r="F557" i="1" a="1"/>
  <c r="F195" i="1" a="1"/>
  <c r="F521" i="1" a="1"/>
  <c r="F68" i="1" a="1"/>
  <c r="F318" i="1" a="1"/>
  <c r="F423" i="1" a="1"/>
  <c r="F53" i="1" a="1"/>
  <c r="F358" i="1" a="1"/>
  <c r="F86" i="1" a="1"/>
  <c r="F586" i="1" a="1"/>
  <c r="F934" i="1" a="1"/>
  <c r="F1006" i="1" a="1"/>
  <c r="F369" i="1" a="1"/>
  <c r="F673" i="1" a="1"/>
  <c r="F781" i="1" a="1"/>
  <c r="F867" i="1" a="1"/>
  <c r="F166" i="1" a="1"/>
  <c r="F600" i="1" a="1"/>
  <c r="F923" i="1" a="1"/>
  <c r="F971" i="1" a="1"/>
  <c r="F188" i="1" a="1"/>
  <c r="F467" i="1" a="1"/>
  <c r="F739" i="1" a="1"/>
  <c r="F796" i="1" a="1"/>
  <c r="F883" i="1" a="1"/>
  <c r="F46" i="1" a="1"/>
  <c r="F553" i="1" a="1"/>
  <c r="F725" i="1" a="1"/>
  <c r="F990" i="1" a="1"/>
  <c r="F424" i="1" a="1"/>
  <c r="F726" i="1" a="1"/>
  <c r="F812" i="1" a="1"/>
  <c r="F323" i="1" a="1"/>
  <c r="F719" i="1" a="1"/>
  <c r="F949" i="1" a="1"/>
  <c r="F192" i="1" a="1"/>
  <c r="F500" i="1" a="1"/>
  <c r="F628" i="1" a="1"/>
  <c r="F734" i="1" a="1"/>
  <c r="F820" i="1" a="1"/>
  <c r="F907" i="1" a="1"/>
  <c r="F518" i="1" a="1"/>
  <c r="F914" i="1" a="1"/>
  <c r="F986" i="1" a="1"/>
  <c r="F236" i="1" a="1"/>
  <c r="F546" i="1" a="1"/>
  <c r="F660" i="1" a="1"/>
  <c r="F778" i="1" a="1"/>
  <c r="F865" i="1" a="1"/>
  <c r="F1008" i="1" a="1"/>
  <c r="F945" i="1" a="1"/>
  <c r="F751" i="1" a="1"/>
  <c r="F951" i="1" a="1"/>
  <c r="F1014" i="1" a="1"/>
  <c r="F534" i="1" a="1"/>
  <c r="F1002" i="1" a="1"/>
  <c r="F1017" i="1" a="1"/>
  <c r="F823" i="1" a="1"/>
  <c r="F631" i="1" a="1"/>
  <c r="P211" i="1" a="1"/>
  <c r="P604" i="1" a="1"/>
  <c r="P884" i="1" a="1"/>
  <c r="P126" i="1" a="1"/>
  <c r="P345" i="1" a="1"/>
  <c r="P513" i="1" a="1"/>
  <c r="P702" i="1" a="1"/>
  <c r="P995" i="1" a="1"/>
  <c r="P579" i="1" a="1"/>
  <c r="N32" i="1" a="1"/>
  <c r="N313" i="1" a="1"/>
  <c r="N106" i="1" a="1"/>
  <c r="N480" i="1" a="1"/>
  <c r="N613" i="1" a="1"/>
  <c r="N332" i="1" a="1"/>
  <c r="N237" i="1" a="1"/>
  <c r="N302" i="1" a="1"/>
  <c r="N769" i="1" a="1"/>
  <c r="N996" i="1" a="1"/>
  <c r="N828" i="1" a="1"/>
  <c r="N616" i="1" a="1"/>
  <c r="N883" i="1" a="1"/>
  <c r="N188" i="1" a="1"/>
  <c r="N63" i="1" a="1"/>
  <c r="N637" i="1" a="1"/>
  <c r="N856" i="1" a="1"/>
  <c r="N988" i="1" a="1"/>
  <c r="N189" i="1" a="1"/>
  <c r="N693" i="1" a="1"/>
  <c r="N442" i="1" a="1"/>
  <c r="N164" i="1" a="1"/>
  <c r="N108" i="1" a="1"/>
  <c r="N731" i="1" a="1"/>
  <c r="N251" i="1" a="1"/>
  <c r="N732" i="1" a="1"/>
  <c r="N1001" i="1" a="1"/>
  <c r="N722" i="1" a="1"/>
  <c r="N298" i="1" a="1"/>
  <c r="N772" i="1" a="1"/>
  <c r="N281" i="1" a="1"/>
  <c r="N715" i="1" a="1"/>
  <c r="N915" i="1" a="1"/>
  <c r="N262" i="1" a="1"/>
  <c r="N151" i="1" a="1"/>
  <c r="N674" i="1" a="1"/>
  <c r="N636" i="1" a="1"/>
  <c r="N692" i="1" a="1"/>
  <c r="N729" i="1" a="1"/>
  <c r="N736" i="1" a="1"/>
  <c r="N872" i="1" a="1"/>
  <c r="N995" i="1" a="1"/>
  <c r="L147" i="1" a="1"/>
  <c r="L59" i="1" a="1"/>
  <c r="L34" i="1" a="1"/>
  <c r="L164" i="1" a="1"/>
  <c r="L292" i="1" a="1"/>
  <c r="L237" i="1" a="1"/>
  <c r="L293" i="1" a="1"/>
  <c r="L150" i="1" a="1"/>
  <c r="L46" i="1" a="1"/>
  <c r="L231" i="1" a="1"/>
  <c r="L263" i="1" a="1"/>
  <c r="L80" i="1" a="1"/>
  <c r="L208" i="1" a="1"/>
  <c r="L336" i="1" a="1"/>
  <c r="L464" i="1" a="1"/>
  <c r="L573" i="1" a="1"/>
  <c r="L669" i="1" a="1"/>
  <c r="L765" i="1" a="1"/>
  <c r="L861" i="1" a="1"/>
  <c r="L121" i="1" a="1"/>
  <c r="L313" i="1" a="1"/>
  <c r="L89" i="1" a="1"/>
  <c r="L511" i="1" a="1"/>
  <c r="L900" i="1" a="1"/>
  <c r="L453" i="1" a="1"/>
  <c r="L644" i="1" a="1"/>
  <c r="L836" i="1" a="1"/>
  <c r="L982" i="1" a="1"/>
  <c r="L465" i="1" a="1"/>
  <c r="L661" i="1" a="1"/>
  <c r="L853" i="1" a="1"/>
  <c r="L362" i="1" a="1"/>
  <c r="L726" i="1" a="1"/>
  <c r="L976" i="1" a="1"/>
  <c r="L398" i="1" a="1"/>
  <c r="L599" i="1" a="1"/>
  <c r="L791" i="1" a="1"/>
  <c r="L154" i="1" a="1"/>
  <c r="L505" i="1" a="1"/>
  <c r="L703" i="1" a="1"/>
  <c r="L895" i="1" a="1"/>
  <c r="L1020" i="1" a="1"/>
  <c r="L446" i="1" a="1"/>
  <c r="L768" i="1" a="1"/>
  <c r="L290" i="1" a="1"/>
  <c r="L517" i="1" a="1"/>
  <c r="L713" i="1" a="1"/>
  <c r="L905" i="1" a="1"/>
  <c r="L1028" i="1" a="1"/>
  <c r="L691" i="1" a="1"/>
  <c r="L403" i="1" a="1"/>
  <c r="L610" i="1" a="1"/>
  <c r="L802" i="1" a="1"/>
  <c r="L429" i="1" a="1"/>
  <c r="L461" i="1" a="1"/>
  <c r="L959" i="1" a="1"/>
  <c r="L391" i="1" a="1"/>
  <c r="L666" i="1" a="1"/>
  <c r="L958" i="1" a="1"/>
  <c r="L481" i="1" a="1"/>
  <c r="L987" i="1" a="1"/>
  <c r="L844" i="1" a="1"/>
  <c r="J72" i="1" a="1"/>
  <c r="J168" i="1" a="1"/>
  <c r="J104" i="1" a="1"/>
  <c r="J289" i="1" a="1"/>
  <c r="J477" i="1" a="1"/>
  <c r="J92" i="1" a="1"/>
  <c r="J274" i="1" a="1"/>
  <c r="J478" i="1" a="1"/>
  <c r="J218" i="1" a="1"/>
  <c r="J421" i="1" a="1"/>
  <c r="J573" i="1" a="1"/>
  <c r="J669" i="1" a="1"/>
  <c r="J300" i="1" a="1"/>
  <c r="J511" i="1" a="1"/>
  <c r="J800" i="1" a="1"/>
  <c r="J100" i="1" a="1"/>
  <c r="J310" i="1" a="1"/>
  <c r="J587" i="1" a="1"/>
  <c r="J339" i="1" a="1"/>
  <c r="J550" i="1" a="1"/>
  <c r="J91" i="1" a="1"/>
  <c r="J175" i="1" a="1"/>
  <c r="J353" i="1" a="1"/>
  <c r="J583" i="1" a="1"/>
  <c r="J716" i="1" a="1"/>
  <c r="J402" i="1" a="1"/>
  <c r="J743" i="1" a="1"/>
  <c r="J846" i="1" a="1"/>
  <c r="J942" i="1" a="1"/>
  <c r="J163" i="1" a="1"/>
  <c r="J403" i="1" a="1"/>
  <c r="J613" i="1" a="1"/>
  <c r="J58" i="1" a="1"/>
  <c r="J299" i="1" a="1"/>
  <c r="J629" i="1" a="1"/>
  <c r="J963" i="1" a="1"/>
  <c r="J604" i="1" a="1"/>
  <c r="J833" i="1" a="1"/>
  <c r="J410" i="1" a="1"/>
  <c r="J835" i="1" a="1"/>
  <c r="J452" i="1" a="1"/>
  <c r="J871" i="1" a="1"/>
  <c r="J375" i="1" a="1"/>
  <c r="J715" i="1" a="1"/>
  <c r="J475" i="1" a="1"/>
  <c r="J214" i="1" a="1"/>
  <c r="J718" i="1" a="1"/>
  <c r="J940" i="1" a="1"/>
  <c r="J636" i="1" a="1"/>
  <c r="J967" i="1" a="1"/>
  <c r="J659" i="1" a="1"/>
  <c r="J961" i="1" a="1"/>
  <c r="J294" i="1" a="1"/>
  <c r="J795" i="1" a="1"/>
  <c r="J987" i="1" a="1"/>
  <c r="J366" i="1" a="1"/>
  <c r="J740" i="1" a="1"/>
  <c r="J251" i="1" a="1"/>
  <c r="J1012" i="1" a="1"/>
  <c r="J837" i="1" a="1"/>
  <c r="J1007" i="1" a="1"/>
  <c r="J872" i="1" a="1"/>
  <c r="J959" i="1" a="1"/>
  <c r="H116" i="1" a="1"/>
  <c r="H212" i="1" a="1"/>
  <c r="H308" i="1" a="1"/>
  <c r="H404" i="1" a="1"/>
  <c r="H81" i="1" a="1"/>
  <c r="H177" i="1" a="1"/>
  <c r="H273" i="1" a="1"/>
  <c r="H369" i="1" a="1"/>
  <c r="H465" i="1" a="1"/>
  <c r="H102" i="1" a="1"/>
  <c r="H198" i="1" a="1"/>
  <c r="H294" i="1" a="1"/>
  <c r="H390" i="1" a="1"/>
  <c r="H486" i="1" a="1"/>
  <c r="H127" i="1" a="1"/>
  <c r="H223" i="1" a="1"/>
  <c r="H293" i="1" a="1"/>
  <c r="H552" i="1" a="1"/>
  <c r="H203" i="1" a="1"/>
  <c r="H286" i="1" a="1"/>
  <c r="H430" i="1" a="1"/>
  <c r="H577" i="1" a="1"/>
  <c r="H406" i="1" a="1"/>
  <c r="H299" i="1" a="1"/>
  <c r="H627" i="1" a="1"/>
  <c r="H289" i="1" a="1"/>
  <c r="H680" i="1" a="1"/>
  <c r="H409" i="1" a="1"/>
  <c r="H661" i="1" a="1"/>
  <c r="H678" i="1" a="1"/>
  <c r="H948" i="1" a="1"/>
  <c r="H178" i="1" a="1"/>
  <c r="H705" i="1" a="1"/>
  <c r="H836" i="1" a="1"/>
  <c r="H637" i="1" a="1"/>
  <c r="H931" i="1" a="1"/>
  <c r="H355" i="1" a="1"/>
  <c r="H734" i="1" a="1"/>
  <c r="H341" i="1" a="1"/>
  <c r="H548" i="1" a="1"/>
  <c r="H780" i="1" a="1"/>
  <c r="H896" i="1" a="1"/>
  <c r="H609" i="1" a="1"/>
  <c r="H915" i="1" a="1"/>
  <c r="H753" i="1" a="1"/>
  <c r="H868" i="1" a="1"/>
  <c r="H562" i="1" a="1"/>
  <c r="H775" i="1" a="1"/>
  <c r="H976" i="1" a="1"/>
  <c r="H130" i="1" a="1"/>
  <c r="H703" i="1" a="1"/>
  <c r="H833" i="1" a="1"/>
  <c r="H625" i="1" a="1"/>
  <c r="H695" i="1" a="1"/>
  <c r="H965" i="1" a="1"/>
  <c r="H567" i="1" a="1"/>
  <c r="H991" i="1" a="1"/>
  <c r="H656" i="1" a="1"/>
  <c r="H878" i="1" a="1"/>
  <c r="H987" i="1" a="1"/>
  <c r="H690" i="1" a="1"/>
  <c r="H1028" i="1" a="1"/>
  <c r="F69" i="1" a="1"/>
  <c r="F73" i="1" a="1"/>
  <c r="F169" i="1" a="1"/>
  <c r="F265" i="1" a="1"/>
  <c r="F361" i="1" a="1"/>
  <c r="F32" i="1" a="1"/>
  <c r="F140" i="1" a="1"/>
  <c r="F255" i="1" a="1"/>
  <c r="F370" i="1" a="1"/>
  <c r="F502" i="1" a="1"/>
  <c r="F554" i="1" a="1"/>
  <c r="F650" i="1" a="1"/>
  <c r="F119" i="1" a="1"/>
  <c r="F234" i="1" a="1"/>
  <c r="F350" i="1" a="1"/>
  <c r="F477" i="1" a="1"/>
  <c r="F543" i="1" a="1"/>
  <c r="F639" i="1" a="1"/>
  <c r="F681" i="1" a="1"/>
  <c r="F107" i="1" a="1"/>
  <c r="F158" i="1" a="1"/>
  <c r="F244" i="1" a="1"/>
  <c r="F330" i="1" a="1"/>
  <c r="F398" i="1" a="1"/>
  <c r="F441" i="1" a="1"/>
  <c r="F512" i="1" a="1"/>
  <c r="F605" i="1" a="1"/>
  <c r="F693" i="1" a="1"/>
  <c r="F171" i="1" a="1"/>
  <c r="F257" i="1" a="1"/>
  <c r="F344" i="1" a="1"/>
  <c r="F482" i="1" a="1"/>
  <c r="F541" i="1" a="1"/>
  <c r="F589" i="1" a="1"/>
  <c r="F637" i="1" a="1"/>
  <c r="F108" i="1" a="1"/>
  <c r="F172" i="1" a="1"/>
  <c r="F258" i="1" a="1"/>
  <c r="F345" i="1" a="1"/>
  <c r="F401" i="1" a="1"/>
  <c r="F444" i="1" a="1"/>
  <c r="F513" i="1" a="1"/>
  <c r="F606" i="1" a="1"/>
  <c r="F694" i="1" a="1"/>
  <c r="F123" i="1" a="1"/>
  <c r="F209" i="1" a="1"/>
  <c r="F296" i="1" a="1"/>
  <c r="F485" i="1" a="1"/>
  <c r="F551" i="1" a="1"/>
  <c r="F41" i="1" a="1"/>
  <c r="F165" i="1" a="1"/>
  <c r="F311" i="1" a="1"/>
  <c r="F520" i="1" a="1"/>
  <c r="F664" i="1" a="1"/>
  <c r="F809" i="1" a="1"/>
  <c r="F922" i="1" a="1"/>
  <c r="F946" i="1" a="1"/>
  <c r="F970" i="1" a="1"/>
  <c r="F994" i="1" a="1"/>
  <c r="F1018" i="1" a="1"/>
  <c r="F89" i="1" a="1"/>
  <c r="F186" i="1" a="1"/>
  <c r="F333" i="1" a="1"/>
  <c r="F402" i="1" a="1"/>
  <c r="F466" i="1" a="1"/>
  <c r="F634" i="1" a="1"/>
  <c r="F709" i="1" a="1"/>
  <c r="F738" i="1" a="1"/>
  <c r="F766" i="1" a="1"/>
  <c r="F795" i="1" a="1"/>
  <c r="F824" i="1" a="1"/>
  <c r="F853" i="1" a="1"/>
  <c r="F882" i="1" a="1"/>
  <c r="F910" i="1" a="1"/>
  <c r="F113" i="1" a="1"/>
  <c r="F239" i="1" a="1"/>
  <c r="F495" i="1" a="1"/>
  <c r="F576" i="1" a="1"/>
  <c r="F624" i="1" a="1"/>
  <c r="F731" i="1" a="1"/>
  <c r="F875" i="1" a="1"/>
  <c r="F935" i="1" a="1"/>
  <c r="F959" i="1" a="1"/>
  <c r="F983" i="1" a="1"/>
  <c r="F1007" i="1" a="1"/>
  <c r="F114" i="1" a="1"/>
  <c r="F261" i="1" a="1"/>
  <c r="F372" i="1" a="1"/>
  <c r="F437" i="1" a="1"/>
  <c r="F511" i="1" a="1"/>
  <c r="F647" i="1" a="1"/>
  <c r="F724" i="1" a="1"/>
  <c r="F753" i="1" a="1"/>
  <c r="F782" i="1" a="1"/>
  <c r="F811" i="1" a="1"/>
  <c r="F840" i="1" a="1"/>
  <c r="F868" i="1" a="1"/>
  <c r="F897" i="1" a="1"/>
  <c r="F924" i="1" a="1"/>
  <c r="F972" i="1" a="1"/>
  <c r="F152" i="1" a="1"/>
  <c r="F280" i="1" a="1"/>
  <c r="F481" i="1" a="1"/>
  <c r="F577" i="1" a="1"/>
  <c r="F625" i="1" a="1"/>
  <c r="F695" i="1" a="1"/>
  <c r="F797" i="1" a="1"/>
  <c r="F918" i="1" a="1"/>
  <c r="F966" i="1" a="1"/>
  <c r="F173" i="1" a="1"/>
  <c r="F302" i="1" a="1"/>
  <c r="F390" i="1" a="1"/>
  <c r="F455" i="1" a="1"/>
  <c r="F527" i="1" a="1"/>
  <c r="F616" i="1" a="1"/>
  <c r="F711" i="1" a="1"/>
  <c r="F740" i="1" a="1"/>
  <c r="F769" i="1" a="1"/>
  <c r="F798" i="1" a="1"/>
  <c r="F826" i="1" a="1"/>
  <c r="F137" i="1" a="1"/>
  <c r="F266" i="1" a="1"/>
  <c r="F469" i="1" a="1"/>
  <c r="F696" i="1" a="1"/>
  <c r="F791" i="1" a="1"/>
  <c r="F913" i="1" a="1"/>
  <c r="F937" i="1" a="1"/>
  <c r="F961" i="1" a="1"/>
  <c r="F985" i="1" a="1"/>
  <c r="F117" i="1" a="1"/>
  <c r="F250" i="1" a="1"/>
  <c r="F375" i="1" a="1"/>
  <c r="F440" i="1" a="1"/>
  <c r="F556" i="1" a="1"/>
  <c r="F604" i="1" a="1"/>
  <c r="F649" i="1" a="1"/>
  <c r="F720" i="1" a="1"/>
  <c r="F748" i="1" a="1"/>
  <c r="F777" i="1" a="1"/>
  <c r="F806" i="1" a="1"/>
  <c r="F835" i="1" a="1"/>
  <c r="F864" i="1" a="1"/>
  <c r="F892" i="1" a="1"/>
  <c r="F138" i="1" a="1"/>
  <c r="F251" i="1" a="1"/>
  <c r="F459" i="1" a="1"/>
  <c r="F670" i="1" a="1"/>
  <c r="F713" i="1" a="1"/>
  <c r="F857" i="1" a="1"/>
  <c r="F926" i="1" a="1"/>
  <c r="F950" i="1" a="1"/>
  <c r="F974" i="1" a="1"/>
  <c r="F998" i="1" a="1"/>
  <c r="F1022" i="1" a="1"/>
  <c r="F178" i="1" a="1"/>
  <c r="F288" i="1" a="1"/>
  <c r="F395" i="1" a="1"/>
  <c r="F475" i="1" a="1"/>
  <c r="F570" i="1" a="1"/>
  <c r="F618" i="1" a="1"/>
  <c r="F706" i="1" a="1"/>
  <c r="F735" i="1" a="1"/>
  <c r="F764" i="1" a="1"/>
  <c r="F793" i="1" a="1"/>
  <c r="F822" i="1" a="1"/>
  <c r="F850" i="1" a="1"/>
  <c r="F879" i="1" a="1"/>
  <c r="F908" i="1" a="1"/>
  <c r="F862" i="1" a="1"/>
  <c r="F62" i="1" a="1"/>
  <c r="F571" i="1" a="1"/>
  <c r="F830" i="1" a="1"/>
  <c r="F993" i="1" a="1"/>
  <c r="F310" i="1" a="1"/>
  <c r="F866" i="1" a="1"/>
  <c r="F416" i="1" a="1"/>
  <c r="F837" i="1" a="1"/>
  <c r="F1011" i="1" a="1"/>
  <c r="F661" i="1" a="1"/>
  <c r="F216" i="1" a="1"/>
  <c r="F758" i="1" a="1"/>
  <c r="F902" i="1" a="1"/>
  <c r="F124" i="1" a="1"/>
  <c r="F877" i="1" a="1"/>
  <c r="F447" i="1" a="1"/>
  <c r="F765" i="1" a="1"/>
  <c r="F957" i="1" a="1"/>
  <c r="F164" i="1" a="1"/>
  <c r="F252" i="1" a="1"/>
  <c r="F880" i="1" a="1"/>
  <c r="F779" i="1" a="1"/>
  <c r="F1020" i="1" a="1"/>
  <c r="F365" i="1" a="1"/>
  <c r="F729" i="1" a="1"/>
  <c r="F884" i="1" a="1"/>
  <c r="F939" i="1" a="1"/>
  <c r="F736" i="1" a="1"/>
  <c r="F674" i="1" a="1"/>
  <c r="F453" i="1" a="1"/>
  <c r="F700" i="1" a="1"/>
  <c r="F354" i="1" a="1"/>
  <c r="F598" i="1" a="1"/>
  <c r="F646" i="1" a="1"/>
  <c r="F368" i="1" a="1"/>
  <c r="F454" i="1" a="1"/>
  <c r="F630" i="1" a="1"/>
  <c r="F222" i="1" a="1"/>
  <c r="F575" i="1" a="1"/>
  <c r="F329" i="1" a="1"/>
  <c r="F691" i="1" a="1"/>
  <c r="F952" i="1" a="1"/>
  <c r="F1000" i="1" a="1"/>
  <c r="F202" i="1" a="1"/>
  <c r="F417" i="1" a="1"/>
  <c r="F716" i="1" a="1"/>
  <c r="F774" i="1" a="1"/>
  <c r="F860" i="1" a="1"/>
  <c r="F44" i="1" a="1"/>
  <c r="F508" i="1" a="1"/>
  <c r="F655" i="1" a="1"/>
  <c r="F941" i="1" a="1"/>
  <c r="F989" i="1" a="1"/>
  <c r="F279" i="1" a="1"/>
  <c r="F452" i="1" a="1"/>
  <c r="F760" i="1" a="1"/>
  <c r="F847" i="1" a="1"/>
  <c r="F904" i="1" a="1"/>
  <c r="F167" i="1" a="1"/>
  <c r="F666" i="1" a="1"/>
  <c r="F833" i="1" a="1"/>
  <c r="F189" i="1" a="1"/>
  <c r="F468" i="1" a="1"/>
  <c r="F636" i="1" a="1"/>
  <c r="F776" i="1" a="1"/>
  <c r="F834" i="1" a="1"/>
  <c r="F486" i="1" a="1"/>
  <c r="F827" i="1" a="1"/>
  <c r="F967" i="1" a="1"/>
  <c r="F174" i="1" a="1"/>
  <c r="F487" i="1" a="1"/>
  <c r="F659" i="1" a="1"/>
  <c r="F784" i="1" a="1"/>
  <c r="F842" i="1" a="1"/>
  <c r="F156" i="1" a="1"/>
  <c r="F267" i="1" a="1"/>
  <c r="F749" i="1" a="1"/>
  <c r="F956" i="1" a="1"/>
  <c r="F1028" i="1" a="1"/>
  <c r="F412" i="1" a="1"/>
  <c r="F488" i="1" a="1"/>
  <c r="F714" i="1" a="1"/>
  <c r="F771" i="1" a="1"/>
  <c r="F858" i="1" a="1"/>
  <c r="F891" i="1" a="1"/>
  <c r="F921" i="1" a="1"/>
  <c r="F895" i="1" a="1"/>
  <c r="F870" i="1" a="1"/>
  <c r="F430" i="1" a="1"/>
  <c r="F999" i="1" a="1"/>
  <c r="F537" i="1" a="1"/>
  <c r="F981" i="1" a="1"/>
  <c r="F909" i="1" a="1"/>
  <c r="F382" i="1" a="1"/>
  <c r="F1003" i="1" a="1"/>
  <c r="F859" i="1" a="1"/>
  <c r="P264" i="1" a="1"/>
  <c r="N543" i="1" a="1"/>
  <c r="N504" i="1" a="1"/>
  <c r="N900" i="1" a="1"/>
  <c r="N755" i="1" a="1"/>
  <c r="N353" i="1" a="1"/>
  <c r="N96" i="1" a="1"/>
  <c r="N813" i="1" a="1"/>
  <c r="N939" i="1" a="1"/>
  <c r="N951" i="1" a="1"/>
  <c r="N932" i="1" a="1"/>
  <c r="N663" i="1" a="1"/>
  <c r="N186" i="1" a="1"/>
  <c r="N526" i="1" a="1"/>
  <c r="L251" i="1" a="1"/>
  <c r="L141" i="1" a="1"/>
  <c r="L214" i="1" a="1"/>
  <c r="L455" i="1" a="1"/>
  <c r="L400" i="1" a="1"/>
  <c r="L717" i="1" a="1"/>
  <c r="L909" i="1" a="1"/>
  <c r="L358" i="1" a="1"/>
  <c r="L740" i="1" a="1"/>
  <c r="L565" i="1" a="1"/>
  <c r="L532" i="1" a="1"/>
  <c r="L504" i="1" a="1"/>
  <c r="L364" i="1" a="1"/>
  <c r="L962" i="1" a="1"/>
  <c r="L963" i="1" a="1"/>
  <c r="L809" i="1" a="1"/>
  <c r="L1002" i="1" a="1"/>
  <c r="L898" i="1" a="1"/>
  <c r="L266" i="1" a="1"/>
  <c r="L1015" i="1" a="1"/>
  <c r="L859" i="1" a="1"/>
  <c r="J32" i="1" a="1"/>
  <c r="J560" i="1" a="1"/>
  <c r="J75" i="1" a="1"/>
  <c r="J621" i="1" a="1"/>
  <c r="J745" i="1" a="1"/>
  <c r="J474" i="1" a="1"/>
  <c r="J275" i="1" a="1"/>
  <c r="J187" i="1" a="1"/>
  <c r="J894" i="1" a="1"/>
  <c r="J296" i="1" a="1"/>
  <c r="J213" i="1" a="1"/>
  <c r="J868" i="1" a="1"/>
  <c r="J761" i="1" a="1"/>
  <c r="J685" i="1" a="1"/>
  <c r="J98" i="1" a="1"/>
  <c r="J755" i="1" a="1"/>
  <c r="J458" i="1" a="1"/>
  <c r="J866" i="1" a="1"/>
  <c r="J874" i="1" a="1"/>
  <c r="J602" i="1" a="1"/>
  <c r="J956" i="1" a="1"/>
  <c r="H164" i="1" a="1"/>
  <c r="H33" i="1" a="1"/>
  <c r="H321" i="1" a="1"/>
  <c r="H54" i="1" a="1"/>
  <c r="H342" i="1" a="1"/>
  <c r="H175" i="1" a="1"/>
  <c r="H600" i="1" a="1"/>
  <c r="H521" i="1" a="1"/>
  <c r="H505" i="1" a="1"/>
  <c r="H113" i="1" a="1"/>
  <c r="H871" i="1" a="1"/>
  <c r="H778" i="1" a="1"/>
  <c r="H979" i="1" a="1"/>
  <c r="H323" i="1" a="1"/>
  <c r="H451" i="1" a="1"/>
  <c r="H810" i="1" a="1"/>
  <c r="H658" i="1" a="1"/>
  <c r="H485" i="1" a="1"/>
  <c r="H528" i="1" a="1"/>
  <c r="H945" i="1" a="1"/>
  <c r="H880" i="1" a="1"/>
  <c r="H950" i="1" a="1"/>
  <c r="F217" i="1" a="1"/>
  <c r="F35" i="1" a="1"/>
  <c r="F312" i="1" a="1"/>
  <c r="F470" i="1" a="1"/>
  <c r="F177" i="1" a="1"/>
  <c r="F96" i="1" a="1"/>
  <c r="F60" i="1" a="1"/>
  <c r="F218" i="1" a="1"/>
  <c r="F419" i="1" a="1"/>
  <c r="F653" i="1" a="1"/>
  <c r="F281" i="1" a="1"/>
  <c r="F565" i="1" a="1"/>
  <c r="F146" i="1" a="1"/>
  <c r="F380" i="1" a="1"/>
  <c r="F465" i="1" a="1"/>
  <c r="F654" i="1" a="1"/>
  <c r="F272" i="1" a="1"/>
  <c r="F599" i="1" a="1"/>
  <c r="F238" i="1" a="1"/>
  <c r="F737" i="1" a="1"/>
  <c r="F958" i="1" a="1"/>
  <c r="F1030" i="1" a="1"/>
  <c r="F260" i="1" a="1"/>
  <c r="F525" i="1" a="1"/>
  <c r="F723" i="1" a="1"/>
  <c r="F838" i="1" a="1"/>
  <c r="F70" i="1" a="1"/>
  <c r="F552" i="1" a="1"/>
  <c r="F665" i="1" a="1"/>
  <c r="F947" i="1" a="1"/>
  <c r="F1019" i="1" a="1"/>
  <c r="F316" i="1" a="1"/>
  <c r="F539" i="1" a="1"/>
  <c r="F768" i="1" a="1"/>
  <c r="F854" i="1" a="1"/>
  <c r="F948" i="1" a="1"/>
  <c r="F338" i="1" a="1"/>
  <c r="F676" i="1" a="1"/>
  <c r="F942" i="1" a="1"/>
  <c r="F359" i="1" a="1"/>
  <c r="F499" i="1" a="1"/>
  <c r="F648" i="1" a="1"/>
  <c r="F783" i="1" a="1"/>
  <c r="F841" i="1" a="1"/>
  <c r="F667" i="1" a="1"/>
  <c r="F925" i="1" a="1"/>
  <c r="F997" i="1" a="1"/>
  <c r="F303" i="1" a="1"/>
  <c r="F580" i="1" a="1"/>
  <c r="F763" i="1" a="1"/>
  <c r="F849" i="1" a="1"/>
  <c r="F194" i="1" a="1"/>
  <c r="F689" i="1" a="1"/>
  <c r="F938" i="1" a="1"/>
  <c r="F1010" i="1" a="1"/>
  <c r="F362" i="1" a="1"/>
  <c r="F594" i="1" a="1"/>
  <c r="F721" i="1" a="1"/>
  <c r="F807" i="1" a="1"/>
  <c r="F894" i="1" a="1"/>
  <c r="F396" i="1" a="1"/>
  <c r="F84" i="1" a="1"/>
  <c r="F1009" i="1" a="1"/>
  <c r="F326" i="1" a="1"/>
  <c r="F844" i="1" a="1"/>
  <c r="F1029" i="1" a="1"/>
  <c r="F888" i="1" a="1"/>
  <c r="F963" i="1" a="1"/>
  <c r="F816" i="1" a="1"/>
  <c r="F274" i="1" a="1"/>
  <c r="P550" i="1" a="1"/>
  <c r="P883" i="1" a="1"/>
  <c r="P172" i="1" a="1"/>
  <c r="P470" i="1" a="1"/>
  <c r="P695" i="1" a="1"/>
  <c r="P48" i="1" a="1"/>
  <c r="P267" i="1" a="1"/>
  <c r="P601" i="1" a="1"/>
  <c r="P273" i="1" a="1"/>
  <c r="N89" i="1" a="1"/>
  <c r="N428" i="1" a="1"/>
  <c r="N221" i="1" a="1"/>
  <c r="N538" i="1" a="1"/>
  <c r="N71" i="1" a="1"/>
  <c r="N419" i="1" a="1"/>
  <c r="N542" i="1" a="1"/>
  <c r="N475" i="1" a="1"/>
  <c r="N852" i="1" a="1"/>
  <c r="N144" i="1" a="1"/>
  <c r="N174" i="1" a="1"/>
  <c r="N698" i="1" a="1"/>
  <c r="N931" i="1" a="1"/>
  <c r="N334" i="1" a="1"/>
  <c r="N196" i="1" a="1"/>
  <c r="N716" i="1" a="1"/>
  <c r="N892" i="1" a="1"/>
  <c r="N1018" i="1" a="1"/>
  <c r="N316" i="1" a="1"/>
  <c r="N824" i="1" a="1"/>
  <c r="N669" i="1" a="1"/>
  <c r="N588" i="1" a="1"/>
  <c r="N222" i="1" a="1"/>
  <c r="N825" i="1" a="1"/>
  <c r="N348" i="1" a="1"/>
  <c r="N792" i="1" a="1"/>
  <c r="N197" i="1" a="1"/>
  <c r="N817" i="1" a="1"/>
  <c r="N470" i="1" a="1"/>
  <c r="N849" i="1" a="1"/>
  <c r="N402" i="1" a="1"/>
  <c r="N873" i="1" a="1"/>
  <c r="N312" i="1" a="1"/>
  <c r="N546" i="1" a="1"/>
  <c r="N547" i="1" a="1"/>
  <c r="N798" i="1" a="1"/>
  <c r="N863" i="1" a="1"/>
  <c r="N896" i="1" a="1"/>
  <c r="N885" i="1" a="1"/>
  <c r="N911" i="1" a="1"/>
  <c r="N121" i="1" a="1"/>
  <c r="L45" i="1" a="1"/>
  <c r="L195" i="1" a="1"/>
  <c r="L155" i="1" a="1"/>
  <c r="L68" i="1" a="1"/>
  <c r="L196" i="1" a="1"/>
  <c r="L93" i="1" a="1"/>
  <c r="L35" i="1" a="1"/>
  <c r="L54" i="1" a="1"/>
  <c r="L182" i="1" a="1"/>
  <c r="L87" i="1" a="1"/>
  <c r="L279" i="1" a="1"/>
  <c r="L359" i="1" a="1"/>
  <c r="L112" i="1" a="1"/>
  <c r="L240" i="1" a="1"/>
  <c r="L368" i="1" a="1"/>
  <c r="L493" i="1" a="1"/>
  <c r="L597" i="1" a="1"/>
  <c r="L693" i="1" a="1"/>
  <c r="L789" i="1" a="1"/>
  <c r="L885" i="1" a="1"/>
  <c r="L169" i="1" a="1"/>
  <c r="L361" i="1" a="1"/>
  <c r="L274" i="1" a="1"/>
  <c r="L612" i="1" a="1"/>
  <c r="L519" i="1" a="1"/>
  <c r="L502" i="1" a="1"/>
  <c r="L692" i="1" a="1"/>
  <c r="L884" i="1" a="1"/>
  <c r="L1010" i="1" a="1"/>
  <c r="L512" i="1" a="1"/>
  <c r="L709" i="1" a="1"/>
  <c r="L901" i="1" a="1"/>
  <c r="L444" i="1" a="1"/>
  <c r="L822" i="1" a="1"/>
  <c r="L1004" i="1" a="1"/>
  <c r="L445" i="1" a="1"/>
  <c r="L647" i="1" a="1"/>
  <c r="L839" i="1" a="1"/>
  <c r="L308" i="1" a="1"/>
  <c r="L559" i="1" a="1"/>
  <c r="L751" i="1" a="1"/>
  <c r="L934" i="1" a="1"/>
  <c r="L113" i="1" a="1"/>
  <c r="L516" i="1" a="1"/>
  <c r="L864" i="1" a="1"/>
  <c r="L365" i="1" a="1"/>
  <c r="L569" i="1" a="1"/>
  <c r="L761" i="1" a="1"/>
  <c r="L942" i="1" a="1"/>
  <c r="L611" i="1" a="1"/>
  <c r="L892" i="1" a="1"/>
  <c r="L449" i="1" a="1"/>
  <c r="L658" i="1" a="1"/>
  <c r="L850" i="1" a="1"/>
  <c r="L587" i="1" a="1"/>
  <c r="L604" i="1" a="1"/>
  <c r="L74" i="1" a="1"/>
  <c r="L438" i="1" a="1"/>
  <c r="L762" i="1" a="1"/>
  <c r="L986" i="1" a="1"/>
  <c r="L602" i="1" a="1"/>
  <c r="L472" i="1" a="1"/>
  <c r="L952" i="1" a="1"/>
  <c r="J96" i="1" a="1"/>
  <c r="J192" i="1" a="1"/>
  <c r="J140" i="1" a="1"/>
  <c r="J333" i="1" a="1"/>
  <c r="J535" i="1" a="1"/>
  <c r="J128" i="1" a="1"/>
  <c r="J334" i="1" a="1"/>
  <c r="J521" i="1" a="1"/>
  <c r="J266" i="1" a="1"/>
  <c r="J464" i="1" a="1"/>
  <c r="J597" i="1" a="1"/>
  <c r="J87" i="1" a="1"/>
  <c r="J338" i="1" a="1"/>
  <c r="J693" i="1" a="1"/>
  <c r="J824" i="1" a="1"/>
  <c r="J154" i="1" a="1"/>
  <c r="J407" i="1" a="1"/>
  <c r="J49" i="1" a="1"/>
  <c r="J379" i="1" a="1"/>
  <c r="J89" i="1" a="1"/>
  <c r="J40" i="1" a="1"/>
  <c r="J231" i="1" a="1"/>
  <c r="J450" i="1" a="1"/>
  <c r="J612" i="1" a="1"/>
  <c r="J69" i="1" a="1"/>
  <c r="J440" i="1" a="1"/>
  <c r="J774" i="1" a="1"/>
  <c r="J870" i="1" a="1"/>
  <c r="J966" i="1" a="1"/>
  <c r="J222" i="1" a="1"/>
  <c r="J498" i="1" a="1"/>
  <c r="J642" i="1" a="1"/>
  <c r="J166" i="1" a="1"/>
  <c r="J337" i="1" a="1"/>
  <c r="J673" i="1" a="1"/>
  <c r="J252" i="1" a="1"/>
  <c r="J722" i="1" a="1"/>
  <c r="J885" i="1" a="1"/>
  <c r="J618" i="1" a="1"/>
  <c r="J893" i="1" a="1"/>
  <c r="J643" i="1" a="1"/>
  <c r="J932" i="1" a="1"/>
  <c r="J510" i="1" a="1"/>
  <c r="J903" i="1" a="1"/>
  <c r="J622" i="1" a="1"/>
  <c r="J380" i="1" a="1"/>
  <c r="J775" i="1" a="1"/>
  <c r="J293" i="1" a="1"/>
  <c r="J708" i="1" a="1"/>
  <c r="J240" i="1" a="1"/>
  <c r="J700" i="1" a="1"/>
  <c r="J484" i="1" a="1"/>
  <c r="J443" i="1" a="1"/>
  <c r="J831" i="1" a="1"/>
  <c r="J1011" i="1" a="1"/>
  <c r="J501" i="1" a="1"/>
  <c r="J823" i="1" a="1"/>
  <c r="J408" i="1" a="1"/>
  <c r="J964" i="1" a="1"/>
  <c r="J1030" i="1" a="1"/>
  <c r="J1000" i="1" a="1"/>
  <c r="J1001" i="1" a="1"/>
  <c r="H44" i="1" a="1"/>
  <c r="H140" i="1" a="1"/>
  <c r="H236" i="1" a="1"/>
  <c r="H332" i="1" a="1"/>
  <c r="H428" i="1" a="1"/>
  <c r="H105" i="1" a="1"/>
  <c r="H201" i="1" a="1"/>
  <c r="H297" i="1" a="1"/>
  <c r="H393" i="1" a="1"/>
  <c r="H489" i="1" a="1"/>
  <c r="H126" i="1" a="1"/>
  <c r="H222" i="1" a="1"/>
  <c r="H318" i="1" a="1"/>
  <c r="H414" i="1" a="1"/>
  <c r="H55" i="1" a="1"/>
  <c r="H151" i="1" a="1"/>
  <c r="H247" i="1" a="1"/>
  <c r="H365" i="1" a="1"/>
  <c r="H576" i="1" a="1"/>
  <c r="H479" i="1" a="1"/>
  <c r="H322" i="1" a="1"/>
  <c r="H472" i="1" a="1"/>
  <c r="H601" i="1" a="1"/>
  <c r="H530" i="1" a="1"/>
  <c r="H443" i="1" a="1"/>
  <c r="H673" i="1" a="1"/>
  <c r="H433" i="1" a="1"/>
  <c r="H732" i="1" a="1"/>
  <c r="H524" i="1" a="1"/>
  <c r="H713" i="1" a="1"/>
  <c r="H748" i="1" a="1"/>
  <c r="H972" i="1" a="1"/>
  <c r="H389" i="1" a="1"/>
  <c r="H741" i="1" a="1"/>
  <c r="H864" i="1" a="1"/>
  <c r="H671" i="1" a="1"/>
  <c r="H955" i="1" a="1"/>
  <c r="H481" i="1" a="1"/>
  <c r="H772" i="1" a="1"/>
  <c r="H41" i="1" a="1"/>
  <c r="H630" i="1" a="1"/>
  <c r="H809" i="1" a="1"/>
  <c r="H307" i="1" a="1"/>
  <c r="H649" i="1" a="1"/>
  <c r="H251" i="1" a="1"/>
  <c r="H782" i="1" a="1"/>
  <c r="H897" i="1" a="1"/>
  <c r="H610" i="1" a="1"/>
  <c r="H904" i="1" a="1"/>
  <c r="H1000" i="1" a="1"/>
  <c r="H346" i="1" a="1"/>
  <c r="H737" i="1" a="1"/>
  <c r="H862" i="1" a="1"/>
  <c r="H458" i="1" a="1"/>
  <c r="H841" i="1" a="1"/>
  <c r="H989" i="1" a="1"/>
  <c r="H708" i="1" a="1"/>
  <c r="H895" i="1" a="1"/>
  <c r="H902" i="1" a="1"/>
  <c r="H740" i="1" a="1"/>
  <c r="H560" i="1" a="1"/>
  <c r="H885" i="1" a="1"/>
  <c r="H887" i="1" a="1"/>
  <c r="F93" i="1" a="1"/>
  <c r="F97" i="1" a="1"/>
  <c r="F193" i="1" a="1"/>
  <c r="F289" i="1" a="1"/>
  <c r="F385" i="1" a="1"/>
  <c r="F82" i="1" a="1"/>
  <c r="F168" i="1" a="1"/>
  <c r="F284" i="1" a="1"/>
  <c r="F399" i="1" a="1"/>
  <c r="F47" i="1" a="1"/>
  <c r="F578" i="1" a="1"/>
  <c r="F263" i="1" a="1"/>
  <c r="F378" i="1" a="1"/>
  <c r="F523" i="1" a="1"/>
  <c r="F567" i="1" a="1"/>
  <c r="F663" i="1" a="1"/>
  <c r="F687" i="1" a="1"/>
  <c r="F120" i="1" a="1"/>
  <c r="F207" i="1" a="1"/>
  <c r="F293" i="1" a="1"/>
  <c r="F366" i="1" a="1"/>
  <c r="F540" i="1" a="1"/>
  <c r="F182" i="1" a="1"/>
  <c r="F493" i="1" a="1"/>
  <c r="F221" i="1" a="1"/>
  <c r="F411" i="1" a="1"/>
  <c r="F136" i="1" a="1"/>
  <c r="F65" i="1" a="1"/>
  <c r="F928" i="1" a="1"/>
  <c r="F110" i="1" a="1"/>
  <c r="F643" i="1" a="1"/>
  <c r="F831" i="1" a="1"/>
  <c r="F297" i="1" a="1"/>
  <c r="F917" i="1" a="1"/>
  <c r="F130" i="1" a="1"/>
  <c r="F684" i="1" a="1"/>
  <c r="F818" i="1" a="1"/>
  <c r="F984" i="1" a="1"/>
  <c r="F498" i="1" a="1"/>
  <c r="F930" i="1" a="1"/>
  <c r="F405" i="1" a="1"/>
  <c r="F747" i="1" a="1"/>
  <c r="F286" i="1" a="1"/>
  <c r="F943" i="1" a="1"/>
  <c r="F287" i="1" a="1"/>
  <c r="F727" i="1" a="1"/>
  <c r="F871" i="1" a="1"/>
  <c r="F472" i="1" a="1"/>
  <c r="F932" i="1" a="1"/>
  <c r="F215" i="1" a="1"/>
  <c r="F641" i="1" a="1"/>
  <c r="F829" i="1" a="1"/>
  <c r="F179" i="1" a="1"/>
  <c r="F1023" i="1" a="1"/>
  <c r="F1026" i="1" a="1"/>
  <c r="F237" i="1" a="1"/>
  <c r="F780" i="1" a="1"/>
  <c r="F547" i="1" a="1"/>
  <c r="F1005" i="1" a="1"/>
  <c r="P565" i="1" a="1"/>
  <c r="P691" i="1" a="1"/>
  <c r="P304" i="1" a="1"/>
  <c r="P714" i="1" a="1"/>
  <c r="P846" i="1" a="1"/>
  <c r="P180" i="1" a="1"/>
  <c r="P569" i="1" a="1"/>
  <c r="N336" i="1" a="1"/>
  <c r="N586" i="1" a="1"/>
  <c r="N634" i="1" a="1"/>
  <c r="N403" i="1" a="1"/>
  <c r="N979" i="1" a="1"/>
  <c r="N922" i="1" a="1"/>
  <c r="N927" i="1" a="1"/>
  <c r="N369" i="1" a="1"/>
  <c r="N837" i="1" a="1"/>
  <c r="N559" i="1" a="1"/>
  <c r="N208" i="1" a="1"/>
  <c r="N842" i="1" a="1"/>
  <c r="N146" i="1" a="1"/>
  <c r="N99" i="1" a="1"/>
  <c r="L50" i="1" a="1"/>
  <c r="L100" i="1" a="1"/>
  <c r="L101" i="1" a="1"/>
  <c r="L135" i="1" a="1"/>
  <c r="L144" i="1" a="1"/>
  <c r="L521" i="1" a="1"/>
  <c r="L813" i="1" a="1"/>
  <c r="L409" i="1" a="1"/>
  <c r="L234" i="1" a="1"/>
  <c r="L924" i="1" a="1"/>
  <c r="L757" i="1" a="1"/>
  <c r="L918" i="1" a="1"/>
  <c r="L695" i="1" a="1"/>
  <c r="L607" i="1" a="1"/>
  <c r="L309" i="1" a="1"/>
  <c r="L413" i="1" a="1"/>
  <c r="L971" i="1" a="1"/>
  <c r="L706" i="1" a="1"/>
  <c r="L715" i="1" a="1"/>
  <c r="L858" i="1" a="1"/>
  <c r="L595" i="1" a="1"/>
  <c r="J225" i="1" a="1"/>
  <c r="J164" i="1" a="1"/>
  <c r="J507" i="1" a="1"/>
  <c r="J376" i="1" a="1"/>
  <c r="J848" i="1" a="1"/>
  <c r="J445" i="1" a="1"/>
  <c r="J51" i="1" a="1"/>
  <c r="J488" i="1" a="1"/>
  <c r="J798" i="1" a="1"/>
  <c r="J938" i="1" a="1"/>
  <c r="J952" i="1" a="1"/>
  <c r="J847" i="1" a="1"/>
  <c r="J401" i="1" a="1"/>
  <c r="J681" i="1" a="1"/>
  <c r="J571" i="1" a="1"/>
  <c r="J943" i="1" a="1"/>
  <c r="J887" i="1" a="1"/>
  <c r="H260" i="1" a="1"/>
  <c r="H225" i="1" a="1"/>
  <c r="H150" i="1" a="1"/>
  <c r="H438" i="1" a="1"/>
  <c r="H271" i="1" a="1"/>
  <c r="H540" i="1" a="1"/>
  <c r="H53" i="1" a="1"/>
  <c r="H725" i="1" a="1"/>
  <c r="H566" i="1" a="1"/>
  <c r="H996" i="1" a="1"/>
  <c r="H749" i="1" a="1"/>
  <c r="H801" i="1" a="1"/>
  <c r="H838" i="1" a="1"/>
  <c r="H525" i="1" a="1"/>
  <c r="H928" i="1" a="1"/>
  <c r="H776" i="1" a="1"/>
  <c r="H917" i="1" a="1"/>
  <c r="H638" i="1" a="1"/>
  <c r="H908" i="1" a="1"/>
  <c r="F34" i="1" a="1"/>
  <c r="F313" i="1" a="1"/>
  <c r="F197" i="1" a="1"/>
  <c r="F602" i="1" a="1"/>
  <c r="F407" i="1" a="1"/>
  <c r="F669" i="1" a="1"/>
  <c r="F304" i="1" a="1"/>
  <c r="F492" i="1" a="1"/>
  <c r="F52" i="1" a="1"/>
  <c r="F462" i="1" a="1"/>
  <c r="F613" i="1" a="1"/>
  <c r="F232" i="1" a="1"/>
  <c r="F558" i="1" a="1"/>
  <c r="F185" i="1" a="1"/>
  <c r="F505" i="1" a="1"/>
  <c r="F461" i="1" a="1"/>
  <c r="F881" i="1" a="1"/>
  <c r="F982" i="1" a="1"/>
  <c r="F129" i="1" a="1"/>
  <c r="F434" i="1" a="1"/>
  <c r="F752" i="1" a="1"/>
  <c r="F810" i="1" a="1"/>
  <c r="F896" i="1" a="1"/>
  <c r="F315" i="1" a="1"/>
  <c r="F803" i="1" a="1"/>
  <c r="F995" i="1" a="1"/>
  <c r="F404" i="1" a="1"/>
  <c r="F710" i="1" a="1"/>
  <c r="F825" i="1" a="1"/>
  <c r="F911" i="1" a="1"/>
  <c r="F225" i="1" a="1"/>
  <c r="F601" i="1" a="1"/>
  <c r="F869" i="1" a="1"/>
  <c r="F246" i="1" a="1"/>
  <c r="F568" i="1" a="1"/>
  <c r="F754" i="1" a="1"/>
  <c r="F210" i="1" a="1"/>
  <c r="F863" i="1" a="1"/>
  <c r="F973" i="1" a="1"/>
  <c r="F408" i="1" a="1"/>
  <c r="F705" i="1" a="1"/>
  <c r="F792" i="1" a="1"/>
  <c r="F878" i="1" a="1"/>
  <c r="F324" i="1" a="1"/>
  <c r="F785" i="1" a="1"/>
  <c r="F962" i="1" a="1"/>
  <c r="F101" i="1" a="1"/>
  <c r="F426" i="1" a="1"/>
  <c r="F750" i="1" a="1"/>
  <c r="F836" i="1" a="1"/>
  <c r="F699" i="1" a="1"/>
  <c r="F744" i="1" a="1"/>
  <c r="F652" i="1" a="1"/>
  <c r="F898" i="1" a="1"/>
  <c r="F595" i="1" a="1"/>
  <c r="F672" i="1" a="1"/>
  <c r="F851" i="1" a="1"/>
  <c r="F815" i="1" a="1"/>
  <c r="F619" i="1" a="1"/>
  <c r="F31" i="1" a="1"/>
  <c r="F31" i="1" l="1"/>
  <c r="F619" i="1"/>
  <c r="F815" i="1"/>
  <c r="F851" i="1"/>
  <c r="F672" i="1"/>
  <c r="F595" i="1"/>
  <c r="F898" i="1"/>
  <c r="F652" i="1"/>
  <c r="F744" i="1"/>
  <c r="F699" i="1"/>
  <c r="F836" i="1"/>
  <c r="F750" i="1"/>
  <c r="F426" i="1"/>
  <c r="F101" i="1"/>
  <c r="F962" i="1"/>
  <c r="F785" i="1"/>
  <c r="F324" i="1"/>
  <c r="F878" i="1"/>
  <c r="F792" i="1"/>
  <c r="F705" i="1"/>
  <c r="F408" i="1"/>
  <c r="F973" i="1"/>
  <c r="F863" i="1"/>
  <c r="F210" i="1"/>
  <c r="F754" i="1"/>
  <c r="F568" i="1"/>
  <c r="F246" i="1"/>
  <c r="F869" i="1"/>
  <c r="F601" i="1"/>
  <c r="F225" i="1"/>
  <c r="F911" i="1"/>
  <c r="F825" i="1"/>
  <c r="F710" i="1"/>
  <c r="F404" i="1"/>
  <c r="F995" i="1"/>
  <c r="F803" i="1"/>
  <c r="F315" i="1"/>
  <c r="F896" i="1"/>
  <c r="F810" i="1"/>
  <c r="F752" i="1"/>
  <c r="F434" i="1"/>
  <c r="F129" i="1"/>
  <c r="F982" i="1"/>
  <c r="F881" i="1"/>
  <c r="F461" i="1"/>
  <c r="F505" i="1"/>
  <c r="F185" i="1"/>
  <c r="F558" i="1"/>
  <c r="F232" i="1"/>
  <c r="F613" i="1"/>
  <c r="F462" i="1"/>
  <c r="F52" i="1"/>
  <c r="F492" i="1"/>
  <c r="F304" i="1"/>
  <c r="F669" i="1"/>
  <c r="F407" i="1"/>
  <c r="F602" i="1"/>
  <c r="F197" i="1"/>
  <c r="F313" i="1"/>
  <c r="F34" i="1"/>
  <c r="H908" i="1"/>
  <c r="H638" i="1"/>
  <c r="H917" i="1"/>
  <c r="H776" i="1"/>
  <c r="H928" i="1"/>
  <c r="H525" i="1"/>
  <c r="H838" i="1"/>
  <c r="H801" i="1"/>
  <c r="H749" i="1"/>
  <c r="H996" i="1"/>
  <c r="H566" i="1"/>
  <c r="H725" i="1"/>
  <c r="H53" i="1"/>
  <c r="H540" i="1"/>
  <c r="H271" i="1"/>
  <c r="H438" i="1"/>
  <c r="H150" i="1"/>
  <c r="H225" i="1"/>
  <c r="H260" i="1"/>
  <c r="J887" i="1"/>
  <c r="J943" i="1"/>
  <c r="J571" i="1"/>
  <c r="J681" i="1"/>
  <c r="J401" i="1"/>
  <c r="J847" i="1"/>
  <c r="J952" i="1"/>
  <c r="J938" i="1"/>
  <c r="J798" i="1"/>
  <c r="J488" i="1"/>
  <c r="J51" i="1"/>
  <c r="J445" i="1"/>
  <c r="J848" i="1"/>
  <c r="J376" i="1"/>
  <c r="J507" i="1"/>
  <c r="J164" i="1"/>
  <c r="J225" i="1"/>
  <c r="L595" i="1"/>
  <c r="L858" i="1"/>
  <c r="L715" i="1"/>
  <c r="L706" i="1"/>
  <c r="L971" i="1"/>
  <c r="L413" i="1"/>
  <c r="L309" i="1"/>
  <c r="L607" i="1"/>
  <c r="L695" i="1"/>
  <c r="L918" i="1"/>
  <c r="L757" i="1"/>
  <c r="L924" i="1"/>
  <c r="L234" i="1"/>
  <c r="L409" i="1"/>
  <c r="L813" i="1"/>
  <c r="L521" i="1"/>
  <c r="L144" i="1"/>
  <c r="L135" i="1"/>
  <c r="L101" i="1"/>
  <c r="L100" i="1"/>
  <c r="L50" i="1"/>
  <c r="N99" i="1"/>
  <c r="N146" i="1"/>
  <c r="N842" i="1"/>
  <c r="N208" i="1"/>
  <c r="N559" i="1"/>
  <c r="N837" i="1"/>
  <c r="N369" i="1"/>
  <c r="N927" i="1"/>
  <c r="N922" i="1"/>
  <c r="N979" i="1"/>
  <c r="N403" i="1"/>
  <c r="N634" i="1"/>
  <c r="N586" i="1"/>
  <c r="N336" i="1"/>
  <c r="P569" i="1"/>
  <c r="P180" i="1"/>
  <c r="P846" i="1"/>
  <c r="P714" i="1"/>
  <c r="P304" i="1"/>
  <c r="P691" i="1"/>
  <c r="P565" i="1"/>
  <c r="F1005" i="1"/>
  <c r="F547" i="1"/>
  <c r="F780" i="1"/>
  <c r="F237" i="1"/>
  <c r="F1026" i="1"/>
  <c r="F1023" i="1"/>
  <c r="F179" i="1"/>
  <c r="F829" i="1"/>
  <c r="F641" i="1"/>
  <c r="F215" i="1"/>
  <c r="F932" i="1"/>
  <c r="F472" i="1"/>
  <c r="F871" i="1"/>
  <c r="F727" i="1"/>
  <c r="F287" i="1"/>
  <c r="F943" i="1"/>
  <c r="F286" i="1"/>
  <c r="F747" i="1"/>
  <c r="F405" i="1"/>
  <c r="F930" i="1"/>
  <c r="F498" i="1"/>
  <c r="F984" i="1"/>
  <c r="F818" i="1"/>
  <c r="F684" i="1"/>
  <c r="F130" i="1"/>
  <c r="F917" i="1"/>
  <c r="F297" i="1"/>
  <c r="F831" i="1"/>
  <c r="F643" i="1"/>
  <c r="F110" i="1"/>
  <c r="F928" i="1"/>
  <c r="F65" i="1"/>
  <c r="F136" i="1"/>
  <c r="F411" i="1"/>
  <c r="F221" i="1"/>
  <c r="F493" i="1"/>
  <c r="F182" i="1"/>
  <c r="F540" i="1"/>
  <c r="F366" i="1"/>
  <c r="F293" i="1"/>
  <c r="F207" i="1"/>
  <c r="F120" i="1"/>
  <c r="F687" i="1"/>
  <c r="F663" i="1"/>
  <c r="F567" i="1"/>
  <c r="F523" i="1"/>
  <c r="F378" i="1"/>
  <c r="F263" i="1"/>
  <c r="F578" i="1"/>
  <c r="F47" i="1"/>
  <c r="F399" i="1"/>
  <c r="F284" i="1"/>
  <c r="F168" i="1"/>
  <c r="F82" i="1"/>
  <c r="F385" i="1"/>
  <c r="F289" i="1"/>
  <c r="F193" i="1"/>
  <c r="F97" i="1"/>
  <c r="F93" i="1"/>
  <c r="H887" i="1"/>
  <c r="H885" i="1"/>
  <c r="H560" i="1"/>
  <c r="H740" i="1"/>
  <c r="H902" i="1"/>
  <c r="H895" i="1"/>
  <c r="H708" i="1"/>
  <c r="H989" i="1"/>
  <c r="H841" i="1"/>
  <c r="H458" i="1"/>
  <c r="H862" i="1"/>
  <c r="H737" i="1"/>
  <c r="H346" i="1"/>
  <c r="H1000" i="1"/>
  <c r="H904" i="1"/>
  <c r="H610" i="1"/>
  <c r="H897" i="1"/>
  <c r="H782" i="1"/>
  <c r="H251" i="1"/>
  <c r="H649" i="1"/>
  <c r="H307" i="1"/>
  <c r="H809" i="1"/>
  <c r="H630" i="1"/>
  <c r="H41" i="1"/>
  <c r="H772" i="1"/>
  <c r="H481" i="1"/>
  <c r="H955" i="1"/>
  <c r="H671" i="1"/>
  <c r="H864" i="1"/>
  <c r="H741" i="1"/>
  <c r="H389" i="1"/>
  <c r="H972" i="1"/>
  <c r="H748" i="1"/>
  <c r="H713" i="1"/>
  <c r="H524" i="1"/>
  <c r="H732" i="1"/>
  <c r="H433" i="1"/>
  <c r="H673" i="1"/>
  <c r="H443" i="1"/>
  <c r="H530" i="1"/>
  <c r="H601" i="1"/>
  <c r="H472" i="1"/>
  <c r="H322" i="1"/>
  <c r="H479" i="1"/>
  <c r="H576" i="1"/>
  <c r="H365" i="1"/>
  <c r="H247" i="1"/>
  <c r="H151" i="1"/>
  <c r="H55" i="1"/>
  <c r="H414" i="1"/>
  <c r="H318" i="1"/>
  <c r="H222" i="1"/>
  <c r="H126" i="1"/>
  <c r="H489" i="1"/>
  <c r="H393" i="1"/>
  <c r="H297" i="1"/>
  <c r="H201" i="1"/>
  <c r="H105" i="1"/>
  <c r="H428" i="1"/>
  <c r="H332" i="1"/>
  <c r="H236" i="1"/>
  <c r="H140" i="1"/>
  <c r="H44" i="1"/>
  <c r="J1001" i="1"/>
  <c r="J1000" i="1"/>
  <c r="J1030" i="1"/>
  <c r="J964" i="1"/>
  <c r="J408" i="1"/>
  <c r="J823" i="1"/>
  <c r="J501" i="1"/>
  <c r="J1011" i="1"/>
  <c r="J831" i="1"/>
  <c r="J443" i="1"/>
  <c r="J484" i="1"/>
  <c r="J700" i="1"/>
  <c r="J240" i="1"/>
  <c r="J708" i="1"/>
  <c r="J293" i="1"/>
  <c r="J775" i="1"/>
  <c r="J380" i="1"/>
  <c r="J622" i="1"/>
  <c r="J903" i="1"/>
  <c r="J510" i="1"/>
  <c r="J932" i="1"/>
  <c r="J643" i="1"/>
  <c r="J893" i="1"/>
  <c r="J618" i="1"/>
  <c r="J885" i="1"/>
  <c r="J722" i="1"/>
  <c r="J252" i="1"/>
  <c r="J673" i="1"/>
  <c r="J337" i="1"/>
  <c r="J166" i="1"/>
  <c r="J642" i="1"/>
  <c r="J498" i="1"/>
  <c r="J222" i="1"/>
  <c r="J966" i="1"/>
  <c r="J870" i="1"/>
  <c r="J774" i="1"/>
  <c r="J440" i="1"/>
  <c r="J69" i="1"/>
  <c r="J612" i="1"/>
  <c r="J450" i="1"/>
  <c r="J231" i="1"/>
  <c r="J40" i="1"/>
  <c r="J89" i="1"/>
  <c r="J379" i="1"/>
  <c r="J49" i="1"/>
  <c r="J407" i="1"/>
  <c r="J154" i="1"/>
  <c r="J824" i="1"/>
  <c r="J693" i="1"/>
  <c r="J338" i="1"/>
  <c r="J87" i="1"/>
  <c r="J597" i="1"/>
  <c r="J464" i="1"/>
  <c r="J266" i="1"/>
  <c r="J521" i="1"/>
  <c r="J334" i="1"/>
  <c r="J128" i="1"/>
  <c r="J535" i="1"/>
  <c r="J333" i="1"/>
  <c r="J140" i="1"/>
  <c r="J192" i="1"/>
  <c r="J96" i="1"/>
  <c r="L952" i="1"/>
  <c r="L472" i="1"/>
  <c r="L602" i="1"/>
  <c r="L986" i="1"/>
  <c r="L762" i="1"/>
  <c r="L438" i="1"/>
  <c r="L74" i="1"/>
  <c r="L604" i="1"/>
  <c r="L587" i="1"/>
  <c r="L850" i="1"/>
  <c r="L658" i="1"/>
  <c r="L449" i="1"/>
  <c r="L892" i="1"/>
  <c r="L611" i="1"/>
  <c r="L942" i="1"/>
  <c r="L761" i="1"/>
  <c r="L569" i="1"/>
  <c r="L365" i="1"/>
  <c r="L864" i="1"/>
  <c r="L516" i="1"/>
  <c r="L113" i="1"/>
  <c r="L934" i="1"/>
  <c r="L751" i="1"/>
  <c r="L559" i="1"/>
  <c r="L308" i="1"/>
  <c r="L839" i="1"/>
  <c r="L647" i="1"/>
  <c r="L445" i="1"/>
  <c r="L1004" i="1"/>
  <c r="L822" i="1"/>
  <c r="L444" i="1"/>
  <c r="L901" i="1"/>
  <c r="L709" i="1"/>
  <c r="L512" i="1"/>
  <c r="L1010" i="1"/>
  <c r="L884" i="1"/>
  <c r="L692" i="1"/>
  <c r="L502" i="1"/>
  <c r="L519" i="1"/>
  <c r="L612" i="1"/>
  <c r="L274" i="1"/>
  <c r="L361" i="1"/>
  <c r="L169" i="1"/>
  <c r="L885" i="1"/>
  <c r="L789" i="1"/>
  <c r="L693" i="1"/>
  <c r="L597" i="1"/>
  <c r="L493" i="1"/>
  <c r="L368" i="1"/>
  <c r="L240" i="1"/>
  <c r="L112" i="1"/>
  <c r="L359" i="1"/>
  <c r="L279" i="1"/>
  <c r="L87" i="1"/>
  <c r="L182" i="1"/>
  <c r="L54" i="1"/>
  <c r="L35" i="1"/>
  <c r="L93" i="1"/>
  <c r="L196" i="1"/>
  <c r="L68" i="1"/>
  <c r="L155" i="1"/>
  <c r="L195" i="1"/>
  <c r="L45" i="1"/>
  <c r="N121" i="1"/>
  <c r="N911" i="1"/>
  <c r="N885" i="1"/>
  <c r="N896" i="1"/>
  <c r="N863" i="1"/>
  <c r="N798" i="1"/>
  <c r="N547" i="1"/>
  <c r="N546" i="1"/>
  <c r="N312" i="1"/>
  <c r="N873" i="1"/>
  <c r="N402" i="1"/>
  <c r="N849" i="1"/>
  <c r="N470" i="1"/>
  <c r="N817" i="1"/>
  <c r="N197" i="1"/>
  <c r="N792" i="1"/>
  <c r="N348" i="1"/>
  <c r="N825" i="1"/>
  <c r="N222" i="1"/>
  <c r="N588" i="1"/>
  <c r="N669" i="1"/>
  <c r="N824" i="1"/>
  <c r="N316" i="1"/>
  <c r="N1018" i="1"/>
  <c r="N892" i="1"/>
  <c r="N716" i="1"/>
  <c r="N196" i="1"/>
  <c r="N334" i="1"/>
  <c r="N931" i="1"/>
  <c r="N698" i="1"/>
  <c r="N174" i="1"/>
  <c r="N144" i="1"/>
  <c r="N852" i="1"/>
  <c r="N475" i="1"/>
  <c r="N542" i="1"/>
  <c r="N419" i="1"/>
  <c r="N71" i="1"/>
  <c r="N538" i="1"/>
  <c r="N221" i="1"/>
  <c r="N428" i="1"/>
  <c r="N89" i="1"/>
  <c r="P273" i="1"/>
  <c r="P601" i="1"/>
  <c r="P267" i="1"/>
  <c r="P48" i="1"/>
  <c r="P695" i="1"/>
  <c r="P470" i="1"/>
  <c r="P172" i="1"/>
  <c r="P883" i="1"/>
  <c r="P550" i="1"/>
  <c r="F274" i="1"/>
  <c r="F816" i="1"/>
  <c r="F963" i="1"/>
  <c r="F888" i="1"/>
  <c r="F1029" i="1"/>
  <c r="F844" i="1"/>
  <c r="F326" i="1"/>
  <c r="F1009" i="1"/>
  <c r="F84" i="1"/>
  <c r="F396" i="1"/>
  <c r="F894" i="1"/>
  <c r="F807" i="1"/>
  <c r="F721" i="1"/>
  <c r="F594" i="1"/>
  <c r="F362" i="1"/>
  <c r="F1010" i="1"/>
  <c r="F938" i="1"/>
  <c r="F689" i="1"/>
  <c r="F194" i="1"/>
  <c r="F849" i="1"/>
  <c r="F763" i="1"/>
  <c r="F580" i="1"/>
  <c r="F303" i="1"/>
  <c r="F997" i="1"/>
  <c r="F925" i="1"/>
  <c r="F667" i="1"/>
  <c r="F841" i="1"/>
  <c r="F783" i="1"/>
  <c r="F648" i="1"/>
  <c r="F499" i="1"/>
  <c r="F359" i="1"/>
  <c r="F942" i="1"/>
  <c r="F676" i="1"/>
  <c r="F338" i="1"/>
  <c r="F948" i="1"/>
  <c r="F854" i="1"/>
  <c r="F768" i="1"/>
  <c r="F539" i="1"/>
  <c r="F316" i="1"/>
  <c r="F1019" i="1"/>
  <c r="F947" i="1"/>
  <c r="F665" i="1"/>
  <c r="F552" i="1"/>
  <c r="F70" i="1"/>
  <c r="F838" i="1"/>
  <c r="F723" i="1"/>
  <c r="F525" i="1"/>
  <c r="F260" i="1"/>
  <c r="F1030" i="1"/>
  <c r="F958" i="1"/>
  <c r="F737" i="1"/>
  <c r="F238" i="1"/>
  <c r="F599" i="1"/>
  <c r="F272" i="1"/>
  <c r="F654" i="1"/>
  <c r="F465" i="1"/>
  <c r="F380" i="1"/>
  <c r="F146" i="1"/>
  <c r="F565" i="1"/>
  <c r="F281" i="1"/>
  <c r="F653" i="1"/>
  <c r="F419" i="1"/>
  <c r="F218" i="1"/>
  <c r="F60" i="1"/>
  <c r="F96" i="1"/>
  <c r="F177" i="1"/>
  <c r="F470" i="1"/>
  <c r="F312" i="1"/>
  <c r="F35" i="1"/>
  <c r="F217" i="1"/>
  <c r="H950" i="1"/>
  <c r="H880" i="1"/>
  <c r="H945" i="1"/>
  <c r="H528" i="1"/>
  <c r="H485" i="1"/>
  <c r="H658" i="1"/>
  <c r="H810" i="1"/>
  <c r="H451" i="1"/>
  <c r="H323" i="1"/>
  <c r="H979" i="1"/>
  <c r="H778" i="1"/>
  <c r="H871" i="1"/>
  <c r="H113" i="1"/>
  <c r="H505" i="1"/>
  <c r="H521" i="1"/>
  <c r="H600" i="1"/>
  <c r="H175" i="1"/>
  <c r="H342" i="1"/>
  <c r="H54" i="1"/>
  <c r="H321" i="1"/>
  <c r="H33" i="1"/>
  <c r="H164" i="1"/>
  <c r="J956" i="1"/>
  <c r="J602" i="1"/>
  <c r="J874" i="1"/>
  <c r="J866" i="1"/>
  <c r="J458" i="1"/>
  <c r="J755" i="1"/>
  <c r="J98" i="1"/>
  <c r="J685" i="1"/>
  <c r="J761" i="1"/>
  <c r="J868" i="1"/>
  <c r="J213" i="1"/>
  <c r="J296" i="1"/>
  <c r="J894" i="1"/>
  <c r="J187" i="1"/>
  <c r="J275" i="1"/>
  <c r="J474" i="1"/>
  <c r="J745" i="1"/>
  <c r="J621" i="1"/>
  <c r="J75" i="1"/>
  <c r="J560" i="1"/>
  <c r="J32" i="1"/>
  <c r="L859" i="1"/>
  <c r="L1015" i="1"/>
  <c r="L266" i="1"/>
  <c r="L898" i="1"/>
  <c r="L1002" i="1"/>
  <c r="L809" i="1"/>
  <c r="L963" i="1"/>
  <c r="L962" i="1"/>
  <c r="L364" i="1"/>
  <c r="L504" i="1"/>
  <c r="L532" i="1"/>
  <c r="L565" i="1"/>
  <c r="L740" i="1"/>
  <c r="L358" i="1"/>
  <c r="L909" i="1"/>
  <c r="L717" i="1"/>
  <c r="L400" i="1"/>
  <c r="L455" i="1"/>
  <c r="L214" i="1"/>
  <c r="L141" i="1"/>
  <c r="L251" i="1"/>
  <c r="N526" i="1"/>
  <c r="N186" i="1"/>
  <c r="N663" i="1"/>
  <c r="N932" i="1"/>
  <c r="N951" i="1"/>
  <c r="N939" i="1"/>
  <c r="N813" i="1"/>
  <c r="N96" i="1"/>
  <c r="N353" i="1"/>
  <c r="N755" i="1"/>
  <c r="N900" i="1"/>
  <c r="N504" i="1"/>
  <c r="N543" i="1"/>
  <c r="P264" i="1"/>
  <c r="F859" i="1"/>
  <c r="F1003" i="1"/>
  <c r="F382" i="1"/>
  <c r="F909" i="1"/>
  <c r="F981" i="1"/>
  <c r="F537" i="1"/>
  <c r="F999" i="1"/>
  <c r="F430" i="1"/>
  <c r="F870" i="1"/>
  <c r="F895" i="1"/>
  <c r="F921" i="1"/>
  <c r="F891" i="1"/>
  <c r="F858" i="1"/>
  <c r="F771" i="1"/>
  <c r="F714" i="1"/>
  <c r="F488" i="1"/>
  <c r="F412" i="1"/>
  <c r="F1028" i="1"/>
  <c r="F956" i="1"/>
  <c r="F749" i="1"/>
  <c r="F267" i="1"/>
  <c r="F156" i="1"/>
  <c r="F842" i="1"/>
  <c r="F784" i="1"/>
  <c r="F659" i="1"/>
  <c r="F487" i="1"/>
  <c r="F174" i="1"/>
  <c r="F967" i="1"/>
  <c r="F827" i="1"/>
  <c r="F486" i="1"/>
  <c r="F834" i="1"/>
  <c r="F776" i="1"/>
  <c r="F636" i="1"/>
  <c r="F468" i="1"/>
  <c r="F189" i="1"/>
  <c r="F833" i="1"/>
  <c r="F666" i="1"/>
  <c r="F167" i="1"/>
  <c r="F904" i="1"/>
  <c r="F847" i="1"/>
  <c r="F760" i="1"/>
  <c r="F452" i="1"/>
  <c r="F279" i="1"/>
  <c r="F989" i="1"/>
  <c r="F941" i="1"/>
  <c r="F655" i="1"/>
  <c r="F508" i="1"/>
  <c r="F44" i="1"/>
  <c r="F860" i="1"/>
  <c r="F774" i="1"/>
  <c r="F716" i="1"/>
  <c r="F417" i="1"/>
  <c r="F202" i="1"/>
  <c r="F1000" i="1"/>
  <c r="F952" i="1"/>
  <c r="F691" i="1"/>
  <c r="F329" i="1"/>
  <c r="F575" i="1"/>
  <c r="F222" i="1"/>
  <c r="F630" i="1"/>
  <c r="F454" i="1"/>
  <c r="F368" i="1"/>
  <c r="F646" i="1"/>
  <c r="F598" i="1"/>
  <c r="F354" i="1"/>
  <c r="F700" i="1"/>
  <c r="F453" i="1"/>
  <c r="F674" i="1"/>
  <c r="F736" i="1"/>
  <c r="F939" i="1"/>
  <c r="F884" i="1"/>
  <c r="F729" i="1"/>
  <c r="F365" i="1"/>
  <c r="F1020" i="1"/>
  <c r="F779" i="1"/>
  <c r="F880" i="1"/>
  <c r="F252" i="1"/>
  <c r="F164" i="1"/>
  <c r="F957" i="1"/>
  <c r="F765" i="1"/>
  <c r="F447" i="1"/>
  <c r="F877" i="1"/>
  <c r="F124" i="1"/>
  <c r="F902" i="1"/>
  <c r="F758" i="1"/>
  <c r="F216" i="1"/>
  <c r="F661" i="1"/>
  <c r="F1011" i="1"/>
  <c r="F837" i="1"/>
  <c r="F416" i="1"/>
  <c r="F866" i="1"/>
  <c r="F310" i="1"/>
  <c r="F993" i="1"/>
  <c r="F830" i="1"/>
  <c r="F571" i="1"/>
  <c r="F62" i="1"/>
  <c r="F862" i="1"/>
  <c r="F908" i="1"/>
  <c r="F879" i="1"/>
  <c r="F850" i="1"/>
  <c r="F822" i="1"/>
  <c r="F793" i="1"/>
  <c r="F764" i="1"/>
  <c r="F735" i="1"/>
  <c r="F706" i="1"/>
  <c r="F618" i="1"/>
  <c r="F570" i="1"/>
  <c r="F475" i="1"/>
  <c r="F395" i="1"/>
  <c r="F288" i="1"/>
  <c r="F178" i="1"/>
  <c r="F1022" i="1"/>
  <c r="F998" i="1"/>
  <c r="F974" i="1"/>
  <c r="F950" i="1"/>
  <c r="F926" i="1"/>
  <c r="F857" i="1"/>
  <c r="F713" i="1"/>
  <c r="F670" i="1"/>
  <c r="F459" i="1"/>
  <c r="F251" i="1"/>
  <c r="F138" i="1"/>
  <c r="F892" i="1"/>
  <c r="F864" i="1"/>
  <c r="F835" i="1"/>
  <c r="F806" i="1"/>
  <c r="F777" i="1"/>
  <c r="F748" i="1"/>
  <c r="F720" i="1"/>
  <c r="F649" i="1"/>
  <c r="F604" i="1"/>
  <c r="F556" i="1"/>
  <c r="F440" i="1"/>
  <c r="F375" i="1"/>
  <c r="F250" i="1"/>
  <c r="F117" i="1"/>
  <c r="F985" i="1"/>
  <c r="F961" i="1"/>
  <c r="F937" i="1"/>
  <c r="F913" i="1"/>
  <c r="F791" i="1"/>
  <c r="F696" i="1"/>
  <c r="F469" i="1"/>
  <c r="F266" i="1"/>
  <c r="F137" i="1"/>
  <c r="F826" i="1"/>
  <c r="F798" i="1"/>
  <c r="F769" i="1"/>
  <c r="F740" i="1"/>
  <c r="F711" i="1"/>
  <c r="F616" i="1"/>
  <c r="F527" i="1"/>
  <c r="F455" i="1"/>
  <c r="F390" i="1"/>
  <c r="F302" i="1"/>
  <c r="F173" i="1"/>
  <c r="F966" i="1"/>
  <c r="F918" i="1"/>
  <c r="F797" i="1"/>
  <c r="F695" i="1"/>
  <c r="F625" i="1"/>
  <c r="F577" i="1"/>
  <c r="F481" i="1"/>
  <c r="F280" i="1"/>
  <c r="F152" i="1"/>
  <c r="F972" i="1"/>
  <c r="F924" i="1"/>
  <c r="F897" i="1"/>
  <c r="F868" i="1"/>
  <c r="F840" i="1"/>
  <c r="F811" i="1"/>
  <c r="F782" i="1"/>
  <c r="F753" i="1"/>
  <c r="F724" i="1"/>
  <c r="F647" i="1"/>
  <c r="F511" i="1"/>
  <c r="F437" i="1"/>
  <c r="F372" i="1"/>
  <c r="F261" i="1"/>
  <c r="F114" i="1"/>
  <c r="F1007" i="1"/>
  <c r="F983" i="1"/>
  <c r="F959" i="1"/>
  <c r="F935" i="1"/>
  <c r="F875" i="1"/>
  <c r="F731" i="1"/>
  <c r="F624" i="1"/>
  <c r="F576" i="1"/>
  <c r="F495" i="1"/>
  <c r="F239" i="1"/>
  <c r="F113" i="1"/>
  <c r="F910" i="1"/>
  <c r="F882" i="1"/>
  <c r="F853" i="1"/>
  <c r="F824" i="1"/>
  <c r="F795" i="1"/>
  <c r="F766" i="1"/>
  <c r="F738" i="1"/>
  <c r="F709" i="1"/>
  <c r="F634" i="1"/>
  <c r="F466" i="1"/>
  <c r="F402" i="1"/>
  <c r="F333" i="1"/>
  <c r="F186" i="1"/>
  <c r="F89" i="1"/>
  <c r="F1018" i="1"/>
  <c r="F994" i="1"/>
  <c r="F970" i="1"/>
  <c r="F946" i="1"/>
  <c r="F922" i="1"/>
  <c r="F809" i="1"/>
  <c r="F664" i="1"/>
  <c r="F520" i="1"/>
  <c r="F311" i="1"/>
  <c r="F165" i="1"/>
  <c r="F41" i="1"/>
  <c r="F551" i="1"/>
  <c r="F485" i="1"/>
  <c r="F296" i="1"/>
  <c r="F209" i="1"/>
  <c r="F123" i="1"/>
  <c r="F694" i="1"/>
  <c r="F606" i="1"/>
  <c r="F513" i="1"/>
  <c r="F444" i="1"/>
  <c r="F401" i="1"/>
  <c r="F345" i="1"/>
  <c r="F258" i="1"/>
  <c r="F172" i="1"/>
  <c r="F108" i="1"/>
  <c r="F637" i="1"/>
  <c r="F589" i="1"/>
  <c r="F541" i="1"/>
  <c r="F482" i="1"/>
  <c r="F344" i="1"/>
  <c r="F257" i="1"/>
  <c r="F171" i="1"/>
  <c r="F693" i="1"/>
  <c r="F605" i="1"/>
  <c r="F512" i="1"/>
  <c r="F441" i="1"/>
  <c r="F398" i="1"/>
  <c r="F330" i="1"/>
  <c r="F244" i="1"/>
  <c r="F158" i="1"/>
  <c r="F107" i="1"/>
  <c r="F681" i="1"/>
  <c r="F639" i="1"/>
  <c r="F543" i="1"/>
  <c r="F477" i="1"/>
  <c r="F350" i="1"/>
  <c r="F234" i="1"/>
  <c r="F119" i="1"/>
  <c r="F650" i="1"/>
  <c r="F554" i="1"/>
  <c r="F502" i="1"/>
  <c r="F370" i="1"/>
  <c r="F255" i="1"/>
  <c r="F140" i="1"/>
  <c r="F32" i="1"/>
  <c r="F361" i="1"/>
  <c r="F265" i="1"/>
  <c r="F169" i="1"/>
  <c r="F73" i="1"/>
  <c r="F69" i="1"/>
  <c r="H1028" i="1"/>
  <c r="H690" i="1"/>
  <c r="H987" i="1"/>
  <c r="H878" i="1"/>
  <c r="H656" i="1"/>
  <c r="H991" i="1"/>
  <c r="H567" i="1"/>
  <c r="H965" i="1"/>
  <c r="H695" i="1"/>
  <c r="H625" i="1"/>
  <c r="H833" i="1"/>
  <c r="H703" i="1"/>
  <c r="H130" i="1"/>
  <c r="H976" i="1"/>
  <c r="H775" i="1"/>
  <c r="H562" i="1"/>
  <c r="H868" i="1"/>
  <c r="H753" i="1"/>
  <c r="H915" i="1"/>
  <c r="H609" i="1"/>
  <c r="H896" i="1"/>
  <c r="H780" i="1"/>
  <c r="H548" i="1"/>
  <c r="H341" i="1"/>
  <c r="H734" i="1"/>
  <c r="H355" i="1"/>
  <c r="H931" i="1"/>
  <c r="H637" i="1"/>
  <c r="H836" i="1"/>
  <c r="H705" i="1"/>
  <c r="H178" i="1"/>
  <c r="H948" i="1"/>
  <c r="H678" i="1"/>
  <c r="H661" i="1"/>
  <c r="H409" i="1"/>
  <c r="H680" i="1"/>
  <c r="H289" i="1"/>
  <c r="H627" i="1"/>
  <c r="H299" i="1"/>
  <c r="H406" i="1"/>
  <c r="H577" i="1"/>
  <c r="H430" i="1"/>
  <c r="H286" i="1"/>
  <c r="H203" i="1"/>
  <c r="H552" i="1"/>
  <c r="H293" i="1"/>
  <c r="H223" i="1"/>
  <c r="H127" i="1"/>
  <c r="H486" i="1"/>
  <c r="H390" i="1"/>
  <c r="H294" i="1"/>
  <c r="H198" i="1"/>
  <c r="H102" i="1"/>
  <c r="H465" i="1"/>
  <c r="H369" i="1"/>
  <c r="H273" i="1"/>
  <c r="H177" i="1"/>
  <c r="H81" i="1"/>
  <c r="H404" i="1"/>
  <c r="H308" i="1"/>
  <c r="H212" i="1"/>
  <c r="H116" i="1"/>
  <c r="J959" i="1"/>
  <c r="J872" i="1"/>
  <c r="J1007" i="1"/>
  <c r="J837" i="1"/>
  <c r="J1012" i="1"/>
  <c r="J251" i="1"/>
  <c r="J740" i="1"/>
  <c r="J366" i="1"/>
  <c r="J987" i="1"/>
  <c r="J795" i="1"/>
  <c r="J294" i="1"/>
  <c r="J961" i="1"/>
  <c r="J659" i="1"/>
  <c r="J967" i="1"/>
  <c r="J636" i="1"/>
  <c r="J940" i="1"/>
  <c r="J718" i="1"/>
  <c r="J214" i="1"/>
  <c r="J475" i="1"/>
  <c r="J715" i="1"/>
  <c r="J375" i="1"/>
  <c r="J871" i="1"/>
  <c r="J452" i="1"/>
  <c r="J835" i="1"/>
  <c r="J410" i="1"/>
  <c r="J833" i="1"/>
  <c r="J604" i="1"/>
  <c r="J963" i="1"/>
  <c r="J629" i="1"/>
  <c r="J299" i="1"/>
  <c r="J58" i="1"/>
  <c r="J613" i="1"/>
  <c r="J403" i="1"/>
  <c r="J163" i="1"/>
  <c r="J942" i="1"/>
  <c r="J846" i="1"/>
  <c r="J743" i="1"/>
  <c r="J402" i="1"/>
  <c r="J716" i="1"/>
  <c r="J583" i="1"/>
  <c r="J353" i="1"/>
  <c r="J175" i="1"/>
  <c r="J91" i="1"/>
  <c r="J550" i="1"/>
  <c r="J339" i="1"/>
  <c r="J587" i="1"/>
  <c r="J310" i="1"/>
  <c r="J100" i="1"/>
  <c r="J800" i="1"/>
  <c r="J511" i="1"/>
  <c r="J300" i="1"/>
  <c r="J669" i="1"/>
  <c r="J573" i="1"/>
  <c r="J421" i="1"/>
  <c r="J218" i="1"/>
  <c r="J478" i="1"/>
  <c r="J274" i="1"/>
  <c r="J92" i="1"/>
  <c r="J477" i="1"/>
  <c r="J289" i="1"/>
  <c r="J104" i="1"/>
  <c r="J168" i="1"/>
  <c r="J72" i="1"/>
  <c r="L844" i="1"/>
  <c r="L987" i="1"/>
  <c r="L481" i="1"/>
  <c r="L958" i="1"/>
  <c r="L666" i="1"/>
  <c r="L391" i="1"/>
  <c r="L959" i="1"/>
  <c r="L461" i="1"/>
  <c r="L429" i="1"/>
  <c r="L802" i="1"/>
  <c r="L610" i="1"/>
  <c r="L403" i="1"/>
  <c r="L691" i="1"/>
  <c r="L1028" i="1"/>
  <c r="L905" i="1"/>
  <c r="L713" i="1"/>
  <c r="L517" i="1"/>
  <c r="L290" i="1"/>
  <c r="L768" i="1"/>
  <c r="L446" i="1"/>
  <c r="L1020" i="1"/>
  <c r="L895" i="1"/>
  <c r="L703" i="1"/>
  <c r="L505" i="1"/>
  <c r="L154" i="1"/>
  <c r="L791" i="1"/>
  <c r="L599" i="1"/>
  <c r="L398" i="1"/>
  <c r="L976" i="1"/>
  <c r="L726" i="1"/>
  <c r="L362" i="1"/>
  <c r="L853" i="1"/>
  <c r="L661" i="1"/>
  <c r="L465" i="1"/>
  <c r="L982" i="1"/>
  <c r="L836" i="1"/>
  <c r="L644" i="1"/>
  <c r="L453" i="1"/>
  <c r="L900" i="1"/>
  <c r="L511" i="1"/>
  <c r="L89" i="1"/>
  <c r="L313" i="1"/>
  <c r="L121" i="1"/>
  <c r="L861" i="1"/>
  <c r="L765" i="1"/>
  <c r="L669" i="1"/>
  <c r="L573" i="1"/>
  <c r="L464" i="1"/>
  <c r="L336" i="1"/>
  <c r="L208" i="1"/>
  <c r="L80" i="1"/>
  <c r="L263" i="1"/>
  <c r="L231" i="1"/>
  <c r="L46" i="1"/>
  <c r="L150" i="1"/>
  <c r="L293" i="1"/>
  <c r="L237" i="1"/>
  <c r="L292" i="1"/>
  <c r="L164" i="1"/>
  <c r="L34" i="1"/>
  <c r="L59" i="1"/>
  <c r="L147" i="1"/>
  <c r="N995" i="1"/>
  <c r="N872" i="1"/>
  <c r="N736" i="1"/>
  <c r="N729" i="1"/>
  <c r="N692" i="1"/>
  <c r="N636" i="1"/>
  <c r="N674" i="1"/>
  <c r="N151" i="1"/>
  <c r="N262" i="1"/>
  <c r="N915" i="1"/>
  <c r="N715" i="1"/>
  <c r="N281" i="1"/>
  <c r="N772" i="1"/>
  <c r="N298" i="1"/>
  <c r="N722" i="1"/>
  <c r="N1001" i="1"/>
  <c r="N732" i="1"/>
  <c r="N251" i="1"/>
  <c r="N731" i="1"/>
  <c r="N108" i="1"/>
  <c r="N164" i="1"/>
  <c r="N442" i="1"/>
  <c r="N693" i="1"/>
  <c r="N189" i="1"/>
  <c r="N988" i="1"/>
  <c r="N856" i="1"/>
  <c r="N637" i="1"/>
  <c r="N63" i="1"/>
  <c r="N188" i="1"/>
  <c r="N883" i="1"/>
  <c r="N616" i="1"/>
  <c r="N828" i="1"/>
  <c r="N996" i="1"/>
  <c r="N769" i="1"/>
  <c r="N302" i="1"/>
  <c r="N237" i="1"/>
  <c r="N332" i="1"/>
  <c r="N613" i="1"/>
  <c r="N480" i="1"/>
  <c r="N106" i="1"/>
  <c r="N313" i="1"/>
  <c r="N32" i="1"/>
  <c r="P579" i="1"/>
  <c r="P995" i="1"/>
  <c r="P702" i="1"/>
  <c r="P513" i="1"/>
  <c r="P345" i="1"/>
  <c r="P126" i="1"/>
  <c r="P884" i="1"/>
  <c r="P604" i="1"/>
  <c r="P211" i="1"/>
  <c r="F631" i="1"/>
  <c r="F823" i="1"/>
  <c r="F1017" i="1"/>
  <c r="F1002" i="1"/>
  <c r="F534" i="1"/>
  <c r="F1014" i="1"/>
  <c r="F951" i="1"/>
  <c r="F751" i="1"/>
  <c r="F945" i="1"/>
  <c r="F1008" i="1"/>
  <c r="F865" i="1"/>
  <c r="F778" i="1"/>
  <c r="F660" i="1"/>
  <c r="F546" i="1"/>
  <c r="F236" i="1"/>
  <c r="F986" i="1"/>
  <c r="F914" i="1"/>
  <c r="F518" i="1"/>
  <c r="F907" i="1"/>
  <c r="F820" i="1"/>
  <c r="F734" i="1"/>
  <c r="F628" i="1"/>
  <c r="F500" i="1"/>
  <c r="F192" i="1"/>
  <c r="F949" i="1"/>
  <c r="F719" i="1"/>
  <c r="F323" i="1"/>
  <c r="F812" i="1"/>
  <c r="F726" i="1"/>
  <c r="F424" i="1"/>
  <c r="F990" i="1"/>
  <c r="F725" i="1"/>
  <c r="F553" i="1"/>
  <c r="F46" i="1"/>
  <c r="F883" i="1"/>
  <c r="F796" i="1"/>
  <c r="F739" i="1"/>
  <c r="F467" i="1"/>
  <c r="F188" i="1"/>
  <c r="F971" i="1"/>
  <c r="F923" i="1"/>
  <c r="F600" i="1"/>
  <c r="F166" i="1"/>
  <c r="F867" i="1"/>
  <c r="F781" i="1"/>
  <c r="F673" i="1"/>
  <c r="F369" i="1"/>
  <c r="F1006" i="1"/>
  <c r="F934" i="1"/>
  <c r="F586" i="1"/>
  <c r="F86" i="1"/>
  <c r="F358" i="1"/>
  <c r="F53" i="1"/>
  <c r="F423" i="1"/>
  <c r="F318" i="1"/>
  <c r="F68" i="1"/>
  <c r="F521" i="1"/>
  <c r="F195" i="1"/>
  <c r="F557" i="1"/>
  <c r="F376" i="1"/>
  <c r="F131" i="1"/>
  <c r="F591" i="1"/>
  <c r="F292" i="1"/>
  <c r="F698" i="1"/>
  <c r="F428" i="1"/>
  <c r="F409" i="1"/>
  <c r="F121" i="1"/>
  <c r="H1010" i="1"/>
  <c r="H993" i="1"/>
  <c r="H1013" i="1"/>
  <c r="H891" i="1"/>
  <c r="H1024" i="1"/>
  <c r="H292" i="1"/>
  <c r="H683" i="1"/>
  <c r="H717" i="1"/>
  <c r="H545" i="1"/>
  <c r="H893" i="1"/>
  <c r="H518" i="1"/>
  <c r="H94" i="1"/>
  <c r="H549" i="1"/>
  <c r="H603" i="1"/>
  <c r="H358" i="1"/>
  <c r="H437" i="1"/>
  <c r="H79" i="1"/>
  <c r="H246" i="1"/>
  <c r="H417" i="1"/>
  <c r="H129" i="1"/>
  <c r="H356" i="1"/>
  <c r="H68" i="1"/>
  <c r="J982" i="1"/>
  <c r="J891" i="1"/>
  <c r="J558" i="1"/>
  <c r="J692" i="1"/>
  <c r="J802" i="1"/>
  <c r="J515" i="1"/>
  <c r="J593" i="1"/>
  <c r="J734" i="1"/>
  <c r="J71" i="1"/>
  <c r="J447" i="1"/>
  <c r="J228" i="1"/>
  <c r="J671" i="1"/>
  <c r="J538" i="1"/>
  <c r="J55" i="1"/>
  <c r="J537" i="1"/>
  <c r="J641" i="1"/>
  <c r="J148" i="1"/>
  <c r="J157" i="1"/>
  <c r="J227" i="1"/>
  <c r="J167" i="1"/>
  <c r="J320" i="1"/>
  <c r="J377" i="1"/>
  <c r="J391" i="1"/>
  <c r="J120" i="1"/>
  <c r="L722" i="1"/>
  <c r="L489" i="1"/>
  <c r="L731" i="1"/>
  <c r="L508" i="1"/>
  <c r="L794" i="1"/>
  <c r="L617" i="1"/>
  <c r="L576" i="1"/>
  <c r="L799" i="1"/>
  <c r="L887" i="1"/>
  <c r="L285" i="1"/>
  <c r="L1011" i="1"/>
  <c r="L281" i="1"/>
  <c r="L548" i="1"/>
  <c r="L708" i="1"/>
  <c r="L217" i="1"/>
  <c r="L621" i="1"/>
  <c r="L272" i="1"/>
  <c r="L71" i="1"/>
  <c r="L86" i="1"/>
  <c r="L228" i="1"/>
  <c r="L243" i="1"/>
  <c r="N355" i="1"/>
  <c r="N965" i="1"/>
  <c r="N724" i="1"/>
  <c r="N520" i="1"/>
  <c r="N398" i="1"/>
  <c r="N469" i="1"/>
  <c r="N767" i="1"/>
  <c r="N413" i="1"/>
  <c r="N766" i="1"/>
  <c r="N491" i="1"/>
  <c r="N331" i="1"/>
  <c r="N631" i="1"/>
  <c r="N160" i="1"/>
  <c r="N73" i="1"/>
  <c r="P867" i="1"/>
  <c r="F772" i="1"/>
  <c r="F915" i="1"/>
  <c r="F460" i="1"/>
  <c r="F808" i="1"/>
  <c r="F906" i="1"/>
  <c r="F801" i="1"/>
  <c r="F927" i="1"/>
  <c r="F708" i="1"/>
  <c r="F506" i="1"/>
  <c r="F642" i="1"/>
  <c r="F290" i="1"/>
  <c r="F886" i="1"/>
  <c r="F800" i="1"/>
  <c r="F742" i="1"/>
  <c r="F583" i="1"/>
  <c r="F346" i="1"/>
  <c r="F1004" i="1"/>
  <c r="F980" i="1"/>
  <c r="F893" i="1"/>
  <c r="F679" i="1"/>
  <c r="F900" i="1"/>
  <c r="F813" i="1"/>
  <c r="F756" i="1"/>
  <c r="F617" i="1"/>
  <c r="F569" i="1"/>
  <c r="F394" i="1"/>
  <c r="F991" i="1"/>
  <c r="F919" i="1"/>
  <c r="F704" i="1"/>
  <c r="F153" i="1"/>
  <c r="F805" i="1"/>
  <c r="F718" i="1"/>
  <c r="F544" i="1"/>
  <c r="F322" i="1"/>
  <c r="F978" i="1"/>
  <c r="F703" i="1"/>
  <c r="F588" i="1"/>
  <c r="F300" i="1"/>
  <c r="F936" i="1"/>
  <c r="F876" i="1"/>
  <c r="F789" i="1"/>
  <c r="F732" i="1"/>
  <c r="F526" i="1"/>
  <c r="F387" i="1"/>
  <c r="F1013" i="1"/>
  <c r="F965" i="1"/>
  <c r="F767" i="1"/>
  <c r="F587" i="1"/>
  <c r="F150" i="1"/>
  <c r="F889" i="1"/>
  <c r="F802" i="1"/>
  <c r="F745" i="1"/>
  <c r="F479" i="1"/>
  <c r="F351" i="1"/>
  <c r="F1024" i="1"/>
  <c r="F976" i="1"/>
  <c r="F845" i="1"/>
  <c r="F562" i="1"/>
  <c r="F180" i="1"/>
  <c r="F494" i="1"/>
  <c r="F309" i="1"/>
  <c r="F701" i="1"/>
  <c r="F524" i="1"/>
  <c r="F308" i="1"/>
  <c r="F135" i="1"/>
  <c r="F550" i="1"/>
  <c r="F268" i="1"/>
  <c r="F629" i="1"/>
  <c r="F410" i="1"/>
  <c r="F148" i="1"/>
  <c r="F478" i="1"/>
  <c r="F887" i="1"/>
  <c r="F855" i="1"/>
  <c r="F682" i="1"/>
  <c r="F143" i="1"/>
  <c r="F987" i="1"/>
  <c r="F690" i="1"/>
  <c r="F852" i="1"/>
  <c r="F142" i="1"/>
  <c r="F1015" i="1"/>
  <c r="F933" i="1"/>
  <c r="F722" i="1"/>
  <c r="F347" i="1"/>
  <c r="F848" i="1"/>
  <c r="F1027" i="1"/>
  <c r="F873" i="1"/>
  <c r="F715" i="1"/>
  <c r="F975" i="1"/>
  <c r="F519" i="1"/>
  <c r="F996" i="1"/>
  <c r="F794" i="1"/>
  <c r="F201" i="1"/>
  <c r="F707" i="1"/>
  <c r="F200" i="1"/>
  <c r="F969" i="1"/>
  <c r="F787" i="1"/>
  <c r="F491" i="1"/>
  <c r="F1021" i="1"/>
  <c r="F743" i="1"/>
  <c r="F901" i="1"/>
  <c r="F872" i="1"/>
  <c r="F843" i="1"/>
  <c r="F814" i="1"/>
  <c r="F786" i="1"/>
  <c r="F757" i="1"/>
  <c r="F728" i="1"/>
  <c r="F671" i="1"/>
  <c r="F607" i="1"/>
  <c r="F559" i="1"/>
  <c r="F446" i="1"/>
  <c r="F381" i="1"/>
  <c r="F273" i="1"/>
  <c r="F160" i="1"/>
  <c r="F1016" i="1"/>
  <c r="F992" i="1"/>
  <c r="F968" i="1"/>
  <c r="F944" i="1"/>
  <c r="F920" i="1"/>
  <c r="F821" i="1"/>
  <c r="F697" i="1"/>
  <c r="F531" i="1"/>
  <c r="F340" i="1"/>
  <c r="F214" i="1"/>
  <c r="F77" i="1"/>
  <c r="F885" i="1"/>
  <c r="F856" i="1"/>
  <c r="F828" i="1"/>
  <c r="F799" i="1"/>
  <c r="F770" i="1"/>
  <c r="F741" i="1"/>
  <c r="F712" i="1"/>
  <c r="F640" i="1"/>
  <c r="F593" i="1"/>
  <c r="F545" i="1"/>
  <c r="F425" i="1"/>
  <c r="F360" i="1"/>
  <c r="F230" i="1"/>
  <c r="F100" i="1"/>
  <c r="F979" i="1"/>
  <c r="F955" i="1"/>
  <c r="F931" i="1"/>
  <c r="F899" i="1"/>
  <c r="F755" i="1"/>
  <c r="F688" i="1"/>
  <c r="F339" i="1"/>
  <c r="F228" i="1"/>
  <c r="F76" i="1"/>
  <c r="F819" i="1"/>
  <c r="F790" i="1"/>
  <c r="F762" i="1"/>
  <c r="F733" i="1"/>
  <c r="F658" i="1"/>
  <c r="F592" i="1"/>
  <c r="F514" i="1"/>
  <c r="F438" i="1"/>
  <c r="F374" i="1"/>
  <c r="F264" i="1"/>
  <c r="F116" i="1"/>
  <c r="F954" i="1"/>
  <c r="F905" i="1"/>
  <c r="F761" i="1"/>
  <c r="F685" i="1"/>
  <c r="F612" i="1"/>
  <c r="F564" i="1"/>
  <c r="F353" i="1"/>
  <c r="F243" i="1"/>
  <c r="F92" i="1"/>
  <c r="F960" i="1"/>
  <c r="F912" i="1"/>
  <c r="F890" i="1"/>
  <c r="F861" i="1"/>
  <c r="F832" i="1"/>
  <c r="F804" i="1"/>
  <c r="F775" i="1"/>
  <c r="F746" i="1"/>
  <c r="F717" i="1"/>
  <c r="F635" i="1"/>
  <c r="F480" i="1"/>
  <c r="F418" i="1"/>
  <c r="F336" i="1"/>
  <c r="F203" i="1"/>
  <c r="F1025" i="1"/>
  <c r="F1001" i="1"/>
  <c r="F977" i="1"/>
  <c r="F953" i="1"/>
  <c r="F929" i="1"/>
  <c r="F839" i="1"/>
  <c r="F702" i="1"/>
  <c r="F611" i="1"/>
  <c r="F563" i="1"/>
  <c r="F352" i="1"/>
  <c r="F224" i="1"/>
  <c r="F90" i="1"/>
  <c r="F903" i="1"/>
  <c r="F874" i="1"/>
  <c r="F846" i="1"/>
  <c r="F817" i="1"/>
  <c r="F788" i="1"/>
  <c r="F759" i="1"/>
  <c r="F730" i="1"/>
  <c r="F683" i="1"/>
  <c r="F538" i="1"/>
  <c r="F448" i="1"/>
  <c r="F383" i="1"/>
  <c r="F275" i="1"/>
  <c r="F149" i="1"/>
  <c r="F42" i="1"/>
  <c r="F1012" i="1"/>
  <c r="F988" i="1"/>
  <c r="F964" i="1"/>
  <c r="F940" i="1"/>
  <c r="F916" i="1"/>
  <c r="F773" i="1"/>
  <c r="F610" i="1"/>
  <c r="F507" i="1"/>
  <c r="F254" i="1"/>
  <c r="F128" i="1"/>
  <c r="F623" i="1"/>
  <c r="F533" i="1"/>
  <c r="F474" i="1"/>
  <c r="F282" i="1"/>
  <c r="F196" i="1"/>
  <c r="F83" i="1"/>
  <c r="F678" i="1"/>
  <c r="F582" i="1"/>
  <c r="F504" i="1"/>
  <c r="F432" i="1"/>
  <c r="F389" i="1"/>
  <c r="F332" i="1"/>
  <c r="F245" i="1"/>
  <c r="F159" i="1"/>
  <c r="F94" i="1"/>
  <c r="F622" i="1"/>
  <c r="F574" i="1"/>
  <c r="F532" i="1"/>
  <c r="F473" i="1"/>
  <c r="F294" i="1"/>
  <c r="F208" i="1"/>
  <c r="F122" i="1"/>
  <c r="F677" i="1"/>
  <c r="F581" i="1"/>
  <c r="F501" i="1"/>
  <c r="F431" i="1"/>
  <c r="F388" i="1"/>
  <c r="F317" i="1"/>
  <c r="F231" i="1"/>
  <c r="F144" i="1"/>
  <c r="F66" i="1"/>
  <c r="F675" i="1"/>
  <c r="F615" i="1"/>
  <c r="F497" i="1"/>
  <c r="F436" i="1"/>
  <c r="F321" i="1"/>
  <c r="F206" i="1"/>
  <c r="F80" i="1"/>
  <c r="F626" i="1"/>
  <c r="F522" i="1"/>
  <c r="F456" i="1"/>
  <c r="F341" i="1"/>
  <c r="F226" i="1"/>
  <c r="F102" i="1"/>
  <c r="F433" i="1"/>
  <c r="F337" i="1"/>
  <c r="F241" i="1"/>
  <c r="F145" i="1"/>
  <c r="F49" i="1"/>
  <c r="F45" i="1"/>
  <c r="H974" i="1"/>
  <c r="H1023" i="1"/>
  <c r="H1009" i="1"/>
  <c r="H870" i="1"/>
  <c r="H873" i="1"/>
  <c r="H866" i="1"/>
  <c r="H280" i="1"/>
  <c r="H941" i="1"/>
  <c r="H651" i="1"/>
  <c r="H388" i="1"/>
  <c r="H804" i="1"/>
  <c r="H587" i="1"/>
  <c r="H543" i="1"/>
  <c r="H952" i="1"/>
  <c r="H694" i="1"/>
  <c r="H436" i="1"/>
  <c r="H839" i="1"/>
  <c r="H718" i="1"/>
  <c r="H853" i="1"/>
  <c r="H561" i="1"/>
  <c r="H867" i="1"/>
  <c r="H752" i="1"/>
  <c r="H482" i="1"/>
  <c r="H185" i="1"/>
  <c r="H629" i="1"/>
  <c r="H160" i="1"/>
  <c r="H865" i="1"/>
  <c r="H118" i="1"/>
  <c r="H807" i="1"/>
  <c r="H616" i="1"/>
  <c r="H1020" i="1"/>
  <c r="H924" i="1"/>
  <c r="H644" i="1"/>
  <c r="H614" i="1"/>
  <c r="H250" i="1"/>
  <c r="H634" i="1"/>
  <c r="H154" i="1"/>
  <c r="H539" i="1"/>
  <c r="H166" i="1"/>
  <c r="H190" i="1"/>
  <c r="H553" i="1"/>
  <c r="H394" i="1"/>
  <c r="H173" i="1"/>
  <c r="H59" i="1"/>
  <c r="H507" i="1"/>
  <c r="H161" i="1"/>
  <c r="H199" i="1"/>
  <c r="H103" i="1"/>
  <c r="H462" i="1"/>
  <c r="H366" i="1"/>
  <c r="H270" i="1"/>
  <c r="H174" i="1"/>
  <c r="H78" i="1"/>
  <c r="H441" i="1"/>
  <c r="H345" i="1"/>
  <c r="H249" i="1"/>
  <c r="H153" i="1"/>
  <c r="H57" i="1"/>
  <c r="H380" i="1"/>
  <c r="H284" i="1"/>
  <c r="H188" i="1"/>
  <c r="H92" i="1"/>
  <c r="J985" i="1"/>
  <c r="J1026" i="1"/>
  <c r="J911" i="1"/>
  <c r="J1013" i="1"/>
  <c r="J832" i="1"/>
  <c r="J949" i="1"/>
  <c r="J638" i="1"/>
  <c r="J796" i="1"/>
  <c r="J935" i="1"/>
  <c r="J759" i="1"/>
  <c r="J875" i="1"/>
  <c r="J914" i="1"/>
  <c r="J534" i="1"/>
  <c r="J873" i="1"/>
  <c r="J582" i="1"/>
  <c r="J904" i="1"/>
  <c r="J646" i="1"/>
  <c r="J791" i="1"/>
  <c r="J262" i="1"/>
  <c r="J654" i="1"/>
  <c r="J284" i="1"/>
  <c r="J808" i="1"/>
  <c r="J230" i="1"/>
  <c r="J763" i="1"/>
  <c r="J331" i="1"/>
  <c r="J797" i="1"/>
  <c r="J544" i="1"/>
  <c r="J916" i="1"/>
  <c r="J486" i="1"/>
  <c r="J255" i="1"/>
  <c r="J711" i="1"/>
  <c r="J584" i="1"/>
  <c r="J365" i="1"/>
  <c r="J109" i="1"/>
  <c r="J918" i="1"/>
  <c r="J822" i="1"/>
  <c r="J697" i="1"/>
  <c r="J307" i="1"/>
  <c r="J670" i="1"/>
  <c r="J526" i="1"/>
  <c r="J315" i="1"/>
  <c r="J80" i="1"/>
  <c r="J37" i="1"/>
  <c r="J512" i="1"/>
  <c r="J280" i="1"/>
  <c r="J540" i="1"/>
  <c r="J269" i="1"/>
  <c r="J46" i="1"/>
  <c r="J776" i="1"/>
  <c r="J473" i="1"/>
  <c r="J236" i="1"/>
  <c r="J645" i="1"/>
  <c r="J549" i="1"/>
  <c r="J363" i="1"/>
  <c r="J147" i="1"/>
  <c r="J420" i="1"/>
  <c r="J200" i="1"/>
  <c r="J56" i="1"/>
  <c r="J434" i="1"/>
  <c r="J257" i="1"/>
  <c r="J68" i="1"/>
  <c r="J144" i="1"/>
  <c r="J48" i="1"/>
  <c r="L700" i="1"/>
  <c r="L842" i="1"/>
  <c r="L331" i="1"/>
  <c r="L929" i="1"/>
  <c r="L570" i="1"/>
  <c r="L343" i="1"/>
  <c r="L835" i="1"/>
  <c r="L875" i="1"/>
  <c r="L993" i="1"/>
  <c r="L754" i="1"/>
  <c r="L562" i="1"/>
  <c r="L355" i="1"/>
  <c r="L178" i="1"/>
  <c r="L1000" i="1"/>
  <c r="L857" i="1"/>
  <c r="L665" i="1"/>
  <c r="L468" i="1"/>
  <c r="L114" i="1"/>
  <c r="L672" i="1"/>
  <c r="L377" i="1"/>
  <c r="L991" i="1"/>
  <c r="L847" i="1"/>
  <c r="L655" i="1"/>
  <c r="L412" i="1"/>
  <c r="L969" i="1"/>
  <c r="L743" i="1"/>
  <c r="L551" i="1"/>
  <c r="L350" i="1"/>
  <c r="L947" i="1"/>
  <c r="L630" i="1"/>
  <c r="L194" i="1"/>
  <c r="L805" i="1"/>
  <c r="L613" i="1"/>
  <c r="L373" i="1"/>
  <c r="L953" i="1"/>
  <c r="L788" i="1"/>
  <c r="L596" i="1"/>
  <c r="L348" i="1"/>
  <c r="L804" i="1"/>
  <c r="L442" i="1"/>
  <c r="L457" i="1"/>
  <c r="L265" i="1"/>
  <c r="L73" i="1"/>
  <c r="L837" i="1"/>
  <c r="L741" i="1"/>
  <c r="L645" i="1"/>
  <c r="L549" i="1"/>
  <c r="L432" i="1"/>
  <c r="L304" i="1"/>
  <c r="L176" i="1"/>
  <c r="L47" i="1"/>
  <c r="L167" i="1"/>
  <c r="L183" i="1"/>
  <c r="L246" i="1"/>
  <c r="L118" i="1"/>
  <c r="L197" i="1"/>
  <c r="L189" i="1"/>
  <c r="L260" i="1"/>
  <c r="L132" i="1"/>
  <c r="L347" i="1"/>
  <c r="L291" i="1"/>
  <c r="L99" i="1"/>
  <c r="N831" i="1"/>
  <c r="N648" i="1"/>
  <c r="N406" i="1"/>
  <c r="N456" i="1"/>
  <c r="N485" i="1"/>
  <c r="N337" i="1"/>
  <c r="N91" i="1"/>
  <c r="N881" i="1"/>
  <c r="N902" i="1"/>
  <c r="N531" i="1"/>
  <c r="N359" i="1"/>
  <c r="N1013" i="1"/>
  <c r="N673" i="1"/>
  <c r="N143" i="1"/>
  <c r="N628" i="1"/>
  <c r="N920" i="1"/>
  <c r="N670" i="1"/>
  <c r="N1022" i="1"/>
  <c r="N625" i="1"/>
  <c r="N917" i="1"/>
  <c r="N989" i="1"/>
  <c r="N1010" i="1"/>
  <c r="N548" i="1"/>
  <c r="N182" i="1"/>
  <c r="N952" i="1"/>
  <c r="N819" i="1"/>
  <c r="N521" i="1"/>
  <c r="N720" i="1"/>
  <c r="N1027" i="1"/>
  <c r="N835" i="1"/>
  <c r="N476" i="1"/>
  <c r="N675" i="1"/>
  <c r="N948" i="1"/>
  <c r="N711" i="1"/>
  <c r="N157" i="1"/>
  <c r="N640" i="1"/>
  <c r="N246" i="1"/>
  <c r="N279" i="1"/>
  <c r="N422" i="1"/>
  <c r="N141" i="1"/>
  <c r="N198" i="1"/>
  <c r="P890" i="1"/>
  <c r="P871" i="1"/>
  <c r="P619" i="1"/>
  <c r="P115" i="1"/>
  <c r="P866" i="1"/>
  <c r="P926" i="1"/>
  <c r="P870" i="1"/>
  <c r="P614" i="1"/>
  <c r="P301" i="1"/>
  <c r="P1029" i="1"/>
  <c r="F657" i="1"/>
  <c r="F633" i="1"/>
  <c r="F609" i="1"/>
  <c r="F585" i="1"/>
  <c r="F561" i="1"/>
  <c r="F530" i="1"/>
  <c r="F484" i="1"/>
  <c r="F72" i="1"/>
  <c r="F516" i="1"/>
  <c r="F464" i="1"/>
  <c r="F429" i="1"/>
  <c r="F400" i="1"/>
  <c r="F371" i="1"/>
  <c r="F342" i="1"/>
  <c r="F314" i="1"/>
  <c r="F285" i="1"/>
  <c r="F256" i="1"/>
  <c r="F227" i="1"/>
  <c r="F198" i="1"/>
  <c r="F170" i="1"/>
  <c r="F141" i="1"/>
  <c r="F112" i="1"/>
  <c r="F64" i="1"/>
  <c r="F692" i="1"/>
  <c r="F668" i="1"/>
  <c r="F644" i="1"/>
  <c r="F620" i="1"/>
  <c r="F596" i="1"/>
  <c r="F572" i="1"/>
  <c r="F548" i="1"/>
  <c r="F509" i="1"/>
  <c r="F457" i="1"/>
  <c r="F535" i="1"/>
  <c r="F489" i="1"/>
  <c r="F449" i="1"/>
  <c r="F420" i="1"/>
  <c r="F392" i="1"/>
  <c r="F363" i="1"/>
  <c r="F334" i="1"/>
  <c r="F305" i="1"/>
  <c r="F276" i="1"/>
  <c r="F248" i="1"/>
  <c r="F219" i="1"/>
  <c r="F190" i="1"/>
  <c r="F161" i="1"/>
  <c r="F132" i="1"/>
  <c r="F78" i="1"/>
  <c r="F59" i="1"/>
  <c r="F74" i="1"/>
  <c r="F451" i="1"/>
  <c r="F427" i="1"/>
  <c r="F403" i="1"/>
  <c r="F379" i="1"/>
  <c r="F355" i="1"/>
  <c r="F331" i="1"/>
  <c r="F307" i="1"/>
  <c r="F283" i="1"/>
  <c r="F259" i="1"/>
  <c r="F235" i="1"/>
  <c r="F211" i="1"/>
  <c r="F187" i="1"/>
  <c r="F163" i="1"/>
  <c r="F139" i="1"/>
  <c r="F115" i="1"/>
  <c r="F91" i="1"/>
  <c r="F67" i="1"/>
  <c r="F43" i="1"/>
  <c r="F111" i="1"/>
  <c r="F87" i="1"/>
  <c r="F63" i="1"/>
  <c r="F39" i="1"/>
  <c r="H798" i="1"/>
  <c r="H858" i="1"/>
  <c r="H992" i="1"/>
  <c r="H914" i="1"/>
  <c r="H998" i="1"/>
  <c r="H856" i="1"/>
  <c r="H1016" i="1"/>
  <c r="H704" i="1"/>
  <c r="H827" i="1"/>
  <c r="H1004" i="1"/>
  <c r="H859" i="1"/>
  <c r="H997" i="1"/>
  <c r="H851" i="1"/>
  <c r="H672" i="1"/>
  <c r="H849" i="1"/>
  <c r="H1029" i="1"/>
  <c r="H951" i="1"/>
  <c r="H820" i="1"/>
  <c r="H899" i="1"/>
  <c r="H844" i="1"/>
  <c r="H722" i="1"/>
  <c r="H1027" i="1"/>
  <c r="H975" i="1"/>
  <c r="H837" i="1"/>
  <c r="H932" i="1"/>
  <c r="H608" i="1"/>
  <c r="H517" i="1"/>
  <c r="H52" i="1"/>
  <c r="H1007" i="1"/>
  <c r="H983" i="1"/>
  <c r="H959" i="1"/>
  <c r="H935" i="1"/>
  <c r="H911" i="1"/>
  <c r="H805" i="1"/>
  <c r="H677" i="1"/>
  <c r="H643" i="1"/>
  <c r="H516" i="1"/>
  <c r="H238" i="1"/>
  <c r="H591" i="1"/>
  <c r="H316" i="1"/>
  <c r="H884" i="1"/>
  <c r="H855" i="1"/>
  <c r="H826" i="1"/>
  <c r="H797" i="1"/>
  <c r="H768" i="1"/>
  <c r="H729" i="1"/>
  <c r="H685" i="1"/>
  <c r="H563" i="1"/>
  <c r="H470" i="1"/>
  <c r="H310" i="1"/>
  <c r="H47" i="1"/>
  <c r="H424" i="1"/>
  <c r="H1018" i="1"/>
  <c r="H994" i="1"/>
  <c r="H970" i="1"/>
  <c r="H946" i="1"/>
  <c r="H922" i="1"/>
  <c r="H883" i="1"/>
  <c r="H746" i="1"/>
  <c r="H684" i="1"/>
  <c r="H650" i="1"/>
  <c r="H599" i="1"/>
  <c r="H551" i="1"/>
  <c r="H400" i="1"/>
  <c r="H148" i="1"/>
  <c r="H890" i="1"/>
  <c r="H861" i="1"/>
  <c r="H832" i="1"/>
  <c r="H803" i="1"/>
  <c r="H774" i="1"/>
  <c r="H744" i="1"/>
  <c r="H710" i="1"/>
  <c r="H511" i="1"/>
  <c r="H106" i="1"/>
  <c r="H909" i="1"/>
  <c r="H817" i="1"/>
  <c r="H675" i="1"/>
  <c r="H639" i="1"/>
  <c r="H598" i="1"/>
  <c r="H550" i="1"/>
  <c r="H415" i="1"/>
  <c r="H269" i="1"/>
  <c r="H888" i="1"/>
  <c r="H860" i="1"/>
  <c r="H831" i="1"/>
  <c r="H802" i="1"/>
  <c r="H773" i="1"/>
  <c r="H743" i="1"/>
  <c r="H709" i="1"/>
  <c r="H620" i="1"/>
  <c r="H536" i="1"/>
  <c r="H431" i="1"/>
  <c r="H287" i="1"/>
  <c r="H449" i="1"/>
  <c r="H305" i="1"/>
  <c r="H119" i="1"/>
  <c r="H794" i="1"/>
  <c r="H765" i="1"/>
  <c r="H724" i="1"/>
  <c r="H617" i="1"/>
  <c r="H535" i="1"/>
  <c r="H461" i="1"/>
  <c r="H319" i="1"/>
  <c r="H143" i="1"/>
  <c r="H973" i="1"/>
  <c r="H949" i="1"/>
  <c r="H919" i="1"/>
  <c r="H829" i="1"/>
  <c r="H707" i="1"/>
  <c r="H663" i="1"/>
  <c r="H492" i="1"/>
  <c r="H58" i="1"/>
  <c r="H886" i="1"/>
  <c r="H857" i="1"/>
  <c r="H828" i="1"/>
  <c r="H800" i="1"/>
  <c r="H771" i="1"/>
  <c r="H731" i="1"/>
  <c r="H697" i="1"/>
  <c r="H592" i="1"/>
  <c r="H504" i="1"/>
  <c r="H353" i="1"/>
  <c r="H95" i="1"/>
  <c r="H1014" i="1"/>
  <c r="H990" i="1"/>
  <c r="H966" i="1"/>
  <c r="H942" i="1"/>
  <c r="H918" i="1"/>
  <c r="H835" i="1"/>
  <c r="H714" i="1"/>
  <c r="H670" i="1"/>
  <c r="H503" i="1"/>
  <c r="H34" i="1"/>
  <c r="H700" i="1"/>
  <c r="H654" i="1"/>
  <c r="H605" i="1"/>
  <c r="H557" i="1"/>
  <c r="H506" i="1"/>
  <c r="H373" i="1"/>
  <c r="H221" i="1"/>
  <c r="H751" i="1"/>
  <c r="H719" i="1"/>
  <c r="H667" i="1"/>
  <c r="H621" i="1"/>
  <c r="H515" i="1"/>
  <c r="H397" i="1"/>
  <c r="H262" i="1"/>
  <c r="H125" i="1"/>
  <c r="H712" i="1"/>
  <c r="H666" i="1"/>
  <c r="H604" i="1"/>
  <c r="H531" i="1"/>
  <c r="H476" i="1"/>
  <c r="H407" i="1"/>
  <c r="H274" i="1"/>
  <c r="H137" i="1"/>
  <c r="H579" i="1"/>
  <c r="H512" i="1"/>
  <c r="H370" i="1"/>
  <c r="H136" i="1"/>
  <c r="H619" i="1"/>
  <c r="H595" i="1"/>
  <c r="H571" i="1"/>
  <c r="H547" i="1"/>
  <c r="H508" i="1"/>
  <c r="H464" i="1"/>
  <c r="H421" i="1"/>
  <c r="H385" i="1"/>
  <c r="H349" i="1"/>
  <c r="H313" i="1"/>
  <c r="H256" i="1"/>
  <c r="H112" i="1"/>
  <c r="H527" i="1"/>
  <c r="H455" i="1"/>
  <c r="H142" i="1"/>
  <c r="H618" i="1"/>
  <c r="H594" i="1"/>
  <c r="H570" i="1"/>
  <c r="H546" i="1"/>
  <c r="H494" i="1"/>
  <c r="H419" i="1"/>
  <c r="H347" i="1"/>
  <c r="H244" i="1"/>
  <c r="H100" i="1"/>
  <c r="H265" i="1"/>
  <c r="H241" i="1"/>
  <c r="H217" i="1"/>
  <c r="H193" i="1"/>
  <c r="H169" i="1"/>
  <c r="H145" i="1"/>
  <c r="H121" i="1"/>
  <c r="H97" i="1"/>
  <c r="H73" i="1"/>
  <c r="H49" i="1"/>
  <c r="H480" i="1"/>
  <c r="H456" i="1"/>
  <c r="H432" i="1"/>
  <c r="H408" i="1"/>
  <c r="H384" i="1"/>
  <c r="H360" i="1"/>
  <c r="H336" i="1"/>
  <c r="H312" i="1"/>
  <c r="H288" i="1"/>
  <c r="H264" i="1"/>
  <c r="H240" i="1"/>
  <c r="H216" i="1"/>
  <c r="H192" i="1"/>
  <c r="H168" i="1"/>
  <c r="H144" i="1"/>
  <c r="H120" i="1"/>
  <c r="H96" i="1"/>
  <c r="H72" i="1"/>
  <c r="H48" i="1"/>
  <c r="H483" i="1"/>
  <c r="H459" i="1"/>
  <c r="H435" i="1"/>
  <c r="H411" i="1"/>
  <c r="H387" i="1"/>
  <c r="H363" i="1"/>
  <c r="H339" i="1"/>
  <c r="H315" i="1"/>
  <c r="H291" i="1"/>
  <c r="H267" i="1"/>
  <c r="H243" i="1"/>
  <c r="H219" i="1"/>
  <c r="H195" i="1"/>
  <c r="H171" i="1"/>
  <c r="H147" i="1"/>
  <c r="H123" i="1"/>
  <c r="H99" i="1"/>
  <c r="H75" i="1"/>
  <c r="H51" i="1"/>
  <c r="H446" i="1"/>
  <c r="H422" i="1"/>
  <c r="H398" i="1"/>
  <c r="H374" i="1"/>
  <c r="H350" i="1"/>
  <c r="H326" i="1"/>
  <c r="H302" i="1"/>
  <c r="H278" i="1"/>
  <c r="H254" i="1"/>
  <c r="H230" i="1"/>
  <c r="H206" i="1"/>
  <c r="H182" i="1"/>
  <c r="H158" i="1"/>
  <c r="H134" i="1"/>
  <c r="H110" i="1"/>
  <c r="H86" i="1"/>
  <c r="H62" i="1"/>
  <c r="H38" i="1"/>
  <c r="J1018" i="1"/>
  <c r="J1019" i="1"/>
  <c r="J1002" i="1"/>
  <c r="J992" i="1"/>
  <c r="J1010" i="1"/>
  <c r="J884" i="1"/>
  <c r="J863" i="1"/>
  <c r="J991" i="1"/>
  <c r="J998" i="1"/>
  <c r="J850" i="1"/>
  <c r="J969" i="1"/>
  <c r="J1021" i="1"/>
  <c r="J899" i="1"/>
  <c r="J1004" i="1"/>
  <c r="J827" i="1"/>
  <c r="J896" i="1"/>
  <c r="J1003" i="1"/>
  <c r="J741" i="1"/>
  <c r="J588" i="1"/>
  <c r="J323" i="1"/>
  <c r="J152" i="1"/>
  <c r="J929" i="1"/>
  <c r="J867" i="1"/>
  <c r="J805" i="1"/>
  <c r="J731" i="1"/>
  <c r="J614" i="1"/>
  <c r="J556" i="1"/>
  <c r="J424" i="1"/>
  <c r="J248" i="1"/>
  <c r="J760" i="1"/>
  <c r="J1029" i="1"/>
  <c r="J1005" i="1"/>
  <c r="J981" i="1"/>
  <c r="J907" i="1"/>
  <c r="J857" i="1"/>
  <c r="J821" i="1"/>
  <c r="J785" i="1"/>
  <c r="J729" i="1"/>
  <c r="J625" i="1"/>
  <c r="J423" i="1"/>
  <c r="J271" i="1"/>
  <c r="J814" i="1"/>
  <c r="J650" i="1"/>
  <c r="J446" i="1"/>
  <c r="J941" i="1"/>
  <c r="J905" i="1"/>
  <c r="J748" i="1"/>
  <c r="J689" i="1"/>
  <c r="J647" i="1"/>
  <c r="J516" i="1"/>
  <c r="J381" i="1"/>
  <c r="J219" i="1"/>
  <c r="J947" i="1"/>
  <c r="J856" i="1"/>
  <c r="J784" i="1"/>
  <c r="J699" i="1"/>
  <c r="J624" i="1"/>
  <c r="J568" i="1"/>
  <c r="J438" i="1"/>
  <c r="J268" i="1"/>
  <c r="J927" i="1"/>
  <c r="J889" i="1"/>
  <c r="J829" i="1"/>
  <c r="J757" i="1"/>
  <c r="J698" i="1"/>
  <c r="J623" i="1"/>
  <c r="J495" i="1"/>
  <c r="J360" i="1"/>
  <c r="J184" i="1"/>
  <c r="J783" i="1"/>
  <c r="J746" i="1"/>
  <c r="J610" i="1"/>
  <c r="J455" i="1"/>
  <c r="J208" i="1"/>
  <c r="J939" i="1"/>
  <c r="J879" i="1"/>
  <c r="J687" i="1"/>
  <c r="J644" i="1"/>
  <c r="J578" i="1"/>
  <c r="J433" i="1"/>
  <c r="J357" i="1"/>
  <c r="J261" i="1"/>
  <c r="J971" i="1"/>
  <c r="J910" i="1"/>
  <c r="J862" i="1"/>
  <c r="J790" i="1"/>
  <c r="J725" i="1"/>
  <c r="J563" i="1"/>
  <c r="J432" i="1"/>
  <c r="J206" i="1"/>
  <c r="J925" i="1"/>
  <c r="J878" i="1"/>
  <c r="J817" i="1"/>
  <c r="J744" i="1"/>
  <c r="J674" i="1"/>
  <c r="J525" i="1"/>
  <c r="J390" i="1"/>
  <c r="J304" i="1"/>
  <c r="J944" i="1"/>
  <c r="J861" i="1"/>
  <c r="J825" i="1"/>
  <c r="J789" i="1"/>
  <c r="J753" i="1"/>
  <c r="J694" i="1"/>
  <c r="J589" i="1"/>
  <c r="J505" i="1"/>
  <c r="J429" i="1"/>
  <c r="J229" i="1"/>
  <c r="J950" i="1"/>
  <c r="J901" i="1"/>
  <c r="J752" i="1"/>
  <c r="J661" i="1"/>
  <c r="J617" i="1"/>
  <c r="J409" i="1"/>
  <c r="J159" i="1"/>
  <c r="J328" i="1"/>
  <c r="J287" i="1"/>
  <c r="J245" i="1"/>
  <c r="J202" i="1"/>
  <c r="J139" i="1"/>
  <c r="J750" i="1"/>
  <c r="J704" i="1"/>
  <c r="J664" i="1"/>
  <c r="J635" i="1"/>
  <c r="J606" i="1"/>
  <c r="J577" i="1"/>
  <c r="J527" i="1"/>
  <c r="J489" i="1"/>
  <c r="J394" i="1"/>
  <c r="J354" i="1"/>
  <c r="J276" i="1"/>
  <c r="J212" i="1"/>
  <c r="J151" i="1"/>
  <c r="J97" i="1"/>
  <c r="J43" i="1"/>
  <c r="J960" i="1"/>
  <c r="J936" i="1"/>
  <c r="J912" i="1"/>
  <c r="J888" i="1"/>
  <c r="J864" i="1"/>
  <c r="J840" i="1"/>
  <c r="J816" i="1"/>
  <c r="J792" i="1"/>
  <c r="J768" i="1"/>
  <c r="J730" i="1"/>
  <c r="J684" i="1"/>
  <c r="J469" i="1"/>
  <c r="J431" i="1"/>
  <c r="J393" i="1"/>
  <c r="J286" i="1"/>
  <c r="J135" i="1"/>
  <c r="J749" i="1"/>
  <c r="J703" i="1"/>
  <c r="J662" i="1"/>
  <c r="J634" i="1"/>
  <c r="J605" i="1"/>
  <c r="J576" i="1"/>
  <c r="J517" i="1"/>
  <c r="J479" i="1"/>
  <c r="J382" i="1"/>
  <c r="J344" i="1"/>
  <c r="J306" i="1"/>
  <c r="J263" i="1"/>
  <c r="J221" i="1"/>
  <c r="J161" i="1"/>
  <c r="J53" i="1"/>
  <c r="J121" i="1"/>
  <c r="J133" i="1"/>
  <c r="J79" i="1"/>
  <c r="J117" i="1"/>
  <c r="J181" i="1"/>
  <c r="J62" i="1"/>
  <c r="J541" i="1"/>
  <c r="J503" i="1"/>
  <c r="J465" i="1"/>
  <c r="J368" i="1"/>
  <c r="J330" i="1"/>
  <c r="J238" i="1"/>
  <c r="J130" i="1"/>
  <c r="J608" i="1"/>
  <c r="J580" i="1"/>
  <c r="J531" i="1"/>
  <c r="J436" i="1"/>
  <c r="J396" i="1"/>
  <c r="J301" i="1"/>
  <c r="J259" i="1"/>
  <c r="J215" i="1"/>
  <c r="J142" i="1"/>
  <c r="J88" i="1"/>
  <c r="J34" i="1"/>
  <c r="J842" i="1"/>
  <c r="J818" i="1"/>
  <c r="J794" i="1"/>
  <c r="J770" i="1"/>
  <c r="J732" i="1"/>
  <c r="J686" i="1"/>
  <c r="J502" i="1"/>
  <c r="J462" i="1"/>
  <c r="J367" i="1"/>
  <c r="J329" i="1"/>
  <c r="J288" i="1"/>
  <c r="J224" i="1"/>
  <c r="J153" i="1"/>
  <c r="J45" i="1"/>
  <c r="J663" i="1"/>
  <c r="J639" i="1"/>
  <c r="J615" i="1"/>
  <c r="J591" i="1"/>
  <c r="J567" i="1"/>
  <c r="J543" i="1"/>
  <c r="J500" i="1"/>
  <c r="J457" i="1"/>
  <c r="J399" i="1"/>
  <c r="J356" i="1"/>
  <c r="J313" i="1"/>
  <c r="J258" i="1"/>
  <c r="J201" i="1"/>
  <c r="J129" i="1"/>
  <c r="J57" i="1"/>
  <c r="J514" i="1"/>
  <c r="J456" i="1"/>
  <c r="J413" i="1"/>
  <c r="J370" i="1"/>
  <c r="J312" i="1"/>
  <c r="J250" i="1"/>
  <c r="J191" i="1"/>
  <c r="J155" i="1"/>
  <c r="J119" i="1"/>
  <c r="J83" i="1"/>
  <c r="J47" i="1"/>
  <c r="J554" i="1"/>
  <c r="J513" i="1"/>
  <c r="J470" i="1"/>
  <c r="J427" i="1"/>
  <c r="J369" i="1"/>
  <c r="J326" i="1"/>
  <c r="J281" i="1"/>
  <c r="J249" i="1"/>
  <c r="J217" i="1"/>
  <c r="J131" i="1"/>
  <c r="J95" i="1"/>
  <c r="J59" i="1"/>
  <c r="J210" i="1"/>
  <c r="J186" i="1"/>
  <c r="J162" i="1"/>
  <c r="J138" i="1"/>
  <c r="J114" i="1"/>
  <c r="J90" i="1"/>
  <c r="J66" i="1"/>
  <c r="J42" i="1"/>
  <c r="L1009" i="1"/>
  <c r="L930" i="1"/>
  <c r="L796" i="1"/>
  <c r="L667" i="1"/>
  <c r="L556" i="1"/>
  <c r="L394" i="1"/>
  <c r="L951" i="1"/>
  <c r="L827" i="1"/>
  <c r="L707" i="1"/>
  <c r="L578" i="1"/>
  <c r="L439" i="1"/>
  <c r="L270" i="1"/>
  <c r="L1008" i="1"/>
  <c r="L979" i="1"/>
  <c r="L950" i="1"/>
  <c r="L922" i="1"/>
  <c r="L834" i="1"/>
  <c r="L738" i="1"/>
  <c r="L642" i="1"/>
  <c r="L546" i="1"/>
  <c r="L480" i="1"/>
  <c r="L428" i="1"/>
  <c r="L380" i="1"/>
  <c r="L330" i="1"/>
  <c r="L218" i="1"/>
  <c r="L1016" i="1"/>
  <c r="L937" i="1"/>
  <c r="L811" i="1"/>
  <c r="L676" i="1"/>
  <c r="L580" i="1"/>
  <c r="L370" i="1"/>
  <c r="L851" i="1"/>
  <c r="L683" i="1"/>
  <c r="L538" i="1"/>
  <c r="L357" i="1"/>
  <c r="L957" i="1"/>
  <c r="L889" i="1"/>
  <c r="L841" i="1"/>
  <c r="L793" i="1"/>
  <c r="L745" i="1"/>
  <c r="L697" i="1"/>
  <c r="L649" i="1"/>
  <c r="L601" i="1"/>
  <c r="L553" i="1"/>
  <c r="L497" i="1"/>
  <c r="L437" i="1"/>
  <c r="L390" i="1"/>
  <c r="L342" i="1"/>
  <c r="L973" i="1"/>
  <c r="L820" i="1"/>
  <c r="L571" i="1"/>
  <c r="L914" i="1"/>
  <c r="L770" i="1"/>
  <c r="L563" i="1"/>
  <c r="L1021" i="1"/>
  <c r="L992" i="1"/>
  <c r="L964" i="1"/>
  <c r="L935" i="1"/>
  <c r="L896" i="1"/>
  <c r="L848" i="1"/>
  <c r="L800" i="1"/>
  <c r="L752" i="1"/>
  <c r="L704" i="1"/>
  <c r="L656" i="1"/>
  <c r="L608" i="1"/>
  <c r="L560" i="1"/>
  <c r="L506" i="1"/>
  <c r="L459" i="1"/>
  <c r="L402" i="1"/>
  <c r="L354" i="1"/>
  <c r="L258" i="1"/>
  <c r="L66" i="1"/>
  <c r="L927" i="1"/>
  <c r="L840" i="1"/>
  <c r="L744" i="1"/>
  <c r="L648" i="1"/>
  <c r="L552" i="1"/>
  <c r="L496" i="1"/>
  <c r="L436" i="1"/>
  <c r="L353" i="1"/>
  <c r="L257" i="1"/>
  <c r="L65" i="1"/>
  <c r="L1013" i="1"/>
  <c r="L984" i="1"/>
  <c r="L955" i="1"/>
  <c r="L926" i="1"/>
  <c r="L880" i="1"/>
  <c r="L832" i="1"/>
  <c r="L784" i="1"/>
  <c r="L736" i="1"/>
  <c r="L688" i="1"/>
  <c r="L640" i="1"/>
  <c r="L592" i="1"/>
  <c r="L544" i="1"/>
  <c r="L487" i="1"/>
  <c r="L399" i="1"/>
  <c r="L351" i="1"/>
  <c r="L286" i="1"/>
  <c r="L106" i="1"/>
  <c r="L933" i="1"/>
  <c r="L878" i="1"/>
  <c r="L830" i="1"/>
  <c r="L782" i="1"/>
  <c r="L734" i="1"/>
  <c r="L686" i="1"/>
  <c r="L638" i="1"/>
  <c r="L590" i="1"/>
  <c r="L542" i="1"/>
  <c r="L495" i="1"/>
  <c r="L435" i="1"/>
  <c r="L387" i="1"/>
  <c r="L338" i="1"/>
  <c r="L1026" i="1"/>
  <c r="L997" i="1"/>
  <c r="L968" i="1"/>
  <c r="L940" i="1"/>
  <c r="L894" i="1"/>
  <c r="L798" i="1"/>
  <c r="L702" i="1"/>
  <c r="L606" i="1"/>
  <c r="L503" i="1"/>
  <c r="L434" i="1"/>
  <c r="L305" i="1"/>
  <c r="L146" i="1"/>
  <c r="L975" i="1"/>
  <c r="L886" i="1"/>
  <c r="L838" i="1"/>
  <c r="L790" i="1"/>
  <c r="L742" i="1"/>
  <c r="L694" i="1"/>
  <c r="L646" i="1"/>
  <c r="L598" i="1"/>
  <c r="L550" i="1"/>
  <c r="L494" i="1"/>
  <c r="L443" i="1"/>
  <c r="L349" i="1"/>
  <c r="L49" i="1"/>
  <c r="L1003" i="1"/>
  <c r="L974" i="1"/>
  <c r="L946" i="1"/>
  <c r="L917" i="1"/>
  <c r="L869" i="1"/>
  <c r="L821" i="1"/>
  <c r="L773" i="1"/>
  <c r="L725" i="1"/>
  <c r="L677" i="1"/>
  <c r="L629" i="1"/>
  <c r="L581" i="1"/>
  <c r="L540" i="1"/>
  <c r="L491" i="1"/>
  <c r="L420" i="1"/>
  <c r="L334" i="1"/>
  <c r="L186" i="1"/>
  <c r="L1017" i="1"/>
  <c r="L876" i="1"/>
  <c r="L780" i="1"/>
  <c r="L684" i="1"/>
  <c r="L588" i="1"/>
  <c r="L482" i="1"/>
  <c r="L430" i="1"/>
  <c r="L333" i="1"/>
  <c r="L233" i="1"/>
  <c r="L40" i="1"/>
  <c r="L441" i="1"/>
  <c r="L393" i="1"/>
  <c r="L345" i="1"/>
  <c r="L297" i="1"/>
  <c r="L249" i="1"/>
  <c r="L201" i="1"/>
  <c r="L153" i="1"/>
  <c r="L105" i="1"/>
  <c r="L57" i="1"/>
  <c r="L903" i="1"/>
  <c r="L879" i="1"/>
  <c r="L855" i="1"/>
  <c r="L831" i="1"/>
  <c r="L807" i="1"/>
  <c r="L783" i="1"/>
  <c r="L759" i="1"/>
  <c r="L735" i="1"/>
  <c r="L711" i="1"/>
  <c r="L687" i="1"/>
  <c r="L663" i="1"/>
  <c r="L639" i="1"/>
  <c r="L615" i="1"/>
  <c r="L591" i="1"/>
  <c r="L567" i="1"/>
  <c r="L543" i="1"/>
  <c r="L514" i="1"/>
  <c r="L485" i="1"/>
  <c r="L456" i="1"/>
  <c r="L424" i="1"/>
  <c r="L392" i="1"/>
  <c r="L360" i="1"/>
  <c r="L328" i="1"/>
  <c r="L296" i="1"/>
  <c r="L264" i="1"/>
  <c r="L232" i="1"/>
  <c r="L200" i="1"/>
  <c r="L168" i="1"/>
  <c r="L136" i="1"/>
  <c r="L104" i="1"/>
  <c r="L72" i="1"/>
  <c r="L38" i="1"/>
  <c r="L431" i="1"/>
  <c r="L335" i="1"/>
  <c r="L239" i="1"/>
  <c r="L143" i="1"/>
  <c r="L319" i="1"/>
  <c r="L271" i="1"/>
  <c r="L223" i="1"/>
  <c r="L175" i="1"/>
  <c r="L127" i="1"/>
  <c r="L79" i="1"/>
  <c r="L37" i="1"/>
  <c r="L238" i="1"/>
  <c r="L206" i="1"/>
  <c r="L174" i="1"/>
  <c r="L142" i="1"/>
  <c r="L110" i="1"/>
  <c r="L78" i="1"/>
  <c r="L36" i="1"/>
  <c r="L269" i="1"/>
  <c r="L173" i="1"/>
  <c r="L77" i="1"/>
  <c r="L277" i="1"/>
  <c r="L229" i="1"/>
  <c r="L181" i="1"/>
  <c r="L133" i="1"/>
  <c r="L85" i="1"/>
  <c r="L284" i="1"/>
  <c r="L252" i="1"/>
  <c r="L220" i="1"/>
  <c r="L188" i="1"/>
  <c r="L156" i="1"/>
  <c r="L124" i="1"/>
  <c r="L92" i="1"/>
  <c r="L60" i="1"/>
  <c r="L419" i="1"/>
  <c r="L323" i="1"/>
  <c r="L227" i="1"/>
  <c r="L131" i="1"/>
  <c r="L42" i="1"/>
  <c r="L283" i="1"/>
  <c r="L235" i="1"/>
  <c r="L187" i="1"/>
  <c r="L139" i="1"/>
  <c r="L91" i="1"/>
  <c r="L41" i="1"/>
  <c r="L39" i="1"/>
  <c r="N975" i="1"/>
  <c r="N764" i="1"/>
  <c r="N411" i="1"/>
  <c r="N1016" i="1"/>
  <c r="N807" i="1"/>
  <c r="N617" i="1"/>
  <c r="N233" i="1"/>
  <c r="N891" i="1"/>
  <c r="N679" i="1"/>
  <c r="N338" i="1"/>
  <c r="N1029" i="1"/>
  <c r="N800" i="1"/>
  <c r="N677" i="1"/>
  <c r="N405" i="1"/>
  <c r="N125" i="1"/>
  <c r="N833" i="1"/>
  <c r="N662" i="1"/>
  <c r="N427" i="1"/>
  <c r="N1007" i="1"/>
  <c r="N843" i="1"/>
  <c r="N601" i="1"/>
  <c r="N211" i="1"/>
  <c r="N945" i="1"/>
  <c r="N775" i="1"/>
  <c r="N600" i="1"/>
  <c r="N986" i="1"/>
  <c r="N774" i="1"/>
  <c r="N438" i="1"/>
  <c r="N1025" i="1"/>
  <c r="N861" i="1"/>
  <c r="N700" i="1"/>
  <c r="N499" i="1"/>
  <c r="N67" i="1"/>
  <c r="N839" i="1"/>
  <c r="N630" i="1"/>
  <c r="N254" i="1"/>
  <c r="N854" i="1"/>
  <c r="N308" i="1"/>
  <c r="N1017" i="1"/>
  <c r="N810" i="1"/>
  <c r="N688" i="1"/>
  <c r="N661" i="1"/>
  <c r="N478" i="1"/>
  <c r="N380" i="1"/>
  <c r="N253" i="1"/>
  <c r="N1004" i="1"/>
  <c r="N921" i="1"/>
  <c r="N827" i="1"/>
  <c r="N710" i="1"/>
  <c r="N657" i="1"/>
  <c r="N539" i="1"/>
  <c r="N449" i="1"/>
  <c r="N276" i="1"/>
  <c r="N1023" i="1"/>
  <c r="N899" i="1"/>
  <c r="N805" i="1"/>
  <c r="N696" i="1"/>
  <c r="N593" i="1"/>
  <c r="N351" i="1"/>
  <c r="N110" i="1"/>
  <c r="N992" i="1"/>
  <c r="N909" i="1"/>
  <c r="N826" i="1"/>
  <c r="N781" i="1"/>
  <c r="N708" i="1"/>
  <c r="N639" i="1"/>
  <c r="N445" i="1"/>
  <c r="N324" i="1"/>
  <c r="N195" i="1"/>
  <c r="N1011" i="1"/>
  <c r="N887" i="1"/>
  <c r="N780" i="1"/>
  <c r="N721" i="1"/>
  <c r="N554" i="1"/>
  <c r="N341" i="1"/>
  <c r="N194" i="1"/>
  <c r="N77" i="1"/>
  <c r="N897" i="1"/>
  <c r="N743" i="1"/>
  <c r="N511" i="1"/>
  <c r="N135" i="1"/>
  <c r="N980" i="1"/>
  <c r="N801" i="1"/>
  <c r="N608" i="1"/>
  <c r="N269" i="1"/>
  <c r="N999" i="1"/>
  <c r="N875" i="1"/>
  <c r="N812" i="1"/>
  <c r="N665" i="1"/>
  <c r="N532" i="1"/>
  <c r="N391" i="1"/>
  <c r="N294" i="1"/>
  <c r="N132" i="1"/>
  <c r="N167" i="1"/>
  <c r="N64" i="1"/>
  <c r="N1012" i="1"/>
  <c r="N976" i="1"/>
  <c r="N946" i="1"/>
  <c r="N916" i="1"/>
  <c r="N880" i="1"/>
  <c r="N850" i="1"/>
  <c r="N806" i="1"/>
  <c r="N752" i="1"/>
  <c r="N694" i="1"/>
  <c r="N611" i="1"/>
  <c r="N455" i="1"/>
  <c r="N310" i="1"/>
  <c r="N137" i="1"/>
  <c r="N816" i="1"/>
  <c r="N651" i="1"/>
  <c r="N448" i="1"/>
  <c r="N275" i="1"/>
  <c r="N118" i="1"/>
  <c r="N1009" i="1"/>
  <c r="N961" i="1"/>
  <c r="N913" i="1"/>
  <c r="N865" i="1"/>
  <c r="N809" i="1"/>
  <c r="N734" i="1"/>
  <c r="N668" i="1"/>
  <c r="N572" i="1"/>
  <c r="N433" i="1"/>
  <c r="N260" i="1"/>
  <c r="N115" i="1"/>
  <c r="N789" i="1"/>
  <c r="N552" i="1"/>
  <c r="N303" i="1"/>
  <c r="N1026" i="1"/>
  <c r="N978" i="1"/>
  <c r="N930" i="1"/>
  <c r="N882" i="1"/>
  <c r="N834" i="1"/>
  <c r="N747" i="1"/>
  <c r="N689" i="1"/>
  <c r="N583" i="1"/>
  <c r="N416" i="1"/>
  <c r="N259" i="1"/>
  <c r="N85" i="1"/>
  <c r="N599" i="1"/>
  <c r="N496" i="1"/>
  <c r="N117" i="1"/>
  <c r="N606" i="1"/>
  <c r="N474" i="1"/>
  <c r="N388" i="1"/>
  <c r="N301" i="1"/>
  <c r="N215" i="1"/>
  <c r="N128" i="1"/>
  <c r="N36" i="1"/>
  <c r="N541" i="1"/>
  <c r="N159" i="1"/>
  <c r="N568" i="1"/>
  <c r="N516" i="1"/>
  <c r="N458" i="1"/>
  <c r="N401" i="1"/>
  <c r="N307" i="1"/>
  <c r="N192" i="1"/>
  <c r="N59" i="1"/>
  <c r="N42" i="1"/>
  <c r="N515" i="1"/>
  <c r="N400" i="1"/>
  <c r="N284" i="1"/>
  <c r="N169" i="1"/>
  <c r="N507" i="1"/>
  <c r="N41" i="1"/>
  <c r="P248" i="1"/>
  <c r="P971" i="1"/>
  <c r="P674" i="1"/>
  <c r="P992" i="1"/>
  <c r="P499" i="1"/>
  <c r="P785" i="1"/>
  <c r="P997" i="1"/>
  <c r="P484" i="1"/>
  <c r="P942" i="1"/>
  <c r="P321" i="1"/>
  <c r="P738" i="1"/>
  <c r="P976" i="1"/>
  <c r="P558" i="1"/>
  <c r="P1003" i="1"/>
  <c r="P611" i="1"/>
  <c r="P960" i="1"/>
  <c r="P307" i="1"/>
  <c r="P779" i="1"/>
  <c r="P77" i="1"/>
  <c r="P533" i="1"/>
  <c r="P204" i="1"/>
  <c r="P879" i="1"/>
  <c r="P650" i="1"/>
  <c r="P343" i="1"/>
  <c r="P1027" i="1"/>
  <c r="P805" i="1"/>
  <c r="P392" i="1"/>
  <c r="P94" i="1"/>
  <c r="P812" i="1"/>
  <c r="P503" i="1"/>
  <c r="P167" i="1"/>
  <c r="P836" i="1"/>
  <c r="P562" i="1"/>
  <c r="P71" i="1"/>
  <c r="P819" i="1"/>
  <c r="P376" i="1"/>
  <c r="P134" i="1"/>
  <c r="P983" i="1"/>
  <c r="F651" i="1"/>
  <c r="F627" i="1"/>
  <c r="F603" i="1"/>
  <c r="F579" i="1"/>
  <c r="F555" i="1"/>
  <c r="F517" i="1"/>
  <c r="F471" i="1"/>
  <c r="F48" i="1"/>
  <c r="F503" i="1"/>
  <c r="F450" i="1"/>
  <c r="F422" i="1"/>
  <c r="F393" i="1"/>
  <c r="F364" i="1"/>
  <c r="F335" i="1"/>
  <c r="F306" i="1"/>
  <c r="F278" i="1"/>
  <c r="F249" i="1"/>
  <c r="F220" i="1"/>
  <c r="F191" i="1"/>
  <c r="F162" i="1"/>
  <c r="F134" i="1"/>
  <c r="F104" i="1"/>
  <c r="F56" i="1"/>
  <c r="F686" i="1"/>
  <c r="F662" i="1"/>
  <c r="F638" i="1"/>
  <c r="F614" i="1"/>
  <c r="F590" i="1"/>
  <c r="F566" i="1"/>
  <c r="F542" i="1"/>
  <c r="F496" i="1"/>
  <c r="F95" i="1"/>
  <c r="F528" i="1"/>
  <c r="F476" i="1"/>
  <c r="F442" i="1"/>
  <c r="F413" i="1"/>
  <c r="F384" i="1"/>
  <c r="F356" i="1"/>
  <c r="F327" i="1"/>
  <c r="F298" i="1"/>
  <c r="F269" i="1"/>
  <c r="F240" i="1"/>
  <c r="F212" i="1"/>
  <c r="F183" i="1"/>
  <c r="F154" i="1"/>
  <c r="F125" i="1"/>
  <c r="F54" i="1"/>
  <c r="F106" i="1"/>
  <c r="F58" i="1"/>
  <c r="F445" i="1"/>
  <c r="F421" i="1"/>
  <c r="F397" i="1"/>
  <c r="F373" i="1"/>
  <c r="F349" i="1"/>
  <c r="F325" i="1"/>
  <c r="F301" i="1"/>
  <c r="F277" i="1"/>
  <c r="F253" i="1"/>
  <c r="F229" i="1"/>
  <c r="F205" i="1"/>
  <c r="F181" i="1"/>
  <c r="F157" i="1"/>
  <c r="F133" i="1"/>
  <c r="F109" i="1"/>
  <c r="F85" i="1"/>
  <c r="F61" i="1"/>
  <c r="F37" i="1"/>
  <c r="F105" i="1"/>
  <c r="F81" i="1"/>
  <c r="F57" i="1"/>
  <c r="F33" i="1"/>
  <c r="H957" i="1"/>
  <c r="H750" i="1"/>
  <c r="H813" i="1"/>
  <c r="H834" i="1"/>
  <c r="H986" i="1"/>
  <c r="H830" i="1"/>
  <c r="H963" i="1"/>
  <c r="H969" i="1"/>
  <c r="H787" i="1"/>
  <c r="H842" i="1"/>
  <c r="H755" i="1"/>
  <c r="H939" i="1"/>
  <c r="H823" i="1"/>
  <c r="H981" i="1"/>
  <c r="H822" i="1"/>
  <c r="H1017" i="1"/>
  <c r="H938" i="1"/>
  <c r="H777" i="1"/>
  <c r="H980" i="1"/>
  <c r="H646" i="1"/>
  <c r="H933" i="1"/>
  <c r="H1015" i="1"/>
  <c r="H962" i="1"/>
  <c r="H806" i="1"/>
  <c r="H892" i="1"/>
  <c r="H635" i="1"/>
  <c r="H473" i="1"/>
  <c r="H1025" i="1"/>
  <c r="H1001" i="1"/>
  <c r="H977" i="1"/>
  <c r="H953" i="1"/>
  <c r="H929" i="1"/>
  <c r="H905" i="1"/>
  <c r="H769" i="1"/>
  <c r="H669" i="1"/>
  <c r="H633" i="1"/>
  <c r="H502" i="1"/>
  <c r="H215" i="1"/>
  <c r="H554" i="1"/>
  <c r="H257" i="1"/>
  <c r="H876" i="1"/>
  <c r="H848" i="1"/>
  <c r="H819" i="1"/>
  <c r="H790" i="1"/>
  <c r="H761" i="1"/>
  <c r="H721" i="1"/>
  <c r="H642" i="1"/>
  <c r="H526" i="1"/>
  <c r="H418" i="1"/>
  <c r="H232" i="1"/>
  <c r="H615" i="1"/>
  <c r="H197" i="1"/>
  <c r="H1012" i="1"/>
  <c r="H988" i="1"/>
  <c r="H964" i="1"/>
  <c r="H940" i="1"/>
  <c r="H916" i="1"/>
  <c r="H847" i="1"/>
  <c r="H720" i="1"/>
  <c r="H676" i="1"/>
  <c r="H632" i="1"/>
  <c r="H586" i="1"/>
  <c r="H484" i="1"/>
  <c r="H364" i="1"/>
  <c r="H88" i="1"/>
  <c r="H882" i="1"/>
  <c r="H854" i="1"/>
  <c r="H825" i="1"/>
  <c r="H796" i="1"/>
  <c r="H767" i="1"/>
  <c r="H736" i="1"/>
  <c r="H692" i="1"/>
  <c r="H499" i="1"/>
  <c r="H46" i="1"/>
  <c r="H903" i="1"/>
  <c r="H781" i="1"/>
  <c r="H665" i="1"/>
  <c r="H631" i="1"/>
  <c r="H585" i="1"/>
  <c r="H510" i="1"/>
  <c r="H379" i="1"/>
  <c r="H209" i="1"/>
  <c r="H881" i="1"/>
  <c r="H852" i="1"/>
  <c r="H824" i="1"/>
  <c r="H795" i="1"/>
  <c r="H766" i="1"/>
  <c r="H735" i="1"/>
  <c r="H691" i="1"/>
  <c r="H596" i="1"/>
  <c r="H522" i="1"/>
  <c r="H395" i="1"/>
  <c r="H227" i="1"/>
  <c r="H413" i="1"/>
  <c r="H268" i="1"/>
  <c r="H815" i="1"/>
  <c r="H786" i="1"/>
  <c r="H758" i="1"/>
  <c r="H716" i="1"/>
  <c r="H593" i="1"/>
  <c r="H519" i="1"/>
  <c r="H427" i="1"/>
  <c r="H283" i="1"/>
  <c r="H77" i="1"/>
  <c r="H967" i="1"/>
  <c r="H943" i="1"/>
  <c r="H913" i="1"/>
  <c r="H793" i="1"/>
  <c r="H689" i="1"/>
  <c r="H655" i="1"/>
  <c r="H478" i="1"/>
  <c r="H35" i="1"/>
  <c r="H879" i="1"/>
  <c r="H850" i="1"/>
  <c r="H821" i="1"/>
  <c r="H792" i="1"/>
  <c r="H764" i="1"/>
  <c r="H723" i="1"/>
  <c r="H679" i="1"/>
  <c r="H568" i="1"/>
  <c r="H460" i="1"/>
  <c r="H317" i="1"/>
  <c r="H76" i="1"/>
  <c r="H1008" i="1"/>
  <c r="H984" i="1"/>
  <c r="H960" i="1"/>
  <c r="H936" i="1"/>
  <c r="H912" i="1"/>
  <c r="H799" i="1"/>
  <c r="H696" i="1"/>
  <c r="H662" i="1"/>
  <c r="H491" i="1"/>
  <c r="H733" i="1"/>
  <c r="H687" i="1"/>
  <c r="H641" i="1"/>
  <c r="H590" i="1"/>
  <c r="H542" i="1"/>
  <c r="H467" i="1"/>
  <c r="H337" i="1"/>
  <c r="H196" i="1"/>
  <c r="H745" i="1"/>
  <c r="H706" i="1"/>
  <c r="H660" i="1"/>
  <c r="H597" i="1"/>
  <c r="H497" i="1"/>
  <c r="H361" i="1"/>
  <c r="H208" i="1"/>
  <c r="H71" i="1"/>
  <c r="H699" i="1"/>
  <c r="H653" i="1"/>
  <c r="H580" i="1"/>
  <c r="H523" i="1"/>
  <c r="H466" i="1"/>
  <c r="H371" i="1"/>
  <c r="H220" i="1"/>
  <c r="H83" i="1"/>
  <c r="H555" i="1"/>
  <c r="H475" i="1"/>
  <c r="H334" i="1"/>
  <c r="H107" i="1"/>
  <c r="H613" i="1"/>
  <c r="H589" i="1"/>
  <c r="H565" i="1"/>
  <c r="H541" i="1"/>
  <c r="H495" i="1"/>
  <c r="H448" i="1"/>
  <c r="H412" i="1"/>
  <c r="H376" i="1"/>
  <c r="H340" i="1"/>
  <c r="H304" i="1"/>
  <c r="H245" i="1"/>
  <c r="H101" i="1"/>
  <c r="H514" i="1"/>
  <c r="H275" i="1"/>
  <c r="H131" i="1"/>
  <c r="H612" i="1"/>
  <c r="H588" i="1"/>
  <c r="H564" i="1"/>
  <c r="H533" i="1"/>
  <c r="H487" i="1"/>
  <c r="H401" i="1"/>
  <c r="H329" i="1"/>
  <c r="H233" i="1"/>
  <c r="H89" i="1"/>
  <c r="H259" i="1"/>
  <c r="H235" i="1"/>
  <c r="H211" i="1"/>
  <c r="H187" i="1"/>
  <c r="H163" i="1"/>
  <c r="H139" i="1"/>
  <c r="H115" i="1"/>
  <c r="H91" i="1"/>
  <c r="H67" i="1"/>
  <c r="H43" i="1"/>
  <c r="H474" i="1"/>
  <c r="H450" i="1"/>
  <c r="H426" i="1"/>
  <c r="H402" i="1"/>
  <c r="H378" i="1"/>
  <c r="H354" i="1"/>
  <c r="H330" i="1"/>
  <c r="H306" i="1"/>
  <c r="H282" i="1"/>
  <c r="H258" i="1"/>
  <c r="H234" i="1"/>
  <c r="H210" i="1"/>
  <c r="H186" i="1"/>
  <c r="H162" i="1"/>
  <c r="H138" i="1"/>
  <c r="H114" i="1"/>
  <c r="H90" i="1"/>
  <c r="H66" i="1"/>
  <c r="H42" i="1"/>
  <c r="H477" i="1"/>
  <c r="H453" i="1"/>
  <c r="H429" i="1"/>
  <c r="H405" i="1"/>
  <c r="H381" i="1"/>
  <c r="H357" i="1"/>
  <c r="H333" i="1"/>
  <c r="H309" i="1"/>
  <c r="H285" i="1"/>
  <c r="H261" i="1"/>
  <c r="H237" i="1"/>
  <c r="H213" i="1"/>
  <c r="H189" i="1"/>
  <c r="H165" i="1"/>
  <c r="H141" i="1"/>
  <c r="H117" i="1"/>
  <c r="H93" i="1"/>
  <c r="H69" i="1"/>
  <c r="H45" i="1"/>
  <c r="H440" i="1"/>
  <c r="H416" i="1"/>
  <c r="H392" i="1"/>
  <c r="H368" i="1"/>
  <c r="H344" i="1"/>
  <c r="H320" i="1"/>
  <c r="H296" i="1"/>
  <c r="H272" i="1"/>
  <c r="H248" i="1"/>
  <c r="H224" i="1"/>
  <c r="H200" i="1"/>
  <c r="H176" i="1"/>
  <c r="H152" i="1"/>
  <c r="H128" i="1"/>
  <c r="H104" i="1"/>
  <c r="H80" i="1"/>
  <c r="H56" i="1"/>
  <c r="H32" i="1"/>
  <c r="J1009" i="1"/>
  <c r="J995" i="1"/>
  <c r="J1025" i="1"/>
  <c r="J973" i="1"/>
  <c r="J986" i="1"/>
  <c r="J1008" i="1"/>
  <c r="J1024" i="1"/>
  <c r="J855" i="1"/>
  <c r="J983" i="1"/>
  <c r="J1014" i="1"/>
  <c r="J908" i="1"/>
  <c r="J1006" i="1"/>
  <c r="J946" i="1"/>
  <c r="J989" i="1"/>
  <c r="J1020" i="1"/>
  <c r="J819" i="1"/>
  <c r="J988" i="1"/>
  <c r="J721" i="1"/>
  <c r="J466" i="1"/>
  <c r="J302" i="1"/>
  <c r="J975" i="1"/>
  <c r="J922" i="1"/>
  <c r="J859" i="1"/>
  <c r="J787" i="1"/>
  <c r="J701" i="1"/>
  <c r="J600" i="1"/>
  <c r="J539" i="1"/>
  <c r="J404" i="1"/>
  <c r="J195" i="1"/>
  <c r="J712" i="1"/>
  <c r="J1023" i="1"/>
  <c r="J999" i="1"/>
  <c r="J968" i="1"/>
  <c r="J898" i="1"/>
  <c r="J849" i="1"/>
  <c r="J813" i="1"/>
  <c r="J777" i="1"/>
  <c r="J720" i="1"/>
  <c r="J481" i="1"/>
  <c r="J343" i="1"/>
  <c r="J220" i="1"/>
  <c r="J778" i="1"/>
  <c r="J616" i="1"/>
  <c r="J196" i="1"/>
  <c r="J928" i="1"/>
  <c r="J890" i="1"/>
  <c r="J739" i="1"/>
  <c r="J680" i="1"/>
  <c r="J637" i="1"/>
  <c r="J439" i="1"/>
  <c r="J342" i="1"/>
  <c r="J189" i="1"/>
  <c r="J934" i="1"/>
  <c r="J838" i="1"/>
  <c r="J766" i="1"/>
  <c r="J679" i="1"/>
  <c r="J611" i="1"/>
  <c r="J496" i="1"/>
  <c r="J361" i="1"/>
  <c r="J216" i="1"/>
  <c r="J920" i="1"/>
  <c r="J880" i="1"/>
  <c r="J811" i="1"/>
  <c r="J747" i="1"/>
  <c r="J688" i="1"/>
  <c r="J551" i="1"/>
  <c r="J418" i="1"/>
  <c r="J314" i="1"/>
  <c r="J125" i="1"/>
  <c r="J773" i="1"/>
  <c r="J707" i="1"/>
  <c r="J595" i="1"/>
  <c r="J437" i="1"/>
  <c r="J178" i="1"/>
  <c r="J926" i="1"/>
  <c r="J735" i="1"/>
  <c r="J676" i="1"/>
  <c r="J632" i="1"/>
  <c r="J547" i="1"/>
  <c r="J415" i="1"/>
  <c r="J332" i="1"/>
  <c r="J207" i="1"/>
  <c r="J958" i="1"/>
  <c r="J895" i="1"/>
  <c r="J844" i="1"/>
  <c r="J772" i="1"/>
  <c r="J695" i="1"/>
  <c r="J490" i="1"/>
  <c r="J414" i="1"/>
  <c r="J170" i="1"/>
  <c r="J917" i="1"/>
  <c r="J869" i="1"/>
  <c r="J799" i="1"/>
  <c r="J714" i="1"/>
  <c r="J653" i="1"/>
  <c r="J448" i="1"/>
  <c r="J372" i="1"/>
  <c r="J283" i="1"/>
  <c r="J931" i="1"/>
  <c r="J851" i="1"/>
  <c r="J815" i="1"/>
  <c r="J779" i="1"/>
  <c r="J742" i="1"/>
  <c r="J683" i="1"/>
  <c r="J575" i="1"/>
  <c r="J487" i="1"/>
  <c r="J351" i="1"/>
  <c r="J160" i="1"/>
  <c r="J937" i="1"/>
  <c r="J892" i="1"/>
  <c r="J713" i="1"/>
  <c r="J652" i="1"/>
  <c r="J524" i="1"/>
  <c r="J389" i="1"/>
  <c r="J44" i="1"/>
  <c r="J317" i="1"/>
  <c r="J277" i="1"/>
  <c r="J235" i="1"/>
  <c r="J188" i="1"/>
  <c r="J112" i="1"/>
  <c r="J737" i="1"/>
  <c r="J691" i="1"/>
  <c r="J656" i="1"/>
  <c r="J628" i="1"/>
  <c r="J599" i="1"/>
  <c r="J570" i="1"/>
  <c r="J518" i="1"/>
  <c r="J480" i="1"/>
  <c r="J383" i="1"/>
  <c r="J345" i="1"/>
  <c r="J264" i="1"/>
  <c r="J199" i="1"/>
  <c r="J136" i="1"/>
  <c r="J82" i="1"/>
  <c r="J978" i="1"/>
  <c r="J954" i="1"/>
  <c r="J930" i="1"/>
  <c r="J906" i="1"/>
  <c r="J882" i="1"/>
  <c r="J858" i="1"/>
  <c r="J834" i="1"/>
  <c r="J810" i="1"/>
  <c r="J786" i="1"/>
  <c r="J762" i="1"/>
  <c r="J717" i="1"/>
  <c r="J562" i="1"/>
  <c r="J460" i="1"/>
  <c r="J422" i="1"/>
  <c r="J325" i="1"/>
  <c r="J244" i="1"/>
  <c r="J123" i="1"/>
  <c r="J736" i="1"/>
  <c r="J690" i="1"/>
  <c r="J655" i="1"/>
  <c r="J626" i="1"/>
  <c r="J598" i="1"/>
  <c r="J569" i="1"/>
  <c r="J508" i="1"/>
  <c r="J468" i="1"/>
  <c r="J373" i="1"/>
  <c r="J335" i="1"/>
  <c r="J295" i="1"/>
  <c r="J253" i="1"/>
  <c r="J211" i="1"/>
  <c r="J134" i="1"/>
  <c r="J185" i="1"/>
  <c r="J94" i="1"/>
  <c r="J118" i="1"/>
  <c r="J64" i="1"/>
  <c r="J105" i="1"/>
  <c r="J143" i="1"/>
  <c r="J35" i="1"/>
  <c r="J532" i="1"/>
  <c r="J494" i="1"/>
  <c r="J397" i="1"/>
  <c r="J359" i="1"/>
  <c r="J321" i="1"/>
  <c r="J205" i="1"/>
  <c r="J103" i="1"/>
  <c r="J601" i="1"/>
  <c r="J572" i="1"/>
  <c r="J522" i="1"/>
  <c r="J425" i="1"/>
  <c r="J387" i="1"/>
  <c r="J291" i="1"/>
  <c r="J247" i="1"/>
  <c r="J193" i="1"/>
  <c r="J127" i="1"/>
  <c r="J73" i="1"/>
  <c r="J860" i="1"/>
  <c r="J836" i="1"/>
  <c r="J812" i="1"/>
  <c r="J788" i="1"/>
  <c r="J764" i="1"/>
  <c r="J719" i="1"/>
  <c r="J564" i="1"/>
  <c r="J491" i="1"/>
  <c r="J453" i="1"/>
  <c r="J358" i="1"/>
  <c r="J318" i="1"/>
  <c r="J278" i="1"/>
  <c r="J203" i="1"/>
  <c r="J141" i="1"/>
  <c r="J33" i="1"/>
  <c r="J657" i="1"/>
  <c r="J633" i="1"/>
  <c r="J609" i="1"/>
  <c r="J585" i="1"/>
  <c r="J561" i="1"/>
  <c r="J536" i="1"/>
  <c r="J493" i="1"/>
  <c r="J435" i="1"/>
  <c r="J392" i="1"/>
  <c r="J349" i="1"/>
  <c r="J290" i="1"/>
  <c r="J242" i="1"/>
  <c r="J183" i="1"/>
  <c r="J111" i="1"/>
  <c r="J39" i="1"/>
  <c r="J492" i="1"/>
  <c r="J449" i="1"/>
  <c r="J406" i="1"/>
  <c r="J348" i="1"/>
  <c r="J305" i="1"/>
  <c r="J226" i="1"/>
  <c r="J182" i="1"/>
  <c r="J146" i="1"/>
  <c r="J110" i="1"/>
  <c r="J74" i="1"/>
  <c r="J38" i="1"/>
  <c r="J548" i="1"/>
  <c r="J506" i="1"/>
  <c r="J463" i="1"/>
  <c r="J405" i="1"/>
  <c r="J362" i="1"/>
  <c r="J319" i="1"/>
  <c r="J273" i="1"/>
  <c r="J241" i="1"/>
  <c r="J158" i="1"/>
  <c r="J122" i="1"/>
  <c r="J86" i="1"/>
  <c r="J50" i="1"/>
  <c r="J204" i="1"/>
  <c r="J180" i="1"/>
  <c r="J156" i="1"/>
  <c r="J132" i="1"/>
  <c r="J108" i="1"/>
  <c r="J84" i="1"/>
  <c r="J60" i="1"/>
  <c r="J36" i="1"/>
  <c r="L988" i="1"/>
  <c r="L907" i="1"/>
  <c r="L763" i="1"/>
  <c r="L643" i="1"/>
  <c r="L530" i="1"/>
  <c r="L346" i="1"/>
  <c r="L899" i="1"/>
  <c r="L779" i="1"/>
  <c r="L659" i="1"/>
  <c r="L554" i="1"/>
  <c r="L405" i="1"/>
  <c r="L1030" i="1"/>
  <c r="L1001" i="1"/>
  <c r="L972" i="1"/>
  <c r="L943" i="1"/>
  <c r="L906" i="1"/>
  <c r="L810" i="1"/>
  <c r="L714" i="1"/>
  <c r="L618" i="1"/>
  <c r="L518" i="1"/>
  <c r="L460" i="1"/>
  <c r="L415" i="1"/>
  <c r="L367" i="1"/>
  <c r="L314" i="1"/>
  <c r="L170" i="1"/>
  <c r="L995" i="1"/>
  <c r="L916" i="1"/>
  <c r="L772" i="1"/>
  <c r="L652" i="1"/>
  <c r="L547" i="1"/>
  <c r="L82" i="1"/>
  <c r="L803" i="1"/>
  <c r="L650" i="1"/>
  <c r="L499" i="1"/>
  <c r="L316" i="1"/>
  <c r="L921" i="1"/>
  <c r="L874" i="1"/>
  <c r="L826" i="1"/>
  <c r="L778" i="1"/>
  <c r="L730" i="1"/>
  <c r="L682" i="1"/>
  <c r="L634" i="1"/>
  <c r="L586" i="1"/>
  <c r="L537" i="1"/>
  <c r="L479" i="1"/>
  <c r="L427" i="1"/>
  <c r="L379" i="1"/>
  <c r="L329" i="1"/>
  <c r="L944" i="1"/>
  <c r="L787" i="1"/>
  <c r="L510" i="1"/>
  <c r="L890" i="1"/>
  <c r="L698" i="1"/>
  <c r="L527" i="1"/>
  <c r="L1014" i="1"/>
  <c r="L985" i="1"/>
  <c r="L956" i="1"/>
  <c r="L928" i="1"/>
  <c r="L881" i="1"/>
  <c r="L833" i="1"/>
  <c r="L785" i="1"/>
  <c r="L737" i="1"/>
  <c r="L689" i="1"/>
  <c r="L641" i="1"/>
  <c r="L593" i="1"/>
  <c r="L545" i="1"/>
  <c r="L488" i="1"/>
  <c r="L447" i="1"/>
  <c r="L389" i="1"/>
  <c r="L327" i="1"/>
  <c r="L210" i="1"/>
  <c r="L298" i="1"/>
  <c r="L912" i="1"/>
  <c r="L816" i="1"/>
  <c r="L720" i="1"/>
  <c r="L624" i="1"/>
  <c r="L534" i="1"/>
  <c r="L467" i="1"/>
  <c r="L425" i="1"/>
  <c r="L340" i="1"/>
  <c r="L209" i="1"/>
  <c r="L226" i="1"/>
  <c r="L1006" i="1"/>
  <c r="L977" i="1"/>
  <c r="L948" i="1"/>
  <c r="L919" i="1"/>
  <c r="L871" i="1"/>
  <c r="L823" i="1"/>
  <c r="L775" i="1"/>
  <c r="L727" i="1"/>
  <c r="L679" i="1"/>
  <c r="L631" i="1"/>
  <c r="L583" i="1"/>
  <c r="L533" i="1"/>
  <c r="L476" i="1"/>
  <c r="L388" i="1"/>
  <c r="L339" i="1"/>
  <c r="L250" i="1"/>
  <c r="L58" i="1"/>
  <c r="L911" i="1"/>
  <c r="L863" i="1"/>
  <c r="L815" i="1"/>
  <c r="L767" i="1"/>
  <c r="L719" i="1"/>
  <c r="L671" i="1"/>
  <c r="L623" i="1"/>
  <c r="L575" i="1"/>
  <c r="L524" i="1"/>
  <c r="L484" i="1"/>
  <c r="L422" i="1"/>
  <c r="L374" i="1"/>
  <c r="L324" i="1"/>
  <c r="L1019" i="1"/>
  <c r="L990" i="1"/>
  <c r="L961" i="1"/>
  <c r="L932" i="1"/>
  <c r="L870" i="1"/>
  <c r="L774" i="1"/>
  <c r="L678" i="1"/>
  <c r="L582" i="1"/>
  <c r="L475" i="1"/>
  <c r="L410" i="1"/>
  <c r="L282" i="1"/>
  <c r="L98" i="1"/>
  <c r="L939" i="1"/>
  <c r="L877" i="1"/>
  <c r="L829" i="1"/>
  <c r="L781" i="1"/>
  <c r="L733" i="1"/>
  <c r="L685" i="1"/>
  <c r="L637" i="1"/>
  <c r="L589" i="1"/>
  <c r="L541" i="1"/>
  <c r="L483" i="1"/>
  <c r="L421" i="1"/>
  <c r="L322" i="1"/>
  <c r="L1025" i="1"/>
  <c r="L996" i="1"/>
  <c r="L967" i="1"/>
  <c r="L938" i="1"/>
  <c r="L908" i="1"/>
  <c r="L860" i="1"/>
  <c r="L812" i="1"/>
  <c r="L764" i="1"/>
  <c r="L716" i="1"/>
  <c r="L668" i="1"/>
  <c r="L620" i="1"/>
  <c r="L572" i="1"/>
  <c r="L531" i="1"/>
  <c r="L473" i="1"/>
  <c r="L396" i="1"/>
  <c r="L301" i="1"/>
  <c r="L138" i="1"/>
  <c r="L981" i="1"/>
  <c r="L852" i="1"/>
  <c r="L756" i="1"/>
  <c r="L660" i="1"/>
  <c r="L564" i="1"/>
  <c r="L462" i="1"/>
  <c r="L406" i="1"/>
  <c r="L318" i="1"/>
  <c r="L185" i="1"/>
  <c r="L522" i="1"/>
  <c r="L433" i="1"/>
  <c r="L385" i="1"/>
  <c r="L337" i="1"/>
  <c r="L289" i="1"/>
  <c r="L241" i="1"/>
  <c r="L193" i="1"/>
  <c r="L145" i="1"/>
  <c r="L97" i="1"/>
  <c r="L48" i="1"/>
  <c r="L897" i="1"/>
  <c r="L873" i="1"/>
  <c r="L849" i="1"/>
  <c r="L825" i="1"/>
  <c r="L801" i="1"/>
  <c r="L777" i="1"/>
  <c r="L753" i="1"/>
  <c r="L729" i="1"/>
  <c r="L705" i="1"/>
  <c r="L681" i="1"/>
  <c r="L657" i="1"/>
  <c r="L633" i="1"/>
  <c r="L609" i="1"/>
  <c r="L585" i="1"/>
  <c r="L561" i="1"/>
  <c r="L536" i="1"/>
  <c r="L507" i="1"/>
  <c r="L478" i="1"/>
  <c r="L448" i="1"/>
  <c r="L416" i="1"/>
  <c r="L384" i="1"/>
  <c r="L352" i="1"/>
  <c r="L320" i="1"/>
  <c r="L288" i="1"/>
  <c r="L256" i="1"/>
  <c r="L224" i="1"/>
  <c r="L192" i="1"/>
  <c r="L160" i="1"/>
  <c r="L128" i="1"/>
  <c r="L96" i="1"/>
  <c r="L64" i="1"/>
  <c r="L528" i="1"/>
  <c r="L407" i="1"/>
  <c r="L311" i="1"/>
  <c r="L215" i="1"/>
  <c r="L119" i="1"/>
  <c r="L303" i="1"/>
  <c r="L255" i="1"/>
  <c r="L207" i="1"/>
  <c r="L159" i="1"/>
  <c r="L111" i="1"/>
  <c r="L63" i="1"/>
  <c r="L262" i="1"/>
  <c r="L230" i="1"/>
  <c r="L198" i="1"/>
  <c r="L166" i="1"/>
  <c r="L134" i="1"/>
  <c r="L102" i="1"/>
  <c r="L70" i="1"/>
  <c r="L341" i="1"/>
  <c r="L245" i="1"/>
  <c r="L149" i="1"/>
  <c r="L53" i="1"/>
  <c r="L261" i="1"/>
  <c r="L213" i="1"/>
  <c r="L165" i="1"/>
  <c r="L117" i="1"/>
  <c r="L69" i="1"/>
  <c r="L276" i="1"/>
  <c r="L244" i="1"/>
  <c r="L212" i="1"/>
  <c r="L180" i="1"/>
  <c r="L148" i="1"/>
  <c r="L116" i="1"/>
  <c r="L84" i="1"/>
  <c r="L52" i="1"/>
  <c r="L395" i="1"/>
  <c r="L299" i="1"/>
  <c r="L203" i="1"/>
  <c r="L107" i="1"/>
  <c r="L315" i="1"/>
  <c r="L267" i="1"/>
  <c r="L219" i="1"/>
  <c r="L171" i="1"/>
  <c r="L123" i="1"/>
  <c r="L75" i="1"/>
  <c r="L32" i="1"/>
  <c r="L33" i="1"/>
  <c r="N914" i="1"/>
  <c r="N738" i="1"/>
  <c r="N238" i="1"/>
  <c r="N953" i="1"/>
  <c r="N785" i="1"/>
  <c r="N525" i="1"/>
  <c r="N100" i="1"/>
  <c r="N830" i="1"/>
  <c r="N602" i="1"/>
  <c r="N283" i="1"/>
  <c r="N968" i="1"/>
  <c r="N778" i="1"/>
  <c r="N645" i="1"/>
  <c r="N229" i="1"/>
  <c r="N977" i="1"/>
  <c r="N788" i="1"/>
  <c r="N581" i="1"/>
  <c r="N362" i="1"/>
  <c r="N987" i="1"/>
  <c r="N799" i="1"/>
  <c r="N560" i="1"/>
  <c r="N154" i="1"/>
  <c r="N884" i="1"/>
  <c r="N728" i="1"/>
  <c r="N506" i="1"/>
  <c r="N923" i="1"/>
  <c r="N751" i="1"/>
  <c r="N383" i="1"/>
  <c r="N1005" i="1"/>
  <c r="N797" i="1"/>
  <c r="N664" i="1"/>
  <c r="N382" i="1"/>
  <c r="N983" i="1"/>
  <c r="N818" i="1"/>
  <c r="N434" i="1"/>
  <c r="N998" i="1"/>
  <c r="N811" i="1"/>
  <c r="N122" i="1"/>
  <c r="N956" i="1"/>
  <c r="N787" i="1"/>
  <c r="N618" i="1"/>
  <c r="N644" i="1"/>
  <c r="N454" i="1"/>
  <c r="N326" i="1"/>
  <c r="N207" i="1"/>
  <c r="N993" i="1"/>
  <c r="N869" i="1"/>
  <c r="N794" i="1"/>
  <c r="N699" i="1"/>
  <c r="N612" i="1"/>
  <c r="N519" i="1"/>
  <c r="N425" i="1"/>
  <c r="N252" i="1"/>
  <c r="N971" i="1"/>
  <c r="N890" i="1"/>
  <c r="N746" i="1"/>
  <c r="N656" i="1"/>
  <c r="N518" i="1"/>
  <c r="N297" i="1"/>
  <c r="N79" i="1"/>
  <c r="N981" i="1"/>
  <c r="N857" i="1"/>
  <c r="N814" i="1"/>
  <c r="N771" i="1"/>
  <c r="N695" i="1"/>
  <c r="N576" i="1"/>
  <c r="N424" i="1"/>
  <c r="N296" i="1"/>
  <c r="N166" i="1"/>
  <c r="N959" i="1"/>
  <c r="N878" i="1"/>
  <c r="N768" i="1"/>
  <c r="N707" i="1"/>
  <c r="N492" i="1"/>
  <c r="N319" i="1"/>
  <c r="N165" i="1"/>
  <c r="N468" i="1"/>
  <c r="N836" i="1"/>
  <c r="N681" i="1"/>
  <c r="N243" i="1"/>
  <c r="N103" i="1"/>
  <c r="N908" i="1"/>
  <c r="N779" i="1"/>
  <c r="N570" i="1"/>
  <c r="N43" i="1"/>
  <c r="N947" i="1"/>
  <c r="N866" i="1"/>
  <c r="N717" i="1"/>
  <c r="N652" i="1"/>
  <c r="N488" i="1"/>
  <c r="N367" i="1"/>
  <c r="N240" i="1"/>
  <c r="N76" i="1"/>
  <c r="N153" i="1"/>
  <c r="N48" i="1"/>
  <c r="N1000" i="1"/>
  <c r="N970" i="1"/>
  <c r="N940" i="1"/>
  <c r="N904" i="1"/>
  <c r="N874" i="1"/>
  <c r="N844" i="1"/>
  <c r="N786" i="1"/>
  <c r="N745" i="1"/>
  <c r="N687" i="1"/>
  <c r="N578" i="1"/>
  <c r="N439" i="1"/>
  <c r="N282" i="1"/>
  <c r="N123" i="1"/>
  <c r="N803" i="1"/>
  <c r="N607" i="1"/>
  <c r="N420" i="1"/>
  <c r="N261" i="1"/>
  <c r="N102" i="1"/>
  <c r="N1003" i="1"/>
  <c r="N955" i="1"/>
  <c r="N907" i="1"/>
  <c r="N859" i="1"/>
  <c r="N796" i="1"/>
  <c r="N727" i="1"/>
  <c r="N650" i="1"/>
  <c r="N563" i="1"/>
  <c r="N418" i="1"/>
  <c r="N245" i="1"/>
  <c r="N87" i="1"/>
  <c r="N776" i="1"/>
  <c r="N540" i="1"/>
  <c r="N274" i="1"/>
  <c r="N1020" i="1"/>
  <c r="N972" i="1"/>
  <c r="N924" i="1"/>
  <c r="N876" i="1"/>
  <c r="N821" i="1"/>
  <c r="N740" i="1"/>
  <c r="N682" i="1"/>
  <c r="N571" i="1"/>
  <c r="N389" i="1"/>
  <c r="N244" i="1"/>
  <c r="N53" i="1"/>
  <c r="N590" i="1"/>
  <c r="N453" i="1"/>
  <c r="N678" i="1"/>
  <c r="N582" i="1"/>
  <c r="N462" i="1"/>
  <c r="N376" i="1"/>
  <c r="N289" i="1"/>
  <c r="N203" i="1"/>
  <c r="N116" i="1"/>
  <c r="N659" i="1"/>
  <c r="N512" i="1"/>
  <c r="N610" i="1"/>
  <c r="N562" i="1"/>
  <c r="N509" i="1"/>
  <c r="N451" i="1"/>
  <c r="N394" i="1"/>
  <c r="N278" i="1"/>
  <c r="N163" i="1"/>
  <c r="N429" i="1"/>
  <c r="N591" i="1"/>
  <c r="N486" i="1"/>
  <c r="N371" i="1"/>
  <c r="N256" i="1"/>
  <c r="N140" i="1"/>
  <c r="N363" i="1"/>
  <c r="N80" i="1"/>
  <c r="P904" i="1"/>
  <c r="P193" i="1"/>
  <c r="P850" i="1"/>
  <c r="P912" i="1"/>
  <c r="P266" i="1"/>
  <c r="P719" i="1"/>
  <c r="P888" i="1"/>
  <c r="P348" i="1"/>
  <c r="P818" i="1"/>
  <c r="P1021" i="1"/>
  <c r="P617" i="1"/>
  <c r="P842" i="1"/>
  <c r="P474" i="1"/>
  <c r="P921" i="1"/>
  <c r="P385" i="1"/>
  <c r="P854" i="1"/>
  <c r="P207" i="1"/>
  <c r="P713" i="1"/>
  <c r="P945" i="1"/>
  <c r="P404" i="1"/>
  <c r="P97" i="1"/>
  <c r="P823" i="1"/>
  <c r="P577" i="1"/>
  <c r="P294" i="1"/>
  <c r="P980" i="1"/>
  <c r="P710" i="1"/>
  <c r="P317" i="1"/>
  <c r="P994" i="1"/>
  <c r="P717" i="1"/>
  <c r="P415" i="1"/>
  <c r="P1001" i="1"/>
  <c r="P755" i="1"/>
  <c r="P464" i="1"/>
  <c r="P977" i="1"/>
  <c r="P763" i="1"/>
  <c r="P325" i="1"/>
  <c r="P209" i="1"/>
  <c r="P937" i="1"/>
  <c r="F645" i="1"/>
  <c r="F621" i="1"/>
  <c r="F597" i="1"/>
  <c r="F573" i="1"/>
  <c r="F549" i="1"/>
  <c r="F510" i="1"/>
  <c r="F458" i="1"/>
  <c r="F536" i="1"/>
  <c r="F490" i="1"/>
  <c r="F443" i="1"/>
  <c r="F414" i="1"/>
  <c r="F386" i="1"/>
  <c r="F357" i="1"/>
  <c r="F328" i="1"/>
  <c r="F299" i="1"/>
  <c r="F270" i="1"/>
  <c r="F242" i="1"/>
  <c r="F213" i="1"/>
  <c r="F184" i="1"/>
  <c r="F155" i="1"/>
  <c r="F126" i="1"/>
  <c r="F88" i="1"/>
  <c r="F40" i="1"/>
  <c r="F680" i="1"/>
  <c r="F656" i="1"/>
  <c r="F632" i="1"/>
  <c r="F608" i="1"/>
  <c r="F584" i="1"/>
  <c r="F560" i="1"/>
  <c r="F529" i="1"/>
  <c r="F483" i="1"/>
  <c r="F71" i="1"/>
  <c r="F515" i="1"/>
  <c r="F463" i="1"/>
  <c r="F435" i="1"/>
  <c r="F406" i="1"/>
  <c r="F377" i="1"/>
  <c r="F348" i="1"/>
  <c r="F320" i="1"/>
  <c r="F291" i="1"/>
  <c r="F262" i="1"/>
  <c r="F233" i="1"/>
  <c r="F204" i="1"/>
  <c r="F176" i="1"/>
  <c r="F147" i="1"/>
  <c r="F118" i="1"/>
  <c r="F38" i="1"/>
  <c r="F98" i="1"/>
  <c r="F50" i="1"/>
  <c r="F439" i="1"/>
  <c r="F415" i="1"/>
  <c r="F391" i="1"/>
  <c r="F367" i="1"/>
  <c r="F343" i="1"/>
  <c r="F319" i="1"/>
  <c r="F295" i="1"/>
  <c r="F271" i="1"/>
  <c r="F247" i="1"/>
  <c r="F223" i="1"/>
  <c r="F199" i="1"/>
  <c r="F175" i="1"/>
  <c r="F151" i="1"/>
  <c r="F127" i="1"/>
  <c r="F103" i="1"/>
  <c r="F79" i="1"/>
  <c r="F55" i="1"/>
  <c r="F36" i="1"/>
  <c r="F99" i="1"/>
  <c r="F75" i="1"/>
  <c r="F51" i="1"/>
  <c r="H31" i="1"/>
  <c r="H944" i="1"/>
  <c r="H584" i="1"/>
  <c r="H1011" i="1"/>
  <c r="H1022" i="1"/>
  <c r="H927" i="1"/>
  <c r="H791" i="1"/>
  <c r="H770" i="1"/>
  <c r="H956" i="1"/>
  <c r="H682" i="1"/>
  <c r="H999" i="1"/>
  <c r="H1021" i="1"/>
  <c r="H926" i="1"/>
  <c r="H784" i="1"/>
  <c r="H968" i="1"/>
  <c r="H664" i="1"/>
  <c r="H1005" i="1"/>
  <c r="H925" i="1"/>
  <c r="H730" i="1"/>
  <c r="H901" i="1"/>
  <c r="H509" i="1"/>
  <c r="H920" i="1"/>
  <c r="H1003" i="1"/>
  <c r="H894" i="1"/>
  <c r="H762" i="1"/>
  <c r="H863" i="1"/>
  <c r="H602" i="1"/>
  <c r="H352" i="1"/>
  <c r="H1019" i="1"/>
  <c r="H995" i="1"/>
  <c r="H971" i="1"/>
  <c r="H947" i="1"/>
  <c r="H923" i="1"/>
  <c r="H877" i="1"/>
  <c r="H747" i="1"/>
  <c r="H659" i="1"/>
  <c r="H624" i="1"/>
  <c r="H490" i="1"/>
  <c r="H155" i="1"/>
  <c r="H529" i="1"/>
  <c r="H898" i="1"/>
  <c r="H869" i="1"/>
  <c r="H840" i="1"/>
  <c r="H812" i="1"/>
  <c r="H783" i="1"/>
  <c r="H754" i="1"/>
  <c r="H711" i="1"/>
  <c r="H611" i="1"/>
  <c r="H500" i="1"/>
  <c r="H382" i="1"/>
  <c r="H149" i="1"/>
  <c r="H578" i="1"/>
  <c r="H1030" i="1"/>
  <c r="H1006" i="1"/>
  <c r="H982" i="1"/>
  <c r="H958" i="1"/>
  <c r="H934" i="1"/>
  <c r="H910" i="1"/>
  <c r="H811" i="1"/>
  <c r="H702" i="1"/>
  <c r="H668" i="1"/>
  <c r="H623" i="1"/>
  <c r="H575" i="1"/>
  <c r="H452" i="1"/>
  <c r="H328" i="1"/>
  <c r="H65" i="1"/>
  <c r="H875" i="1"/>
  <c r="H846" i="1"/>
  <c r="H818" i="1"/>
  <c r="H789" i="1"/>
  <c r="H760" i="1"/>
  <c r="H728" i="1"/>
  <c r="H537" i="1"/>
  <c r="H469" i="1"/>
  <c r="H921" i="1"/>
  <c r="H889" i="1"/>
  <c r="H701" i="1"/>
  <c r="H657" i="1"/>
  <c r="H622" i="1"/>
  <c r="H574" i="1"/>
  <c r="H498" i="1"/>
  <c r="H343" i="1"/>
  <c r="H64" i="1"/>
  <c r="H874" i="1"/>
  <c r="H845" i="1"/>
  <c r="H816" i="1"/>
  <c r="H788" i="1"/>
  <c r="H759" i="1"/>
  <c r="H727" i="1"/>
  <c r="H648" i="1"/>
  <c r="H572" i="1"/>
  <c r="H496" i="1"/>
  <c r="H359" i="1"/>
  <c r="H124" i="1"/>
  <c r="H377" i="1"/>
  <c r="H202" i="1"/>
  <c r="H808" i="1"/>
  <c r="H779" i="1"/>
  <c r="H742" i="1"/>
  <c r="H698" i="1"/>
  <c r="H569" i="1"/>
  <c r="H493" i="1"/>
  <c r="H391" i="1"/>
  <c r="H226" i="1"/>
  <c r="H985" i="1"/>
  <c r="H961" i="1"/>
  <c r="H937" i="1"/>
  <c r="H907" i="1"/>
  <c r="H757" i="1"/>
  <c r="H681" i="1"/>
  <c r="H645" i="1"/>
  <c r="H263" i="1"/>
  <c r="H900" i="1"/>
  <c r="H872" i="1"/>
  <c r="H843" i="1"/>
  <c r="H814" i="1"/>
  <c r="H785" i="1"/>
  <c r="H756" i="1"/>
  <c r="H715" i="1"/>
  <c r="H636" i="1"/>
  <c r="H544" i="1"/>
  <c r="H425" i="1"/>
  <c r="H281" i="1"/>
  <c r="H1026" i="1"/>
  <c r="H1002" i="1"/>
  <c r="H978" i="1"/>
  <c r="H954" i="1"/>
  <c r="H930" i="1"/>
  <c r="H906" i="1"/>
  <c r="H763" i="1"/>
  <c r="H688" i="1"/>
  <c r="H652" i="1"/>
  <c r="H239" i="1"/>
  <c r="H726" i="1"/>
  <c r="H674" i="1"/>
  <c r="H628" i="1"/>
  <c r="H581" i="1"/>
  <c r="H532" i="1"/>
  <c r="H445" i="1"/>
  <c r="H301" i="1"/>
  <c r="H167" i="1"/>
  <c r="H739" i="1"/>
  <c r="H693" i="1"/>
  <c r="H647" i="1"/>
  <c r="H573" i="1"/>
  <c r="H457" i="1"/>
  <c r="H325" i="1"/>
  <c r="H179" i="1"/>
  <c r="H738" i="1"/>
  <c r="H686" i="1"/>
  <c r="H640" i="1"/>
  <c r="H556" i="1"/>
  <c r="H513" i="1"/>
  <c r="H454" i="1"/>
  <c r="H335" i="1"/>
  <c r="H191" i="1"/>
  <c r="H626" i="1"/>
  <c r="H538" i="1"/>
  <c r="H442" i="1"/>
  <c r="H298" i="1"/>
  <c r="H82" i="1"/>
  <c r="H607" i="1"/>
  <c r="H583" i="1"/>
  <c r="H559" i="1"/>
  <c r="H534" i="1"/>
  <c r="H488" i="1"/>
  <c r="H439" i="1"/>
  <c r="H403" i="1"/>
  <c r="H367" i="1"/>
  <c r="H331" i="1"/>
  <c r="H295" i="1"/>
  <c r="H184" i="1"/>
  <c r="H40" i="1"/>
  <c r="H501" i="1"/>
  <c r="H214" i="1"/>
  <c r="H70" i="1"/>
  <c r="H606" i="1"/>
  <c r="H582" i="1"/>
  <c r="H558" i="1"/>
  <c r="H520" i="1"/>
  <c r="H463" i="1"/>
  <c r="H383" i="1"/>
  <c r="H311" i="1"/>
  <c r="H172" i="1"/>
  <c r="H277" i="1"/>
  <c r="H253" i="1"/>
  <c r="H229" i="1"/>
  <c r="H205" i="1"/>
  <c r="H181" i="1"/>
  <c r="H157" i="1"/>
  <c r="H133" i="1"/>
  <c r="H109" i="1"/>
  <c r="H85" i="1"/>
  <c r="H61" i="1"/>
  <c r="H37" i="1"/>
  <c r="H468" i="1"/>
  <c r="H444" i="1"/>
  <c r="H420" i="1"/>
  <c r="H396" i="1"/>
  <c r="H372" i="1"/>
  <c r="H348" i="1"/>
  <c r="H324" i="1"/>
  <c r="H300" i="1"/>
  <c r="H276" i="1"/>
  <c r="H252" i="1"/>
  <c r="H228" i="1"/>
  <c r="H204" i="1"/>
  <c r="H180" i="1"/>
  <c r="H156" i="1"/>
  <c r="H132" i="1"/>
  <c r="H108" i="1"/>
  <c r="H84" i="1"/>
  <c r="H60" i="1"/>
  <c r="H36" i="1"/>
  <c r="H471" i="1"/>
  <c r="H447" i="1"/>
  <c r="H423" i="1"/>
  <c r="H399" i="1"/>
  <c r="H375" i="1"/>
  <c r="H351" i="1"/>
  <c r="H327" i="1"/>
  <c r="H303" i="1"/>
  <c r="H279" i="1"/>
  <c r="H255" i="1"/>
  <c r="H231" i="1"/>
  <c r="H207" i="1"/>
  <c r="H183" i="1"/>
  <c r="H159" i="1"/>
  <c r="H135" i="1"/>
  <c r="H111" i="1"/>
  <c r="H87" i="1"/>
  <c r="H63" i="1"/>
  <c r="H39" i="1"/>
  <c r="H434" i="1"/>
  <c r="H410" i="1"/>
  <c r="H386" i="1"/>
  <c r="H362" i="1"/>
  <c r="H338" i="1"/>
  <c r="H314" i="1"/>
  <c r="H290" i="1"/>
  <c r="H266" i="1"/>
  <c r="H242" i="1"/>
  <c r="H218" i="1"/>
  <c r="H194" i="1"/>
  <c r="H170" i="1"/>
  <c r="H146" i="1"/>
  <c r="H122" i="1"/>
  <c r="H98" i="1"/>
  <c r="H74" i="1"/>
  <c r="H50" i="1"/>
  <c r="J31" i="1"/>
  <c r="J994" i="1"/>
  <c r="J977" i="1"/>
  <c r="J1016" i="1"/>
  <c r="J957" i="1"/>
  <c r="J933" i="1"/>
  <c r="J984" i="1"/>
  <c r="J1015" i="1"/>
  <c r="J1022" i="1"/>
  <c r="J970" i="1"/>
  <c r="J990" i="1"/>
  <c r="J845" i="1"/>
  <c r="J997" i="1"/>
  <c r="J1028" i="1"/>
  <c r="J979" i="1"/>
  <c r="J996" i="1"/>
  <c r="J1027" i="1"/>
  <c r="J809" i="1"/>
  <c r="J682" i="1"/>
  <c r="J426" i="1"/>
  <c r="J272" i="1"/>
  <c r="J962" i="1"/>
  <c r="J915" i="1"/>
  <c r="J841" i="1"/>
  <c r="J769" i="1"/>
  <c r="J660" i="1"/>
  <c r="J586" i="1"/>
  <c r="J519" i="1"/>
  <c r="J386" i="1"/>
  <c r="J145" i="1"/>
  <c r="J672" i="1"/>
  <c r="J1017" i="1"/>
  <c r="J993" i="1"/>
  <c r="J955" i="1"/>
  <c r="J883" i="1"/>
  <c r="J839" i="1"/>
  <c r="J803" i="1"/>
  <c r="J767" i="1"/>
  <c r="J709" i="1"/>
  <c r="J461" i="1"/>
  <c r="J322" i="1"/>
  <c r="J194" i="1"/>
  <c r="J751" i="1"/>
  <c r="J574" i="1"/>
  <c r="J974" i="1"/>
  <c r="J921" i="1"/>
  <c r="J881" i="1"/>
  <c r="J728" i="1"/>
  <c r="J668" i="1"/>
  <c r="J552" i="1"/>
  <c r="J419" i="1"/>
  <c r="J270" i="1"/>
  <c r="J980" i="1"/>
  <c r="J897" i="1"/>
  <c r="J820" i="1"/>
  <c r="J738" i="1"/>
  <c r="J658" i="1"/>
  <c r="J596" i="1"/>
  <c r="J476" i="1"/>
  <c r="J340" i="1"/>
  <c r="J953" i="1"/>
  <c r="J913" i="1"/>
  <c r="J865" i="1"/>
  <c r="J793" i="1"/>
  <c r="J727" i="1"/>
  <c r="J667" i="1"/>
  <c r="J533" i="1"/>
  <c r="J400" i="1"/>
  <c r="J239" i="1"/>
  <c r="J801" i="1"/>
  <c r="J765" i="1"/>
  <c r="J696" i="1"/>
  <c r="J581" i="1"/>
  <c r="J417" i="1"/>
  <c r="J965" i="1"/>
  <c r="J919" i="1"/>
  <c r="J726" i="1"/>
  <c r="J666" i="1"/>
  <c r="J607" i="1"/>
  <c r="J530" i="1"/>
  <c r="J395" i="1"/>
  <c r="J311" i="1"/>
  <c r="J171" i="1"/>
  <c r="J945" i="1"/>
  <c r="J886" i="1"/>
  <c r="J826" i="1"/>
  <c r="J754" i="1"/>
  <c r="J665" i="1"/>
  <c r="J472" i="1"/>
  <c r="J260" i="1"/>
  <c r="J951" i="1"/>
  <c r="J902" i="1"/>
  <c r="J853" i="1"/>
  <c r="J781" i="1"/>
  <c r="J705" i="1"/>
  <c r="J631" i="1"/>
  <c r="J430" i="1"/>
  <c r="J352" i="1"/>
  <c r="J256" i="1"/>
  <c r="J909" i="1"/>
  <c r="J843" i="1"/>
  <c r="J807" i="1"/>
  <c r="J771" i="1"/>
  <c r="J733" i="1"/>
  <c r="J630" i="1"/>
  <c r="J559" i="1"/>
  <c r="J467" i="1"/>
  <c r="J303" i="1"/>
  <c r="J976" i="1"/>
  <c r="J923" i="1"/>
  <c r="J877" i="1"/>
  <c r="J702" i="1"/>
  <c r="J640" i="1"/>
  <c r="J504" i="1"/>
  <c r="J371" i="1"/>
  <c r="J346" i="1"/>
  <c r="J308" i="1"/>
  <c r="J267" i="1"/>
  <c r="J223" i="1"/>
  <c r="J177" i="1"/>
  <c r="J85" i="1"/>
  <c r="J724" i="1"/>
  <c r="J678" i="1"/>
  <c r="J649" i="1"/>
  <c r="J620" i="1"/>
  <c r="J592" i="1"/>
  <c r="J546" i="1"/>
  <c r="J509" i="1"/>
  <c r="J412" i="1"/>
  <c r="J374" i="1"/>
  <c r="J336" i="1"/>
  <c r="J254" i="1"/>
  <c r="J176" i="1"/>
  <c r="J124" i="1"/>
  <c r="J70" i="1"/>
  <c r="J972" i="1"/>
  <c r="J948" i="1"/>
  <c r="J924" i="1"/>
  <c r="J900" i="1"/>
  <c r="J876" i="1"/>
  <c r="J852" i="1"/>
  <c r="J828" i="1"/>
  <c r="J804" i="1"/>
  <c r="J780" i="1"/>
  <c r="J756" i="1"/>
  <c r="J710" i="1"/>
  <c r="J553" i="1"/>
  <c r="J451" i="1"/>
  <c r="J411" i="1"/>
  <c r="J316" i="1"/>
  <c r="J232" i="1"/>
  <c r="J81" i="1"/>
  <c r="J723" i="1"/>
  <c r="J677" i="1"/>
  <c r="J648" i="1"/>
  <c r="J619" i="1"/>
  <c r="J590" i="1"/>
  <c r="J545" i="1"/>
  <c r="J497" i="1"/>
  <c r="J459" i="1"/>
  <c r="J364" i="1"/>
  <c r="J324" i="1"/>
  <c r="J285" i="1"/>
  <c r="J243" i="1"/>
  <c r="J197" i="1"/>
  <c r="J107" i="1"/>
  <c r="J172" i="1"/>
  <c r="J67" i="1"/>
  <c r="J106" i="1"/>
  <c r="J52" i="1"/>
  <c r="J63" i="1"/>
  <c r="J116" i="1"/>
  <c r="J565" i="1"/>
  <c r="J523" i="1"/>
  <c r="J483" i="1"/>
  <c r="J388" i="1"/>
  <c r="J350" i="1"/>
  <c r="J292" i="1"/>
  <c r="J169" i="1"/>
  <c r="J76" i="1"/>
  <c r="J594" i="1"/>
  <c r="J557" i="1"/>
  <c r="J454" i="1"/>
  <c r="J416" i="1"/>
  <c r="J378" i="1"/>
  <c r="J279" i="1"/>
  <c r="J237" i="1"/>
  <c r="J179" i="1"/>
  <c r="J115" i="1"/>
  <c r="J61" i="1"/>
  <c r="J854" i="1"/>
  <c r="J830" i="1"/>
  <c r="J806" i="1"/>
  <c r="J782" i="1"/>
  <c r="J758" i="1"/>
  <c r="J706" i="1"/>
  <c r="J520" i="1"/>
  <c r="J482" i="1"/>
  <c r="J444" i="1"/>
  <c r="J347" i="1"/>
  <c r="J309" i="1"/>
  <c r="J246" i="1"/>
  <c r="J190" i="1"/>
  <c r="J99" i="1"/>
  <c r="J675" i="1"/>
  <c r="J651" i="1"/>
  <c r="J627" i="1"/>
  <c r="J603" i="1"/>
  <c r="J579" i="1"/>
  <c r="J555" i="1"/>
  <c r="J529" i="1"/>
  <c r="J471" i="1"/>
  <c r="J428" i="1"/>
  <c r="J385" i="1"/>
  <c r="J327" i="1"/>
  <c r="J282" i="1"/>
  <c r="J234" i="1"/>
  <c r="J165" i="1"/>
  <c r="J93" i="1"/>
  <c r="J528" i="1"/>
  <c r="J485" i="1"/>
  <c r="J442" i="1"/>
  <c r="J384" i="1"/>
  <c r="J341" i="1"/>
  <c r="J298" i="1"/>
  <c r="J209" i="1"/>
  <c r="J173" i="1"/>
  <c r="J137" i="1"/>
  <c r="J101" i="1"/>
  <c r="J65" i="1"/>
  <c r="J566" i="1"/>
  <c r="J542" i="1"/>
  <c r="J499" i="1"/>
  <c r="J441" i="1"/>
  <c r="J398" i="1"/>
  <c r="J355" i="1"/>
  <c r="J297" i="1"/>
  <c r="J265" i="1"/>
  <c r="J233" i="1"/>
  <c r="J149" i="1"/>
  <c r="J113" i="1"/>
  <c r="J77" i="1"/>
  <c r="J41" i="1"/>
  <c r="J198" i="1"/>
  <c r="J174" i="1"/>
  <c r="J150" i="1"/>
  <c r="J126" i="1"/>
  <c r="J102" i="1"/>
  <c r="J78" i="1"/>
  <c r="J54" i="1"/>
  <c r="L31" i="1"/>
  <c r="L966" i="1"/>
  <c r="L883" i="1"/>
  <c r="L739" i="1"/>
  <c r="L619" i="1"/>
  <c r="L490" i="1"/>
  <c r="L130" i="1"/>
  <c r="L866" i="1"/>
  <c r="L746" i="1"/>
  <c r="L635" i="1"/>
  <c r="L509" i="1"/>
  <c r="L381" i="1"/>
  <c r="L1022" i="1"/>
  <c r="L994" i="1"/>
  <c r="L965" i="1"/>
  <c r="L936" i="1"/>
  <c r="L882" i="1"/>
  <c r="L786" i="1"/>
  <c r="L690" i="1"/>
  <c r="L594" i="1"/>
  <c r="L498" i="1"/>
  <c r="L450" i="1"/>
  <c r="L404" i="1"/>
  <c r="L356" i="1"/>
  <c r="L294" i="1"/>
  <c r="L122" i="1"/>
  <c r="L980" i="1"/>
  <c r="L868" i="1"/>
  <c r="L748" i="1"/>
  <c r="L628" i="1"/>
  <c r="L501" i="1"/>
  <c r="L1023" i="1"/>
  <c r="L755" i="1"/>
  <c r="L626" i="1"/>
  <c r="L451" i="1"/>
  <c r="L1029" i="1"/>
  <c r="L913" i="1"/>
  <c r="L865" i="1"/>
  <c r="L817" i="1"/>
  <c r="L769" i="1"/>
  <c r="L721" i="1"/>
  <c r="L673" i="1"/>
  <c r="L625" i="1"/>
  <c r="L577" i="1"/>
  <c r="L526" i="1"/>
  <c r="L469" i="1"/>
  <c r="L414" i="1"/>
  <c r="L366" i="1"/>
  <c r="L1024" i="1"/>
  <c r="L923" i="1"/>
  <c r="L724" i="1"/>
  <c r="L418" i="1"/>
  <c r="L818" i="1"/>
  <c r="L674" i="1"/>
  <c r="L470" i="1"/>
  <c r="L1007" i="1"/>
  <c r="L978" i="1"/>
  <c r="L949" i="1"/>
  <c r="L920" i="1"/>
  <c r="L872" i="1"/>
  <c r="L824" i="1"/>
  <c r="L776" i="1"/>
  <c r="L728" i="1"/>
  <c r="L680" i="1"/>
  <c r="L632" i="1"/>
  <c r="L584" i="1"/>
  <c r="L535" i="1"/>
  <c r="L477" i="1"/>
  <c r="L426" i="1"/>
  <c r="L378" i="1"/>
  <c r="L310" i="1"/>
  <c r="L162" i="1"/>
  <c r="L999" i="1"/>
  <c r="L888" i="1"/>
  <c r="L792" i="1"/>
  <c r="L696" i="1"/>
  <c r="L600" i="1"/>
  <c r="L525" i="1"/>
  <c r="L458" i="1"/>
  <c r="L401" i="1"/>
  <c r="L326" i="1"/>
  <c r="L161" i="1"/>
  <c r="L1027" i="1"/>
  <c r="L998" i="1"/>
  <c r="L970" i="1"/>
  <c r="L941" i="1"/>
  <c r="L904" i="1"/>
  <c r="L856" i="1"/>
  <c r="L808" i="1"/>
  <c r="L760" i="1"/>
  <c r="L712" i="1"/>
  <c r="L664" i="1"/>
  <c r="L616" i="1"/>
  <c r="L568" i="1"/>
  <c r="L515" i="1"/>
  <c r="L423" i="1"/>
  <c r="L375" i="1"/>
  <c r="L325" i="1"/>
  <c r="L202" i="1"/>
  <c r="L1005" i="1"/>
  <c r="L902" i="1"/>
  <c r="L854" i="1"/>
  <c r="L806" i="1"/>
  <c r="L758" i="1"/>
  <c r="L710" i="1"/>
  <c r="L662" i="1"/>
  <c r="L614" i="1"/>
  <c r="L566" i="1"/>
  <c r="L513" i="1"/>
  <c r="L466" i="1"/>
  <c r="L411" i="1"/>
  <c r="L363" i="1"/>
  <c r="L306" i="1"/>
  <c r="L1012" i="1"/>
  <c r="L983" i="1"/>
  <c r="L954" i="1"/>
  <c r="L925" i="1"/>
  <c r="L846" i="1"/>
  <c r="L750" i="1"/>
  <c r="L654" i="1"/>
  <c r="L558" i="1"/>
  <c r="L454" i="1"/>
  <c r="L386" i="1"/>
  <c r="L242" i="1"/>
  <c r="L332" i="1"/>
  <c r="L910" i="1"/>
  <c r="L862" i="1"/>
  <c r="L814" i="1"/>
  <c r="L766" i="1"/>
  <c r="L718" i="1"/>
  <c r="L670" i="1"/>
  <c r="L622" i="1"/>
  <c r="L574" i="1"/>
  <c r="L523" i="1"/>
  <c r="L474" i="1"/>
  <c r="L397" i="1"/>
  <c r="L302" i="1"/>
  <c r="L1018" i="1"/>
  <c r="L989" i="1"/>
  <c r="L960" i="1"/>
  <c r="L931" i="1"/>
  <c r="L893" i="1"/>
  <c r="L845" i="1"/>
  <c r="L797" i="1"/>
  <c r="L749" i="1"/>
  <c r="L701" i="1"/>
  <c r="L653" i="1"/>
  <c r="L605" i="1"/>
  <c r="L557" i="1"/>
  <c r="L520" i="1"/>
  <c r="L463" i="1"/>
  <c r="L372" i="1"/>
  <c r="L278" i="1"/>
  <c r="L90" i="1"/>
  <c r="L945" i="1"/>
  <c r="L828" i="1"/>
  <c r="L732" i="1"/>
  <c r="L636" i="1"/>
  <c r="L539" i="1"/>
  <c r="L452" i="1"/>
  <c r="L382" i="1"/>
  <c r="L300" i="1"/>
  <c r="L137" i="1"/>
  <c r="L486" i="1"/>
  <c r="L417" i="1"/>
  <c r="L369" i="1"/>
  <c r="L321" i="1"/>
  <c r="L273" i="1"/>
  <c r="L225" i="1"/>
  <c r="L177" i="1"/>
  <c r="L129" i="1"/>
  <c r="L81" i="1"/>
  <c r="L915" i="1"/>
  <c r="L891" i="1"/>
  <c r="L867" i="1"/>
  <c r="L843" i="1"/>
  <c r="L819" i="1"/>
  <c r="L795" i="1"/>
  <c r="L771" i="1"/>
  <c r="L747" i="1"/>
  <c r="L723" i="1"/>
  <c r="L699" i="1"/>
  <c r="L675" i="1"/>
  <c r="L651" i="1"/>
  <c r="L627" i="1"/>
  <c r="L603" i="1"/>
  <c r="L579" i="1"/>
  <c r="L555" i="1"/>
  <c r="L529" i="1"/>
  <c r="L500" i="1"/>
  <c r="L471" i="1"/>
  <c r="L440" i="1"/>
  <c r="L408" i="1"/>
  <c r="L376" i="1"/>
  <c r="L344" i="1"/>
  <c r="L312" i="1"/>
  <c r="L280" i="1"/>
  <c r="L248" i="1"/>
  <c r="L216" i="1"/>
  <c r="L184" i="1"/>
  <c r="L152" i="1"/>
  <c r="L120" i="1"/>
  <c r="L88" i="1"/>
  <c r="L56" i="1"/>
  <c r="L492" i="1"/>
  <c r="L383" i="1"/>
  <c r="L287" i="1"/>
  <c r="L191" i="1"/>
  <c r="L95" i="1"/>
  <c r="L295" i="1"/>
  <c r="L247" i="1"/>
  <c r="L199" i="1"/>
  <c r="L151" i="1"/>
  <c r="L103" i="1"/>
  <c r="L55" i="1"/>
  <c r="L254" i="1"/>
  <c r="L222" i="1"/>
  <c r="L190" i="1"/>
  <c r="L158" i="1"/>
  <c r="L126" i="1"/>
  <c r="L94" i="1"/>
  <c r="L62" i="1"/>
  <c r="L317" i="1"/>
  <c r="L221" i="1"/>
  <c r="L125" i="1"/>
  <c r="L44" i="1"/>
  <c r="L253" i="1"/>
  <c r="L205" i="1"/>
  <c r="L157" i="1"/>
  <c r="L109" i="1"/>
  <c r="L61" i="1"/>
  <c r="L268" i="1"/>
  <c r="L236" i="1"/>
  <c r="L204" i="1"/>
  <c r="L172" i="1"/>
  <c r="L140" i="1"/>
  <c r="L108" i="1"/>
  <c r="L76" i="1"/>
  <c r="L43" i="1"/>
  <c r="L371" i="1"/>
  <c r="L275" i="1"/>
  <c r="L179" i="1"/>
  <c r="L83" i="1"/>
  <c r="L307" i="1"/>
  <c r="L259" i="1"/>
  <c r="L211" i="1"/>
  <c r="L163" i="1"/>
  <c r="L115" i="1"/>
  <c r="L67" i="1"/>
  <c r="L51" i="1"/>
  <c r="N31" i="1"/>
  <c r="N851" i="1"/>
  <c r="N714" i="1"/>
  <c r="N179" i="1"/>
  <c r="N933" i="1"/>
  <c r="N713" i="1"/>
  <c r="N410" i="1"/>
  <c r="N974" i="1"/>
  <c r="N760" i="1"/>
  <c r="N459" i="1"/>
  <c r="N175" i="1"/>
  <c r="N905" i="1"/>
  <c r="N753" i="1"/>
  <c r="N564" i="1"/>
  <c r="N93" i="1"/>
  <c r="N957" i="1"/>
  <c r="N742" i="1"/>
  <c r="N545" i="1"/>
  <c r="N309" i="1"/>
  <c r="N926" i="1"/>
  <c r="N703" i="1"/>
  <c r="N384" i="1"/>
  <c r="N1028" i="1"/>
  <c r="N820" i="1"/>
  <c r="N702" i="1"/>
  <c r="N265" i="1"/>
  <c r="N903" i="1"/>
  <c r="N635" i="1"/>
  <c r="N209" i="1"/>
  <c r="N944" i="1"/>
  <c r="N750" i="1"/>
  <c r="N587" i="1"/>
  <c r="N315" i="1"/>
  <c r="N963" i="1"/>
  <c r="N749" i="1"/>
  <c r="N381" i="1"/>
  <c r="N935" i="1"/>
  <c r="N765" i="1"/>
  <c r="N61" i="1"/>
  <c r="N893" i="1"/>
  <c r="N739" i="1"/>
  <c r="N481" i="1"/>
  <c r="N596" i="1"/>
  <c r="N426" i="1"/>
  <c r="N305" i="1"/>
  <c r="N55" i="1"/>
  <c r="N941" i="1"/>
  <c r="N860" i="1"/>
  <c r="N784" i="1"/>
  <c r="N686" i="1"/>
  <c r="N577" i="1"/>
  <c r="N498" i="1"/>
  <c r="N352" i="1"/>
  <c r="N168" i="1"/>
  <c r="N962" i="1"/>
  <c r="N879" i="1"/>
  <c r="N735" i="1"/>
  <c r="N643" i="1"/>
  <c r="N497" i="1"/>
  <c r="N226" i="1"/>
  <c r="N52" i="1"/>
  <c r="N929" i="1"/>
  <c r="N848" i="1"/>
  <c r="N804" i="1"/>
  <c r="N758" i="1"/>
  <c r="N685" i="1"/>
  <c r="N537" i="1"/>
  <c r="N370" i="1"/>
  <c r="N272" i="1"/>
  <c r="N45" i="1"/>
  <c r="N950" i="1"/>
  <c r="N867" i="1"/>
  <c r="N744" i="1"/>
  <c r="N638" i="1"/>
  <c r="N395" i="1"/>
  <c r="N295" i="1"/>
  <c r="N136" i="1"/>
  <c r="N969" i="1"/>
  <c r="N791" i="1"/>
  <c r="N654" i="1"/>
  <c r="N190" i="1"/>
  <c r="N423" i="1"/>
  <c r="N845" i="1"/>
  <c r="N757" i="1"/>
  <c r="N534" i="1"/>
  <c r="N1019" i="1"/>
  <c r="N938" i="1"/>
  <c r="N855" i="1"/>
  <c r="N706" i="1"/>
  <c r="N622" i="1"/>
  <c r="N467" i="1"/>
  <c r="N340" i="1"/>
  <c r="N218" i="1"/>
  <c r="N210" i="1"/>
  <c r="N139" i="1"/>
  <c r="N1024" i="1"/>
  <c r="N994" i="1"/>
  <c r="N964" i="1"/>
  <c r="N928" i="1"/>
  <c r="N898" i="1"/>
  <c r="N868" i="1"/>
  <c r="N832" i="1"/>
  <c r="N773" i="1"/>
  <c r="N723" i="1"/>
  <c r="N655" i="1"/>
  <c r="N535" i="1"/>
  <c r="N368" i="1"/>
  <c r="N223" i="1"/>
  <c r="N78" i="1"/>
  <c r="N756" i="1"/>
  <c r="N505" i="1"/>
  <c r="N361" i="1"/>
  <c r="N204" i="1"/>
  <c r="N40" i="1"/>
  <c r="N985" i="1"/>
  <c r="N937" i="1"/>
  <c r="N889" i="1"/>
  <c r="N841" i="1"/>
  <c r="N763" i="1"/>
  <c r="N705" i="1"/>
  <c r="N624" i="1"/>
  <c r="N503" i="1"/>
  <c r="N347" i="1"/>
  <c r="N202" i="1"/>
  <c r="N39" i="1"/>
  <c r="N690" i="1"/>
  <c r="N417" i="1"/>
  <c r="N187" i="1"/>
  <c r="N1002" i="1"/>
  <c r="N954" i="1"/>
  <c r="N906" i="1"/>
  <c r="N858" i="1"/>
  <c r="N782" i="1"/>
  <c r="N718" i="1"/>
  <c r="N641" i="1"/>
  <c r="N489" i="1"/>
  <c r="N330" i="1"/>
  <c r="N173" i="1"/>
  <c r="N647" i="1"/>
  <c r="N551" i="1"/>
  <c r="N333" i="1"/>
  <c r="N653" i="1"/>
  <c r="N513" i="1"/>
  <c r="N431" i="1"/>
  <c r="N344" i="1"/>
  <c r="N258" i="1"/>
  <c r="N172" i="1"/>
  <c r="N84" i="1"/>
  <c r="N626" i="1"/>
  <c r="N375" i="1"/>
  <c r="N592" i="1"/>
  <c r="N544" i="1"/>
  <c r="N487" i="1"/>
  <c r="N430" i="1"/>
  <c r="N365" i="1"/>
  <c r="N250" i="1"/>
  <c r="N134" i="1"/>
  <c r="N285" i="1"/>
  <c r="N567" i="1"/>
  <c r="N457" i="1"/>
  <c r="N342" i="1"/>
  <c r="N227" i="1"/>
  <c r="N112" i="1"/>
  <c r="N219" i="1"/>
  <c r="N56" i="1"/>
  <c r="P373" i="1"/>
  <c r="P323" i="1"/>
  <c r="P1011" i="1"/>
  <c r="P704" i="1"/>
  <c r="P90" i="1"/>
  <c r="P475" i="1"/>
  <c r="P741" i="1"/>
  <c r="P221" i="1"/>
  <c r="P723" i="1"/>
  <c r="P900" i="1"/>
  <c r="P458" i="1"/>
  <c r="P782" i="1"/>
  <c r="P286" i="1"/>
  <c r="P841" i="1"/>
  <c r="P259" i="1"/>
  <c r="P610" i="1"/>
  <c r="P934" i="1"/>
  <c r="P534" i="1"/>
  <c r="P809" i="1"/>
  <c r="P228" i="1"/>
  <c r="P1012" i="1"/>
  <c r="P749" i="1"/>
  <c r="P521" i="1"/>
  <c r="P217" i="1"/>
  <c r="P917" i="1"/>
  <c r="P628" i="1"/>
  <c r="P230" i="1"/>
  <c r="P931" i="1"/>
  <c r="P667" i="1"/>
  <c r="P314" i="1"/>
  <c r="P946" i="1"/>
  <c r="P697" i="1"/>
  <c r="P389" i="1"/>
  <c r="P938" i="1"/>
  <c r="P644" i="1"/>
  <c r="P263" i="1"/>
  <c r="P138" i="1"/>
  <c r="P885" i="1"/>
  <c r="N737" i="1"/>
  <c r="N709" i="1"/>
  <c r="N680" i="1"/>
  <c r="N629" i="1"/>
  <c r="N569" i="1"/>
  <c r="N510" i="1"/>
  <c r="N412" i="1"/>
  <c r="N339" i="1"/>
  <c r="N266" i="1"/>
  <c r="N180" i="1"/>
  <c r="N109" i="1"/>
  <c r="N46" i="1"/>
  <c r="N790" i="1"/>
  <c r="N684" i="1"/>
  <c r="N595" i="1"/>
  <c r="N477" i="1"/>
  <c r="N404" i="1"/>
  <c r="N318" i="1"/>
  <c r="N247" i="1"/>
  <c r="N161" i="1"/>
  <c r="N88" i="1"/>
  <c r="N1021" i="1"/>
  <c r="N997" i="1"/>
  <c r="N973" i="1"/>
  <c r="N949" i="1"/>
  <c r="N925" i="1"/>
  <c r="N901" i="1"/>
  <c r="N877" i="1"/>
  <c r="N853" i="1"/>
  <c r="N829" i="1"/>
  <c r="N783" i="1"/>
  <c r="N748" i="1"/>
  <c r="N719" i="1"/>
  <c r="N691" i="1"/>
  <c r="N642" i="1"/>
  <c r="N605" i="1"/>
  <c r="N528" i="1"/>
  <c r="N461" i="1"/>
  <c r="N390" i="1"/>
  <c r="N304" i="1"/>
  <c r="N231" i="1"/>
  <c r="N158" i="1"/>
  <c r="N70" i="1"/>
  <c r="N815" i="1"/>
  <c r="N762" i="1"/>
  <c r="N658" i="1"/>
  <c r="N490" i="1"/>
  <c r="N360" i="1"/>
  <c r="N230" i="1"/>
  <c r="N101" i="1"/>
  <c r="N1014" i="1"/>
  <c r="N990" i="1"/>
  <c r="N966" i="1"/>
  <c r="N942" i="1"/>
  <c r="N918" i="1"/>
  <c r="N894" i="1"/>
  <c r="N870" i="1"/>
  <c r="N846" i="1"/>
  <c r="N808" i="1"/>
  <c r="N761" i="1"/>
  <c r="N733" i="1"/>
  <c r="N704" i="1"/>
  <c r="N667" i="1"/>
  <c r="N623" i="1"/>
  <c r="N527" i="1"/>
  <c r="N460" i="1"/>
  <c r="N373" i="1"/>
  <c r="N287" i="1"/>
  <c r="N216" i="1"/>
  <c r="N130" i="1"/>
  <c r="N37" i="1"/>
  <c r="N621" i="1"/>
  <c r="N575" i="1"/>
  <c r="N524" i="1"/>
  <c r="N441" i="1"/>
  <c r="N225" i="1"/>
  <c r="N672" i="1"/>
  <c r="N627" i="1"/>
  <c r="N558" i="1"/>
  <c r="N495" i="1"/>
  <c r="N452" i="1"/>
  <c r="N409" i="1"/>
  <c r="N366" i="1"/>
  <c r="N323" i="1"/>
  <c r="N280" i="1"/>
  <c r="N236" i="1"/>
  <c r="N193" i="1"/>
  <c r="N150" i="1"/>
  <c r="N107" i="1"/>
  <c r="N60" i="1"/>
  <c r="N646" i="1"/>
  <c r="N589" i="1"/>
  <c r="N483" i="1"/>
  <c r="N267" i="1"/>
  <c r="N604" i="1"/>
  <c r="N580" i="1"/>
  <c r="N556" i="1"/>
  <c r="N530" i="1"/>
  <c r="N502" i="1"/>
  <c r="N473" i="1"/>
  <c r="N444" i="1"/>
  <c r="N415" i="1"/>
  <c r="N386" i="1"/>
  <c r="N358" i="1"/>
  <c r="N329" i="1"/>
  <c r="N300" i="1"/>
  <c r="N271" i="1"/>
  <c r="N242" i="1"/>
  <c r="N214" i="1"/>
  <c r="N185" i="1"/>
  <c r="N156" i="1"/>
  <c r="N127" i="1"/>
  <c r="N98" i="1"/>
  <c r="N51" i="1"/>
  <c r="N393" i="1"/>
  <c r="N249" i="1"/>
  <c r="N105" i="1"/>
  <c r="N609" i="1"/>
  <c r="N585" i="1"/>
  <c r="N561" i="1"/>
  <c r="N536" i="1"/>
  <c r="N508" i="1"/>
  <c r="N479" i="1"/>
  <c r="N450" i="1"/>
  <c r="N421" i="1"/>
  <c r="N392" i="1"/>
  <c r="N364" i="1"/>
  <c r="N335" i="1"/>
  <c r="N306" i="1"/>
  <c r="N277" i="1"/>
  <c r="N248" i="1"/>
  <c r="N220" i="1"/>
  <c r="N191" i="1"/>
  <c r="N162" i="1"/>
  <c r="N133" i="1"/>
  <c r="N104" i="1"/>
  <c r="N58" i="1"/>
  <c r="N471" i="1"/>
  <c r="N327" i="1"/>
  <c r="N183" i="1"/>
  <c r="N81" i="1"/>
  <c r="N33" i="1"/>
  <c r="N74" i="1"/>
  <c r="N50" i="1"/>
  <c r="P31" i="1"/>
  <c r="P998" i="1"/>
  <c r="P824" i="1"/>
  <c r="P877" i="1"/>
  <c r="P605" i="1"/>
  <c r="P889" i="1"/>
  <c r="P958" i="1"/>
  <c r="P162" i="1"/>
  <c r="P445" i="1"/>
  <c r="P443" i="1"/>
  <c r="P549" i="1"/>
  <c r="P929" i="1"/>
  <c r="P67" i="1"/>
  <c r="P979" i="1"/>
  <c r="P845" i="1"/>
  <c r="P651" i="1"/>
  <c r="P559" i="1"/>
  <c r="P436" i="1"/>
  <c r="P240" i="1"/>
  <c r="P55" i="1"/>
  <c r="P857" i="1"/>
  <c r="P769" i="1"/>
  <c r="P684" i="1"/>
  <c r="P434" i="1"/>
  <c r="P149" i="1"/>
  <c r="P956" i="1"/>
  <c r="P874" i="1"/>
  <c r="P692" i="1"/>
  <c r="P566" i="1"/>
  <c r="P461" i="1"/>
  <c r="P296" i="1"/>
  <c r="P192" i="1"/>
  <c r="P982" i="1"/>
  <c r="P913" i="1"/>
  <c r="P789" i="1"/>
  <c r="P705" i="1"/>
  <c r="P581" i="1"/>
  <c r="P270" i="1"/>
  <c r="P1007" i="1"/>
  <c r="P887" i="1"/>
  <c r="P833" i="1"/>
  <c r="P721" i="1"/>
  <c r="P580" i="1"/>
  <c r="P417" i="1"/>
  <c r="P124" i="1"/>
  <c r="P964" i="1"/>
  <c r="P829" i="1"/>
  <c r="P767" i="1"/>
  <c r="P648" i="1"/>
  <c r="P538" i="1"/>
  <c r="P433" i="1"/>
  <c r="P235" i="1"/>
  <c r="P49" i="1"/>
  <c r="P990" i="1"/>
  <c r="P909" i="1"/>
  <c r="P827" i="1"/>
  <c r="P699" i="1"/>
  <c r="P537" i="1"/>
  <c r="P360" i="1"/>
  <c r="P176" i="1"/>
  <c r="P1002" i="1"/>
  <c r="P948" i="1"/>
  <c r="P798" i="1"/>
  <c r="P590" i="1"/>
  <c r="P448" i="1"/>
  <c r="P283" i="1"/>
  <c r="P114" i="1"/>
  <c r="P920" i="1"/>
  <c r="P853" i="1"/>
  <c r="P762" i="1"/>
  <c r="P661" i="1"/>
  <c r="P492" i="1"/>
  <c r="P279" i="1"/>
  <c r="P999" i="1"/>
  <c r="P919" i="1"/>
  <c r="P795" i="1"/>
  <c r="P679" i="1"/>
  <c r="P467" i="1"/>
  <c r="P379" i="1"/>
  <c r="P201" i="1"/>
  <c r="P333" i="1"/>
  <c r="P191" i="1"/>
  <c r="P64" i="1"/>
  <c r="P981" i="1"/>
  <c r="P918" i="1"/>
  <c r="P863" i="1"/>
  <c r="P806" i="1"/>
  <c r="P740" i="1"/>
  <c r="P682" i="1"/>
  <c r="P640" i="1"/>
  <c r="P556" i="1"/>
  <c r="P508" i="1"/>
  <c r="P432" i="1"/>
  <c r="P332" i="1"/>
  <c r="P268" i="1"/>
  <c r="P203" i="1"/>
  <c r="P95" i="1"/>
  <c r="P1019" i="1"/>
  <c r="P972" i="1"/>
  <c r="P901" i="1"/>
  <c r="P862" i="1"/>
  <c r="P786" i="1"/>
  <c r="P680" i="1"/>
  <c r="P606" i="1"/>
  <c r="P519" i="1"/>
  <c r="P381" i="1"/>
  <c r="P293" i="1"/>
  <c r="P216" i="1"/>
  <c r="P156" i="1"/>
  <c r="P42" i="1"/>
  <c r="P986" i="1"/>
  <c r="P923" i="1"/>
  <c r="P876" i="1"/>
  <c r="P803" i="1"/>
  <c r="P707" i="1"/>
  <c r="P645" i="1"/>
  <c r="P594" i="1"/>
  <c r="P477" i="1"/>
  <c r="P390" i="1"/>
  <c r="P302" i="1"/>
  <c r="P251" i="1"/>
  <c r="P121" i="1"/>
  <c r="P993" i="1"/>
  <c r="P930" i="1"/>
  <c r="P875" i="1"/>
  <c r="P828" i="1"/>
  <c r="P745" i="1"/>
  <c r="P687" i="1"/>
  <c r="P593" i="1"/>
  <c r="P551" i="1"/>
  <c r="P427" i="1"/>
  <c r="P377" i="1"/>
  <c r="P276" i="1"/>
  <c r="P54" i="1"/>
  <c r="P969" i="1"/>
  <c r="P922" i="1"/>
  <c r="P859" i="1"/>
  <c r="P810" i="1"/>
  <c r="P716" i="1"/>
  <c r="P624" i="1"/>
  <c r="P539" i="1"/>
  <c r="P362" i="1"/>
  <c r="P313" i="1"/>
  <c r="P249" i="1"/>
  <c r="P181" i="1"/>
  <c r="P119" i="1"/>
  <c r="P200" i="1"/>
  <c r="P127" i="1"/>
  <c r="P1016" i="1"/>
  <c r="P970" i="1"/>
  <c r="P924" i="1"/>
  <c r="P872" i="1"/>
  <c r="P811" i="1"/>
  <c r="P768" i="1"/>
  <c r="P725" i="1"/>
  <c r="P673" i="1"/>
  <c r="P618" i="1"/>
  <c r="P555" i="1"/>
  <c r="P500" i="1"/>
  <c r="P444" i="1"/>
  <c r="P406" i="1"/>
  <c r="P369" i="1"/>
  <c r="P312" i="1"/>
  <c r="P188" i="1"/>
  <c r="P106" i="1"/>
  <c r="P780" i="1"/>
  <c r="P737" i="1"/>
  <c r="P686" i="1"/>
  <c r="P615" i="1"/>
  <c r="P560" i="1"/>
  <c r="P507" i="1"/>
  <c r="P460" i="1"/>
  <c r="P356" i="1"/>
  <c r="P224" i="1"/>
  <c r="P185" i="1"/>
  <c r="P102" i="1"/>
  <c r="P1026" i="1"/>
  <c r="P974" i="1"/>
  <c r="P928" i="1"/>
  <c r="P882" i="1"/>
  <c r="P830" i="1"/>
  <c r="P758" i="1"/>
  <c r="P670" i="1"/>
  <c r="P623" i="1"/>
  <c r="P568" i="1"/>
  <c r="P497" i="1"/>
  <c r="P440" i="1"/>
  <c r="P403" i="1"/>
  <c r="P365" i="1"/>
  <c r="P309" i="1"/>
  <c r="P233" i="1"/>
  <c r="P91" i="1"/>
  <c r="P826" i="1"/>
  <c r="P802" i="1"/>
  <c r="P778" i="1"/>
  <c r="P754" i="1"/>
  <c r="P730" i="1"/>
  <c r="P706" i="1"/>
  <c r="P681" i="1"/>
  <c r="P629" i="1"/>
  <c r="P583" i="1"/>
  <c r="P528" i="1"/>
  <c r="P489" i="1"/>
  <c r="P418" i="1"/>
  <c r="P371" i="1"/>
  <c r="P316" i="1"/>
  <c r="P253" i="1"/>
  <c r="P198" i="1"/>
  <c r="P112" i="1"/>
  <c r="P47" i="1"/>
  <c r="P659" i="1"/>
  <c r="P613" i="1"/>
  <c r="P567" i="1"/>
  <c r="P493" i="1"/>
  <c r="P438" i="1"/>
  <c r="P391" i="1"/>
  <c r="P320" i="1"/>
  <c r="P281" i="1"/>
  <c r="P194" i="1"/>
  <c r="P143" i="1"/>
  <c r="P82" i="1"/>
  <c r="P540" i="1"/>
  <c r="P494" i="1"/>
  <c r="P442" i="1"/>
  <c r="P396" i="1"/>
  <c r="P350" i="1"/>
  <c r="P298" i="1"/>
  <c r="P252" i="1"/>
  <c r="P206" i="1"/>
  <c r="P531" i="1"/>
  <c r="P485" i="1"/>
  <c r="P439" i="1"/>
  <c r="P387" i="1"/>
  <c r="P341" i="1"/>
  <c r="P295" i="1"/>
  <c r="P243" i="1"/>
  <c r="P197" i="1"/>
  <c r="P168" i="1"/>
  <c r="P139" i="1"/>
  <c r="P110" i="1"/>
  <c r="P65" i="1"/>
  <c r="P183" i="1"/>
  <c r="P159" i="1"/>
  <c r="P135" i="1"/>
  <c r="P111" i="1"/>
  <c r="P87" i="1"/>
  <c r="P63" i="1"/>
  <c r="P39" i="1"/>
  <c r="P74" i="1"/>
  <c r="P50" i="1"/>
  <c r="B31" i="1"/>
  <c r="B670" i="1"/>
  <c r="B876" i="1"/>
  <c r="B958" i="1"/>
  <c r="B801" i="1"/>
  <c r="B675" i="1"/>
  <c r="B490" i="1"/>
  <c r="B247" i="1"/>
  <c r="B1017" i="1"/>
  <c r="B880" i="1"/>
  <c r="B784" i="1"/>
  <c r="B694" i="1"/>
  <c r="B558" i="1"/>
  <c r="B439" i="1"/>
  <c r="B1027" i="1"/>
  <c r="B956" i="1"/>
  <c r="B862" i="1"/>
  <c r="B765" i="1"/>
  <c r="B634" i="1"/>
  <c r="B461" i="1"/>
  <c r="B184" i="1"/>
  <c r="B969" i="1"/>
  <c r="B782" i="1"/>
  <c r="B615" i="1"/>
  <c r="B382" i="1"/>
  <c r="B244" i="1"/>
  <c r="B813" i="1"/>
  <c r="B595" i="1"/>
  <c r="B298" i="1"/>
  <c r="B892" i="1"/>
  <c r="B651" i="1"/>
  <c r="B407" i="1"/>
  <c r="B1001" i="1"/>
  <c r="B873" i="1"/>
  <c r="B609" i="1"/>
  <c r="B346" i="1"/>
  <c r="B1022" i="1"/>
  <c r="B741" i="1"/>
  <c r="B569" i="1"/>
  <c r="B234" i="1"/>
  <c r="B1000" i="1"/>
  <c r="B918" i="1"/>
  <c r="B720" i="1"/>
  <c r="B370" i="1"/>
  <c r="B198" i="1"/>
  <c r="B773" i="1"/>
  <c r="B586" i="1"/>
  <c r="B284" i="1"/>
  <c r="B789" i="1"/>
  <c r="B642" i="1"/>
  <c r="B445" i="1"/>
  <c r="B42" i="1"/>
  <c r="B746" i="1"/>
  <c r="B924" i="1"/>
  <c r="B458" i="1"/>
  <c r="B965" i="1"/>
  <c r="B549" i="1"/>
  <c r="B904" i="1"/>
  <c r="B646" i="1"/>
  <c r="B260" i="1"/>
  <c r="B886" i="1"/>
  <c r="B739" i="1"/>
  <c r="B806" i="1"/>
  <c r="B422" i="1"/>
  <c r="B44" i="1"/>
  <c r="B975" i="1"/>
  <c r="B837" i="1"/>
  <c r="B916" i="1"/>
  <c r="B820" i="1"/>
  <c r="B717" i="1"/>
  <c r="B584" i="1"/>
  <c r="B338" i="1"/>
  <c r="B157" i="1"/>
  <c r="B150" i="1"/>
  <c r="B50" i="1"/>
  <c r="B990" i="1"/>
  <c r="B950" i="1"/>
  <c r="B896" i="1"/>
  <c r="B800" i="1"/>
  <c r="B722" i="1"/>
  <c r="B655" i="1"/>
  <c r="B568" i="1"/>
  <c r="B488" i="1"/>
  <c r="B412" i="1"/>
  <c r="B330" i="1"/>
  <c r="B49" i="1"/>
  <c r="B996" i="1"/>
  <c r="B903" i="1"/>
  <c r="B807" i="1"/>
  <c r="B702" i="1"/>
  <c r="B654" i="1"/>
  <c r="B606" i="1"/>
  <c r="B557" i="1"/>
  <c r="B474" i="1"/>
  <c r="B355" i="1"/>
  <c r="B188" i="1"/>
  <c r="B96" i="1"/>
  <c r="B960" i="1"/>
  <c r="B836" i="1"/>
  <c r="B688" i="1"/>
  <c r="B594" i="1"/>
  <c r="B469" i="1"/>
  <c r="B295" i="1"/>
  <c r="B140" i="1"/>
  <c r="B38" i="1"/>
  <c r="B915" i="1"/>
  <c r="B668" i="1"/>
  <c r="B529" i="1"/>
  <c r="B349" i="1"/>
  <c r="B945" i="1"/>
  <c r="B858" i="1"/>
  <c r="B802" i="1"/>
  <c r="B752" i="1"/>
  <c r="B696" i="1"/>
  <c r="B630" i="1"/>
  <c r="B582" i="1"/>
  <c r="B507" i="1"/>
  <c r="B430" i="1"/>
  <c r="B320" i="1"/>
  <c r="B223" i="1"/>
  <c r="B122" i="1"/>
  <c r="B953" i="1"/>
  <c r="B812" i="1"/>
  <c r="B669" i="1"/>
  <c r="B531" i="1"/>
  <c r="B308" i="1"/>
  <c r="B1019" i="1"/>
  <c r="B795" i="1"/>
  <c r="B551" i="1"/>
  <c r="B362" i="1"/>
  <c r="B89" i="1"/>
  <c r="B986" i="1"/>
  <c r="B930" i="1"/>
  <c r="B1018" i="1"/>
  <c r="B972" i="1"/>
  <c r="B842" i="1"/>
  <c r="B743" i="1"/>
  <c r="B667" i="1"/>
  <c r="B601" i="1"/>
  <c r="B492" i="1"/>
  <c r="B441" i="1"/>
  <c r="B222" i="1"/>
  <c r="B151" i="1"/>
  <c r="B923" i="1"/>
  <c r="B899" i="1"/>
  <c r="B875" i="1"/>
  <c r="B851" i="1"/>
  <c r="B827" i="1"/>
  <c r="B803" i="1"/>
  <c r="B779" i="1"/>
  <c r="B733" i="1"/>
  <c r="B697" i="1"/>
  <c r="B633" i="1"/>
  <c r="B583" i="1"/>
  <c r="B472" i="1"/>
  <c r="B424" i="1"/>
  <c r="B342" i="1"/>
  <c r="B269" i="1"/>
  <c r="B132" i="1"/>
  <c r="B56" i="1"/>
  <c r="B700" i="1"/>
  <c r="B664" i="1"/>
  <c r="B636" i="1"/>
  <c r="B563" i="1"/>
  <c r="B522" i="1"/>
  <c r="B466" i="1"/>
  <c r="B400" i="1"/>
  <c r="B347" i="1"/>
  <c r="B232" i="1"/>
  <c r="B180" i="1"/>
  <c r="B86" i="1"/>
  <c r="B955" i="1"/>
  <c r="B931" i="1"/>
  <c r="B907" i="1"/>
  <c r="B883" i="1"/>
  <c r="B859" i="1"/>
  <c r="B835" i="1"/>
  <c r="B811" i="1"/>
  <c r="B787" i="1"/>
  <c r="B755" i="1"/>
  <c r="B721" i="1"/>
  <c r="B671" i="1"/>
  <c r="B607" i="1"/>
  <c r="B562" i="1"/>
  <c r="B485" i="1"/>
  <c r="B428" i="1"/>
  <c r="B305" i="1"/>
  <c r="B252" i="1"/>
  <c r="B73" i="1"/>
  <c r="B453" i="1"/>
  <c r="B364" i="1"/>
  <c r="B301" i="1"/>
  <c r="B230" i="1"/>
  <c r="B160" i="1"/>
  <c r="B88" i="1"/>
  <c r="B561" i="1"/>
  <c r="B463" i="1"/>
  <c r="B435" i="1"/>
  <c r="B398" i="1"/>
  <c r="B328" i="1"/>
  <c r="B265" i="1"/>
  <c r="B194" i="1"/>
  <c r="B110" i="1"/>
  <c r="B53" i="1"/>
  <c r="B711" i="1"/>
  <c r="B659" i="1"/>
  <c r="B613" i="1"/>
  <c r="B567" i="1"/>
  <c r="B527" i="1"/>
  <c r="B498" i="1"/>
  <c r="B434" i="1"/>
  <c r="B335" i="1"/>
  <c r="B272" i="1"/>
  <c r="B202" i="1"/>
  <c r="B138" i="1"/>
  <c r="B43" i="1"/>
  <c r="B499" i="1"/>
  <c r="B447" i="1"/>
  <c r="B401" i="1"/>
  <c r="B372" i="1"/>
  <c r="B343" i="1"/>
  <c r="B314" i="1"/>
  <c r="B286" i="1"/>
  <c r="B257" i="1"/>
  <c r="B228" i="1"/>
  <c r="B199" i="1"/>
  <c r="B170" i="1"/>
  <c r="B142" i="1"/>
  <c r="B113" i="1"/>
  <c r="B84" i="1"/>
  <c r="B55" i="1"/>
  <c r="B126" i="1"/>
  <c r="B97" i="1"/>
  <c r="B68" i="1"/>
  <c r="B40" i="1"/>
  <c r="B387" i="1"/>
  <c r="B363" i="1"/>
  <c r="B339" i="1"/>
  <c r="B315" i="1"/>
  <c r="B291" i="1"/>
  <c r="B267" i="1"/>
  <c r="B243" i="1"/>
  <c r="B219" i="1"/>
  <c r="B195" i="1"/>
  <c r="B171" i="1"/>
  <c r="B147" i="1"/>
  <c r="B123" i="1"/>
  <c r="B99" i="1"/>
  <c r="B75" i="1"/>
  <c r="B51" i="1"/>
  <c r="J6" i="1"/>
  <c r="L6" i="1" s="1"/>
  <c r="U5" i="1"/>
  <c r="W5" i="1" s="1"/>
  <c r="I8" i="1"/>
  <c r="K8" i="1" s="1"/>
  <c r="C7" i="1"/>
  <c r="E7" i="1" s="1"/>
  <c r="P8" i="1"/>
  <c r="R8" i="1" s="1"/>
  <c r="O7" i="1"/>
  <c r="Q7" i="1" s="1"/>
  <c r="J4" i="1"/>
  <c r="L4" i="1" s="1"/>
  <c r="U4" i="1"/>
  <c r="W4" i="1" s="1"/>
  <c r="P5" i="1"/>
  <c r="R5" i="1" s="1"/>
  <c r="P4" i="1"/>
  <c r="R4" i="1" s="1"/>
  <c r="C31" i="1"/>
  <c r="C861" i="1"/>
  <c r="C574" i="1"/>
  <c r="C294" i="1"/>
  <c r="C962" i="1"/>
  <c r="C785" i="1"/>
  <c r="C672" i="1"/>
  <c r="C441" i="1"/>
  <c r="C961" i="1"/>
  <c r="C835" i="1"/>
  <c r="C643" i="1"/>
  <c r="C440" i="1"/>
  <c r="C978" i="1"/>
  <c r="C806" i="1"/>
  <c r="C570" i="1"/>
  <c r="C224" i="1"/>
  <c r="C938" i="1"/>
  <c r="C724" i="1"/>
  <c r="C480" i="1"/>
  <c r="C937" i="1"/>
  <c r="C694" i="1"/>
  <c r="C319" i="1"/>
  <c r="C77" i="1"/>
  <c r="C934" i="1"/>
  <c r="C773" i="1"/>
  <c r="C557" i="1"/>
  <c r="C374" i="1"/>
  <c r="C906" i="1"/>
  <c r="C931" i="1"/>
  <c r="C741" i="1"/>
  <c r="C588" i="1"/>
  <c r="C204" i="1"/>
  <c r="C987" i="1"/>
  <c r="C740" i="1"/>
  <c r="C412" i="1"/>
  <c r="C1026" i="1"/>
  <c r="C910" i="1"/>
  <c r="C657" i="1"/>
  <c r="C361" i="1"/>
  <c r="C1003" i="1"/>
  <c r="C889" i="1"/>
  <c r="C739" i="1"/>
  <c r="C453" i="1"/>
  <c r="C963" i="1"/>
  <c r="C707" i="1"/>
  <c r="C445" i="1"/>
  <c r="C1000" i="1"/>
  <c r="C904" i="1"/>
  <c r="C793" i="1"/>
  <c r="C748" i="1"/>
  <c r="C627" i="1"/>
  <c r="C567" i="1"/>
  <c r="C436" i="1"/>
  <c r="C336" i="1"/>
  <c r="C115" i="1"/>
  <c r="C1008" i="1"/>
  <c r="C960" i="1"/>
  <c r="C912" i="1"/>
  <c r="C847" i="1"/>
  <c r="C737" i="1"/>
  <c r="C691" i="1"/>
  <c r="C582" i="1"/>
  <c r="C435" i="1"/>
  <c r="C311" i="1"/>
  <c r="C199" i="1"/>
  <c r="C92" i="1"/>
  <c r="C999" i="1"/>
  <c r="C951" i="1"/>
  <c r="C903" i="1"/>
  <c r="C856" i="1"/>
  <c r="C759" i="1"/>
  <c r="C640" i="1"/>
  <c r="C566" i="1"/>
  <c r="C352" i="1"/>
  <c r="C89" i="1"/>
  <c r="C700" i="1"/>
  <c r="C510" i="1"/>
  <c r="C260" i="1"/>
  <c r="C883" i="1"/>
  <c r="C811" i="1"/>
  <c r="C766" i="1"/>
  <c r="C673" i="1"/>
  <c r="C575" i="1"/>
  <c r="C506" i="1"/>
  <c r="C388" i="1"/>
  <c r="C281" i="1"/>
  <c r="C146" i="1"/>
  <c r="C59" i="1"/>
  <c r="C174" i="1"/>
  <c r="C990" i="1"/>
  <c r="C942" i="1"/>
  <c r="C865" i="1"/>
  <c r="C812" i="1"/>
  <c r="C767" i="1"/>
  <c r="C636" i="1"/>
  <c r="C491" i="1"/>
  <c r="C389" i="1"/>
  <c r="C196" i="1"/>
  <c r="C84" i="1"/>
  <c r="C1021" i="1"/>
  <c r="C973" i="1"/>
  <c r="C925" i="1"/>
  <c r="C884" i="1"/>
  <c r="C687" i="1"/>
  <c r="C548" i="1"/>
  <c r="C988" i="1"/>
  <c r="C1028" i="1"/>
  <c r="C980" i="1"/>
  <c r="C932" i="1"/>
  <c r="C891" i="1"/>
  <c r="C776" i="1"/>
  <c r="C648" i="1"/>
  <c r="C526" i="1"/>
  <c r="C446" i="1"/>
  <c r="C323" i="1"/>
  <c r="C102" i="1"/>
  <c r="C866" i="1"/>
  <c r="C842" i="1"/>
  <c r="C804" i="1"/>
  <c r="C758" i="1"/>
  <c r="C706" i="1"/>
  <c r="C656" i="1"/>
  <c r="C589" i="1"/>
  <c r="C546" i="1"/>
  <c r="C501" i="1"/>
  <c r="C396" i="1"/>
  <c r="C283" i="1"/>
  <c r="C168" i="1"/>
  <c r="C53" i="1"/>
  <c r="C797" i="1"/>
  <c r="C751" i="1"/>
  <c r="C699" i="1"/>
  <c r="C632" i="1"/>
  <c r="C563" i="1"/>
  <c r="C465" i="1"/>
  <c r="C395" i="1"/>
  <c r="C308" i="1"/>
  <c r="C244" i="1"/>
  <c r="C167" i="1"/>
  <c r="C78" i="1"/>
  <c r="C882" i="1"/>
  <c r="C834" i="1"/>
  <c r="C756" i="1"/>
  <c r="C710" i="1"/>
  <c r="C661" i="1"/>
  <c r="C595" i="1"/>
  <c r="C520" i="1"/>
  <c r="C403" i="1"/>
  <c r="C343" i="1"/>
  <c r="C266" i="1"/>
  <c r="C203" i="1"/>
  <c r="C113" i="1"/>
  <c r="C36" i="1"/>
  <c r="C788" i="1"/>
  <c r="C736" i="1"/>
  <c r="C682" i="1"/>
  <c r="C629" i="1"/>
  <c r="C577" i="1"/>
  <c r="C461" i="1"/>
  <c r="C304" i="1"/>
  <c r="C202" i="1"/>
  <c r="C150" i="1"/>
  <c r="C48" i="1"/>
  <c r="C864" i="1"/>
  <c r="C789" i="1"/>
  <c r="C1013" i="1"/>
  <c r="C989" i="1"/>
  <c r="C965" i="1"/>
  <c r="C941" i="1"/>
  <c r="C917" i="1"/>
  <c r="C893" i="1"/>
  <c r="C869" i="1"/>
  <c r="C845" i="1"/>
  <c r="C814" i="1"/>
  <c r="C768" i="1"/>
  <c r="C722" i="1"/>
  <c r="C667" i="1"/>
  <c r="C585" i="1"/>
  <c r="C519" i="1"/>
  <c r="C460" i="1"/>
  <c r="C379" i="1"/>
  <c r="C276" i="1"/>
  <c r="C161" i="1"/>
  <c r="C46" i="1"/>
  <c r="C514" i="1"/>
  <c r="C409" i="1"/>
  <c r="C375" i="1"/>
  <c r="C269" i="1"/>
  <c r="C154" i="1"/>
  <c r="C38" i="1"/>
  <c r="C677" i="1"/>
  <c r="C653" i="1"/>
  <c r="C597" i="1"/>
  <c r="C539" i="1"/>
  <c r="C504" i="1"/>
  <c r="C416" i="1"/>
  <c r="C373" i="1"/>
  <c r="C316" i="1"/>
  <c r="C258" i="1"/>
  <c r="C200" i="1"/>
  <c r="C143" i="1"/>
  <c r="C85" i="1"/>
  <c r="C637" i="1"/>
  <c r="C601" i="1"/>
  <c r="C565" i="1"/>
  <c r="C518" i="1"/>
  <c r="C466" i="1"/>
  <c r="C405" i="1"/>
  <c r="C322" i="1"/>
  <c r="C264" i="1"/>
  <c r="C206" i="1"/>
  <c r="C149" i="1"/>
  <c r="C91" i="1"/>
  <c r="C34" i="1"/>
  <c r="C498" i="1"/>
  <c r="C452" i="1"/>
  <c r="C400" i="1"/>
  <c r="C522" i="1"/>
  <c r="C476" i="1"/>
  <c r="C424" i="1"/>
  <c r="C378" i="1"/>
  <c r="C502" i="1"/>
  <c r="C456" i="1"/>
  <c r="C410" i="1"/>
  <c r="C364" i="1"/>
  <c r="C335" i="1"/>
  <c r="C306" i="1"/>
  <c r="C277" i="1"/>
  <c r="C248" i="1"/>
  <c r="C220" i="1"/>
  <c r="C191" i="1"/>
  <c r="C162" i="1"/>
  <c r="C133" i="1"/>
  <c r="C104" i="1"/>
  <c r="C76" i="1"/>
  <c r="C47" i="1"/>
  <c r="C363" i="1"/>
  <c r="C339" i="1"/>
  <c r="C315" i="1"/>
  <c r="C291" i="1"/>
  <c r="C267" i="1"/>
  <c r="C243" i="1"/>
  <c r="C219" i="1"/>
  <c r="C195" i="1"/>
  <c r="C171" i="1"/>
  <c r="C147" i="1"/>
  <c r="C123" i="1"/>
  <c r="C99" i="1"/>
  <c r="C75" i="1"/>
  <c r="C51" i="1"/>
  <c r="G31" i="1"/>
  <c r="G549" i="1"/>
  <c r="G742" i="1"/>
  <c r="G884" i="1"/>
  <c r="G487" i="1"/>
  <c r="G1030" i="1"/>
  <c r="G529" i="1"/>
  <c r="G668" i="1"/>
  <c r="G755" i="1"/>
  <c r="G185" i="1"/>
  <c r="G723" i="1"/>
  <c r="G467" i="1"/>
  <c r="G871" i="1"/>
  <c r="G307" i="1"/>
  <c r="G949" i="1"/>
  <c r="G816" i="1"/>
  <c r="G967" i="1"/>
  <c r="G703" i="1"/>
  <c r="G209" i="1"/>
  <c r="G1008" i="1"/>
  <c r="G925" i="1"/>
  <c r="G752" i="1"/>
  <c r="G602" i="1"/>
  <c r="G408" i="1"/>
  <c r="G976" i="1"/>
  <c r="G892" i="1"/>
  <c r="G812" i="1"/>
  <c r="G699" i="1"/>
  <c r="G542" i="1"/>
  <c r="G456" i="1"/>
  <c r="G355" i="1"/>
  <c r="G996" i="1"/>
  <c r="G913" i="1"/>
  <c r="G865" i="1"/>
  <c r="G698" i="1"/>
  <c r="G560" i="1"/>
  <c r="G353" i="1"/>
  <c r="G168" i="1"/>
  <c r="G665" i="1"/>
  <c r="G416" i="1"/>
  <c r="G988" i="1"/>
  <c r="G815" i="1"/>
  <c r="G954" i="1"/>
  <c r="G677" i="1"/>
  <c r="G292" i="1"/>
  <c r="G864" i="1"/>
  <c r="G469" i="1"/>
  <c r="G352" i="1"/>
  <c r="G124" i="1"/>
  <c r="G1003" i="1"/>
  <c r="G900" i="1"/>
  <c r="G808" i="1"/>
  <c r="G729" i="1"/>
  <c r="G654" i="1"/>
  <c r="G576" i="1"/>
  <c r="G425" i="1"/>
  <c r="G256" i="1"/>
  <c r="G961" i="1"/>
  <c r="G833" i="1"/>
  <c r="G691" i="1"/>
  <c r="G573" i="1"/>
  <c r="G370" i="1"/>
  <c r="G78" i="1"/>
  <c r="G545" i="1"/>
  <c r="G841" i="1"/>
  <c r="G901" i="1"/>
  <c r="G516" i="1"/>
  <c r="G994" i="1"/>
  <c r="G836" i="1"/>
  <c r="G494" i="1"/>
  <c r="G991" i="1"/>
  <c r="G885" i="1"/>
  <c r="G820" i="1"/>
  <c r="G648" i="1"/>
  <c r="G419" i="1"/>
  <c r="G167" i="1"/>
  <c r="G89" i="1"/>
  <c r="G1019" i="1"/>
  <c r="G995" i="1"/>
  <c r="G971" i="1"/>
  <c r="G947" i="1"/>
  <c r="G923" i="1"/>
  <c r="G898" i="1"/>
  <c r="G838" i="1"/>
  <c r="G761" i="1"/>
  <c r="G690" i="1"/>
  <c r="G564" i="1"/>
  <c r="G503" i="1"/>
  <c r="G428" i="1"/>
  <c r="G244" i="1"/>
  <c r="G883" i="1"/>
  <c r="G829" i="1"/>
  <c r="G788" i="1"/>
  <c r="G730" i="1"/>
  <c r="G620" i="1"/>
  <c r="G502" i="1"/>
  <c r="G389" i="1"/>
  <c r="G240" i="1"/>
  <c r="G102" i="1"/>
  <c r="G41" i="1"/>
  <c r="G317" i="1"/>
  <c r="G163" i="1"/>
  <c r="G1017" i="1"/>
  <c r="G969" i="1"/>
  <c r="G921" i="1"/>
  <c r="G835" i="1"/>
  <c r="G766" i="1"/>
  <c r="N124" i="1"/>
  <c r="N1030" i="1"/>
  <c r="N1006" i="1"/>
  <c r="N982" i="1"/>
  <c r="N958" i="1"/>
  <c r="N934" i="1"/>
  <c r="N910" i="1"/>
  <c r="N886" i="1"/>
  <c r="N862" i="1"/>
  <c r="N838" i="1"/>
  <c r="N793" i="1"/>
  <c r="N759" i="1"/>
  <c r="N730" i="1"/>
  <c r="N701" i="1"/>
  <c r="N671" i="1"/>
  <c r="N619" i="1"/>
  <c r="N557" i="1"/>
  <c r="N482" i="1"/>
  <c r="N396" i="1"/>
  <c r="N325" i="1"/>
  <c r="N239" i="1"/>
  <c r="N152" i="1"/>
  <c r="N94" i="1"/>
  <c r="N823" i="1"/>
  <c r="N777" i="1"/>
  <c r="N676" i="1"/>
  <c r="N553" i="1"/>
  <c r="N463" i="1"/>
  <c r="N377" i="1"/>
  <c r="N290" i="1"/>
  <c r="N232" i="1"/>
  <c r="N145" i="1"/>
  <c r="N72" i="1"/>
  <c r="N1015" i="1"/>
  <c r="N991" i="1"/>
  <c r="N967" i="1"/>
  <c r="N943" i="1"/>
  <c r="N919" i="1"/>
  <c r="N895" i="1"/>
  <c r="N871" i="1"/>
  <c r="N847" i="1"/>
  <c r="N822" i="1"/>
  <c r="N770" i="1"/>
  <c r="N741" i="1"/>
  <c r="N712" i="1"/>
  <c r="N683" i="1"/>
  <c r="N632" i="1"/>
  <c r="N584" i="1"/>
  <c r="N517" i="1"/>
  <c r="N447" i="1"/>
  <c r="N374" i="1"/>
  <c r="N288" i="1"/>
  <c r="N217" i="1"/>
  <c r="N131" i="1"/>
  <c r="N54" i="1"/>
  <c r="N802" i="1"/>
  <c r="N726" i="1"/>
  <c r="N594" i="1"/>
  <c r="N446" i="1"/>
  <c r="N317" i="1"/>
  <c r="N201" i="1"/>
  <c r="N69" i="1"/>
  <c r="N1008" i="1"/>
  <c r="N984" i="1"/>
  <c r="N960" i="1"/>
  <c r="N936" i="1"/>
  <c r="N912" i="1"/>
  <c r="N888" i="1"/>
  <c r="N864" i="1"/>
  <c r="N840" i="1"/>
  <c r="N795" i="1"/>
  <c r="N754" i="1"/>
  <c r="N725" i="1"/>
  <c r="N697" i="1"/>
  <c r="N649" i="1"/>
  <c r="N615" i="1"/>
  <c r="N501" i="1"/>
  <c r="N432" i="1"/>
  <c r="N346" i="1"/>
  <c r="N273" i="1"/>
  <c r="N200" i="1"/>
  <c r="N114" i="1"/>
  <c r="N660" i="1"/>
  <c r="N614" i="1"/>
  <c r="N566" i="1"/>
  <c r="N514" i="1"/>
  <c r="N345" i="1"/>
  <c r="N129" i="1"/>
  <c r="N666" i="1"/>
  <c r="N620" i="1"/>
  <c r="N533" i="1"/>
  <c r="N484" i="1"/>
  <c r="N440" i="1"/>
  <c r="N397" i="1"/>
  <c r="N354" i="1"/>
  <c r="N311" i="1"/>
  <c r="N268" i="1"/>
  <c r="N224" i="1"/>
  <c r="N181" i="1"/>
  <c r="N138" i="1"/>
  <c r="N95" i="1"/>
  <c r="N47" i="1"/>
  <c r="N633" i="1"/>
  <c r="N565" i="1"/>
  <c r="N387" i="1"/>
  <c r="N171" i="1"/>
  <c r="N598" i="1"/>
  <c r="N574" i="1"/>
  <c r="N550" i="1"/>
  <c r="N523" i="1"/>
  <c r="N494" i="1"/>
  <c r="N466" i="1"/>
  <c r="N437" i="1"/>
  <c r="N408" i="1"/>
  <c r="N379" i="1"/>
  <c r="N350" i="1"/>
  <c r="N322" i="1"/>
  <c r="N293" i="1"/>
  <c r="N264" i="1"/>
  <c r="N235" i="1"/>
  <c r="N206" i="1"/>
  <c r="N178" i="1"/>
  <c r="N149" i="1"/>
  <c r="N120" i="1"/>
  <c r="N83" i="1"/>
  <c r="N35" i="1"/>
  <c r="N357" i="1"/>
  <c r="N213" i="1"/>
  <c r="N90" i="1"/>
  <c r="N603" i="1"/>
  <c r="N579" i="1"/>
  <c r="N555" i="1"/>
  <c r="N529" i="1"/>
  <c r="N500" i="1"/>
  <c r="N472" i="1"/>
  <c r="N443" i="1"/>
  <c r="N414" i="1"/>
  <c r="N385" i="1"/>
  <c r="N356" i="1"/>
  <c r="N328" i="1"/>
  <c r="N299" i="1"/>
  <c r="N270" i="1"/>
  <c r="N241" i="1"/>
  <c r="N212" i="1"/>
  <c r="N184" i="1"/>
  <c r="N155" i="1"/>
  <c r="N126" i="1"/>
  <c r="N97" i="1"/>
  <c r="N49" i="1"/>
  <c r="N435" i="1"/>
  <c r="N291" i="1"/>
  <c r="N147" i="1"/>
  <c r="N65" i="1"/>
  <c r="N92" i="1"/>
  <c r="N68" i="1"/>
  <c r="N44" i="1"/>
  <c r="P641" i="1"/>
  <c r="P398" i="1"/>
  <c r="P727" i="1"/>
  <c r="P588" i="1"/>
  <c r="P486" i="1"/>
  <c r="P807" i="1"/>
  <c r="P791" i="1"/>
  <c r="P864" i="1"/>
  <c r="P943" i="1"/>
  <c r="P131" i="1"/>
  <c r="P274" i="1"/>
  <c r="P849" i="1"/>
  <c r="P59" i="1"/>
  <c r="P966" i="1"/>
  <c r="P832" i="1"/>
  <c r="P632" i="1"/>
  <c r="P542" i="1"/>
  <c r="P366" i="1"/>
  <c r="P184" i="1"/>
  <c r="P991" i="1"/>
  <c r="P816" i="1"/>
  <c r="P752" i="1"/>
  <c r="P612" i="1"/>
  <c r="P411" i="1"/>
  <c r="P52" i="1"/>
  <c r="P916" i="1"/>
  <c r="P834" i="1"/>
  <c r="P637" i="1"/>
  <c r="P548" i="1"/>
  <c r="P420" i="1"/>
  <c r="P272" i="1"/>
  <c r="P98" i="1"/>
  <c r="P968" i="1"/>
  <c r="P861" i="1"/>
  <c r="P771" i="1"/>
  <c r="P690" i="1"/>
  <c r="P523" i="1"/>
  <c r="P246" i="1"/>
  <c r="P940" i="1"/>
  <c r="P873" i="1"/>
  <c r="P817" i="1"/>
  <c r="P652" i="1"/>
  <c r="P564" i="1"/>
  <c r="P342" i="1"/>
  <c r="P1018" i="1"/>
  <c r="P951" i="1"/>
  <c r="P815" i="1"/>
  <c r="P750" i="1"/>
  <c r="P630" i="1"/>
  <c r="P518" i="1"/>
  <c r="P361" i="1"/>
  <c r="P208" i="1"/>
  <c r="P1030" i="1"/>
  <c r="P963" i="1"/>
  <c r="P896" i="1"/>
  <c r="P813" i="1"/>
  <c r="P683" i="1"/>
  <c r="P517" i="1"/>
  <c r="P334" i="1"/>
  <c r="P145" i="1"/>
  <c r="P989" i="1"/>
  <c r="P935" i="1"/>
  <c r="P663" i="1"/>
  <c r="P573" i="1"/>
  <c r="P428" i="1"/>
  <c r="P258" i="1"/>
  <c r="P1014" i="1"/>
  <c r="P893" i="1"/>
  <c r="P840" i="1"/>
  <c r="P747" i="1"/>
  <c r="P643" i="1"/>
  <c r="P471" i="1"/>
  <c r="P254" i="1"/>
  <c r="P973" i="1"/>
  <c r="P905" i="1"/>
  <c r="P743" i="1"/>
  <c r="P622" i="1"/>
  <c r="P447" i="1"/>
  <c r="P353" i="1"/>
  <c r="P382" i="1"/>
  <c r="P257" i="1"/>
  <c r="P142" i="1"/>
  <c r="P1028" i="1"/>
  <c r="P965" i="1"/>
  <c r="P910" i="1"/>
  <c r="P855" i="1"/>
  <c r="P788" i="1"/>
  <c r="P720" i="1"/>
  <c r="P671" i="1"/>
  <c r="P608" i="1"/>
  <c r="P545" i="1"/>
  <c r="P495" i="1"/>
  <c r="P419" i="1"/>
  <c r="P319" i="1"/>
  <c r="P244" i="1"/>
  <c r="P173" i="1"/>
  <c r="P78" i="1"/>
  <c r="P1004" i="1"/>
  <c r="P933" i="1"/>
  <c r="P886" i="1"/>
  <c r="P831" i="1"/>
  <c r="P777" i="1"/>
  <c r="P669" i="1"/>
  <c r="P586" i="1"/>
  <c r="P456" i="1"/>
  <c r="P368" i="1"/>
  <c r="P255" i="1"/>
  <c r="P202" i="1"/>
  <c r="P140" i="1"/>
  <c r="P1025" i="1"/>
  <c r="P978" i="1"/>
  <c r="P907" i="1"/>
  <c r="P868" i="1"/>
  <c r="P793" i="1"/>
  <c r="P698" i="1"/>
  <c r="P636" i="1"/>
  <c r="P541" i="1"/>
  <c r="P466" i="1"/>
  <c r="P340" i="1"/>
  <c r="P288" i="1"/>
  <c r="P227" i="1"/>
  <c r="P72" i="1"/>
  <c r="P985" i="1"/>
  <c r="P899" i="1"/>
  <c r="P860" i="1"/>
  <c r="P774" i="1"/>
  <c r="P735" i="1"/>
  <c r="P656" i="1"/>
  <c r="P582" i="1"/>
  <c r="P490" i="1"/>
  <c r="P414" i="1"/>
  <c r="P364" i="1"/>
  <c r="P136" i="1"/>
  <c r="P1024" i="1"/>
  <c r="P961" i="1"/>
  <c r="P914" i="1"/>
  <c r="P851" i="1"/>
  <c r="P792" i="1"/>
  <c r="P676" i="1"/>
  <c r="P603" i="1"/>
  <c r="P502" i="1"/>
  <c r="P351" i="1"/>
  <c r="P287" i="1"/>
  <c r="P238" i="1"/>
  <c r="P166" i="1"/>
  <c r="P88" i="1"/>
  <c r="P169" i="1"/>
  <c r="P107" i="1"/>
  <c r="P1009" i="1"/>
  <c r="P957" i="1"/>
  <c r="P911" i="1"/>
  <c r="P865" i="1"/>
  <c r="P804" i="1"/>
  <c r="P761" i="1"/>
  <c r="P703" i="1"/>
  <c r="P665" i="1"/>
  <c r="P602" i="1"/>
  <c r="P547" i="1"/>
  <c r="P491" i="1"/>
  <c r="P435" i="1"/>
  <c r="P397" i="1"/>
  <c r="P359" i="1"/>
  <c r="P303" i="1"/>
  <c r="P179" i="1"/>
  <c r="P73" i="1"/>
  <c r="P773" i="1"/>
  <c r="P715" i="1"/>
  <c r="P678" i="1"/>
  <c r="P592" i="1"/>
  <c r="P535" i="1"/>
  <c r="P488" i="1"/>
  <c r="P441" i="1"/>
  <c r="P290" i="1"/>
  <c r="P215" i="1"/>
  <c r="P144" i="1"/>
  <c r="P92" i="1"/>
  <c r="P1013" i="1"/>
  <c r="P967" i="1"/>
  <c r="P915" i="1"/>
  <c r="P869" i="1"/>
  <c r="P801" i="1"/>
  <c r="P729" i="1"/>
  <c r="P662" i="1"/>
  <c r="P607" i="1"/>
  <c r="P552" i="1"/>
  <c r="P487" i="1"/>
  <c r="P431" i="1"/>
  <c r="P393" i="1"/>
  <c r="P346" i="1"/>
  <c r="P299" i="1"/>
  <c r="P174" i="1"/>
  <c r="P79" i="1"/>
  <c r="P820" i="1"/>
  <c r="P796" i="1"/>
  <c r="P772" i="1"/>
  <c r="P748" i="1"/>
  <c r="P724" i="1"/>
  <c r="P700" i="1"/>
  <c r="P668" i="1"/>
  <c r="P616" i="1"/>
  <c r="P570" i="1"/>
  <c r="P520" i="1"/>
  <c r="P473" i="1"/>
  <c r="P410" i="1"/>
  <c r="P363" i="1"/>
  <c r="P300" i="1"/>
  <c r="P245" i="1"/>
  <c r="P163" i="1"/>
  <c r="P85" i="1"/>
  <c r="P37" i="1"/>
  <c r="P646" i="1"/>
  <c r="P600" i="1"/>
  <c r="P554" i="1"/>
  <c r="P462" i="1"/>
  <c r="P423" i="1"/>
  <c r="P352" i="1"/>
  <c r="P305" i="1"/>
  <c r="P250" i="1"/>
  <c r="P186" i="1"/>
  <c r="P116" i="1"/>
  <c r="P53" i="1"/>
  <c r="P527" i="1"/>
  <c r="P481" i="1"/>
  <c r="P429" i="1"/>
  <c r="P383" i="1"/>
  <c r="P337" i="1"/>
  <c r="P285" i="1"/>
  <c r="P239" i="1"/>
  <c r="P84" i="1"/>
  <c r="P524" i="1"/>
  <c r="P472" i="1"/>
  <c r="P426" i="1"/>
  <c r="P380" i="1"/>
  <c r="P328" i="1"/>
  <c r="P282" i="1"/>
  <c r="P236" i="1"/>
  <c r="P190" i="1"/>
  <c r="P161" i="1"/>
  <c r="P132" i="1"/>
  <c r="P103" i="1"/>
  <c r="P41" i="1"/>
  <c r="P177" i="1"/>
  <c r="P153" i="1"/>
  <c r="P129" i="1"/>
  <c r="P105" i="1"/>
  <c r="P81" i="1"/>
  <c r="P57" i="1"/>
  <c r="P33" i="1"/>
  <c r="P68" i="1"/>
  <c r="P44" i="1"/>
  <c r="B1014" i="1"/>
  <c r="B575" i="1"/>
  <c r="B1007" i="1"/>
  <c r="B944" i="1"/>
  <c r="B768" i="1"/>
  <c r="B656" i="1"/>
  <c r="B465" i="1"/>
  <c r="B220" i="1"/>
  <c r="B971" i="1"/>
  <c r="B864" i="1"/>
  <c r="B767" i="1"/>
  <c r="B637" i="1"/>
  <c r="B537" i="1"/>
  <c r="B360" i="1"/>
  <c r="B1015" i="1"/>
  <c r="B941" i="1"/>
  <c r="B846" i="1"/>
  <c r="B710" i="1"/>
  <c r="B596" i="1"/>
  <c r="B436" i="1"/>
  <c r="B145" i="1"/>
  <c r="B926" i="1"/>
  <c r="B747" i="1"/>
  <c r="B576" i="1"/>
  <c r="B354" i="1"/>
  <c r="B1002" i="1"/>
  <c r="B764" i="1"/>
  <c r="B553" i="1"/>
  <c r="B240" i="1"/>
  <c r="B844" i="1"/>
  <c r="B573" i="1"/>
  <c r="B268" i="1"/>
  <c r="B978" i="1"/>
  <c r="B825" i="1"/>
  <c r="B526" i="1"/>
  <c r="B318" i="1"/>
  <c r="B888" i="1"/>
  <c r="B703" i="1"/>
  <c r="B525" i="1"/>
  <c r="B172" i="1"/>
  <c r="B976" i="1"/>
  <c r="B870" i="1"/>
  <c r="B644" i="1"/>
  <c r="B313" i="1"/>
  <c r="B164" i="1"/>
  <c r="B701" i="1"/>
  <c r="B544" i="1"/>
  <c r="B85" i="1"/>
  <c r="B738" i="1"/>
  <c r="B543" i="1"/>
  <c r="B366" i="1"/>
  <c r="B1026" i="1"/>
  <c r="B509" i="1"/>
  <c r="B796" i="1"/>
  <c r="B380" i="1"/>
  <c r="B936" i="1"/>
  <c r="B426" i="1"/>
  <c r="B840" i="1"/>
  <c r="B589" i="1"/>
  <c r="B94" i="1"/>
  <c r="B838" i="1"/>
  <c r="B545" i="1"/>
  <c r="B681" i="1"/>
  <c r="B340" i="1"/>
  <c r="B1020" i="1"/>
  <c r="B962" i="1"/>
  <c r="B772" i="1"/>
  <c r="B900" i="1"/>
  <c r="B804" i="1"/>
  <c r="B680" i="1"/>
  <c r="B564" i="1"/>
  <c r="B310" i="1"/>
  <c r="B118" i="1"/>
  <c r="B133" i="1"/>
  <c r="B1023" i="1"/>
  <c r="B977" i="1"/>
  <c r="B942" i="1"/>
  <c r="B872" i="1"/>
  <c r="B776" i="1"/>
  <c r="B712" i="1"/>
  <c r="B645" i="1"/>
  <c r="B547" i="1"/>
  <c r="B476" i="1"/>
  <c r="B385" i="1"/>
  <c r="B275" i="1"/>
  <c r="B1029" i="1"/>
  <c r="B983" i="1"/>
  <c r="B879" i="1"/>
  <c r="B783" i="1"/>
  <c r="B692" i="1"/>
  <c r="B635" i="1"/>
  <c r="B588" i="1"/>
  <c r="B535" i="1"/>
  <c r="B450" i="1"/>
  <c r="B287" i="1"/>
  <c r="B174" i="1"/>
  <c r="B65" i="1"/>
  <c r="B946" i="1"/>
  <c r="B771" i="1"/>
  <c r="B660" i="1"/>
  <c r="B542" i="1"/>
  <c r="B431" i="1"/>
  <c r="B239" i="1"/>
  <c r="B125" i="1"/>
  <c r="B1006" i="1"/>
  <c r="B843" i="1"/>
  <c r="B649" i="1"/>
  <c r="B455" i="1"/>
  <c r="B209" i="1"/>
  <c r="B922" i="1"/>
  <c r="B850" i="1"/>
  <c r="B786" i="1"/>
  <c r="B744" i="1"/>
  <c r="B687" i="1"/>
  <c r="B620" i="1"/>
  <c r="B560" i="1"/>
  <c r="B493" i="1"/>
  <c r="B416" i="1"/>
  <c r="B292" i="1"/>
  <c r="B181" i="1"/>
  <c r="B71" i="1"/>
  <c r="B939" i="1"/>
  <c r="B788" i="1"/>
  <c r="B641" i="1"/>
  <c r="B482" i="1"/>
  <c r="B253" i="1"/>
  <c r="B973" i="1"/>
  <c r="B761" i="1"/>
  <c r="B517" i="1"/>
  <c r="B266" i="1"/>
  <c r="B1025" i="1"/>
  <c r="B966" i="1"/>
  <c r="B898" i="1"/>
  <c r="B1005" i="1"/>
  <c r="B914" i="1"/>
  <c r="B818" i="1"/>
  <c r="B715" i="1"/>
  <c r="B648" i="1"/>
  <c r="B571" i="1"/>
  <c r="B479" i="1"/>
  <c r="B376" i="1"/>
  <c r="B208" i="1"/>
  <c r="B103" i="1"/>
  <c r="B917" i="1"/>
  <c r="B893" i="1"/>
  <c r="B869" i="1"/>
  <c r="B845" i="1"/>
  <c r="B821" i="1"/>
  <c r="B797" i="1"/>
  <c r="B766" i="1"/>
  <c r="B726" i="1"/>
  <c r="B690" i="1"/>
  <c r="B604" i="1"/>
  <c r="B559" i="1"/>
  <c r="B462" i="1"/>
  <c r="B415" i="1"/>
  <c r="B311" i="1"/>
  <c r="B259" i="1"/>
  <c r="B107" i="1"/>
  <c r="B769" i="1"/>
  <c r="B693" i="1"/>
  <c r="B657" i="1"/>
  <c r="B629" i="1"/>
  <c r="B555" i="1"/>
  <c r="B514" i="1"/>
  <c r="B457" i="1"/>
  <c r="B389" i="1"/>
  <c r="B337" i="1"/>
  <c r="B211" i="1"/>
  <c r="B158" i="1"/>
  <c r="B60" i="1"/>
  <c r="B949" i="1"/>
  <c r="B925" i="1"/>
  <c r="B901" i="1"/>
  <c r="B877" i="1"/>
  <c r="B853" i="1"/>
  <c r="B829" i="1"/>
  <c r="B805" i="1"/>
  <c r="B781" i="1"/>
  <c r="B742" i="1"/>
  <c r="B714" i="1"/>
  <c r="B628" i="1"/>
  <c r="B592" i="1"/>
  <c r="B546" i="1"/>
  <c r="B475" i="1"/>
  <c r="B418" i="1"/>
  <c r="B294" i="1"/>
  <c r="B168" i="1"/>
  <c r="B503" i="1"/>
  <c r="B410" i="1"/>
  <c r="B348" i="1"/>
  <c r="B277" i="1"/>
  <c r="B215" i="1"/>
  <c r="B144" i="1"/>
  <c r="B59" i="1"/>
  <c r="B548" i="1"/>
  <c r="B456" i="1"/>
  <c r="B420" i="1"/>
  <c r="B383" i="1"/>
  <c r="B312" i="1"/>
  <c r="B241" i="1"/>
  <c r="B179" i="1"/>
  <c r="B92" i="1"/>
  <c r="B35" i="1"/>
  <c r="B698" i="1"/>
  <c r="B652" i="1"/>
  <c r="B600" i="1"/>
  <c r="B554" i="1"/>
  <c r="B520" i="1"/>
  <c r="B491" i="1"/>
  <c r="B390" i="1"/>
  <c r="B319" i="1"/>
  <c r="B248" i="1"/>
  <c r="B186" i="1"/>
  <c r="B130" i="1"/>
  <c r="B532" i="1"/>
  <c r="B486" i="1"/>
  <c r="B440" i="1"/>
  <c r="B394" i="1"/>
  <c r="B365" i="1"/>
  <c r="B336" i="1"/>
  <c r="B307" i="1"/>
  <c r="B278" i="1"/>
  <c r="B250" i="1"/>
  <c r="B221" i="1"/>
  <c r="B192" i="1"/>
  <c r="B163" i="1"/>
  <c r="B134" i="1"/>
  <c r="B106" i="1"/>
  <c r="B77" i="1"/>
  <c r="B48" i="1"/>
  <c r="B119" i="1"/>
  <c r="B90" i="1"/>
  <c r="B61" i="1"/>
  <c r="B32" i="1"/>
  <c r="B381" i="1"/>
  <c r="B357" i="1"/>
  <c r="B333" i="1"/>
  <c r="B309" i="1"/>
  <c r="B285" i="1"/>
  <c r="B261" i="1"/>
  <c r="B237" i="1"/>
  <c r="B213" i="1"/>
  <c r="B189" i="1"/>
  <c r="B165" i="1"/>
  <c r="B141" i="1"/>
  <c r="B117" i="1"/>
  <c r="B93" i="1"/>
  <c r="B69" i="1"/>
  <c r="B45" i="1"/>
  <c r="B4" i="1"/>
  <c r="D4" i="1" s="1"/>
  <c r="C5" i="1"/>
  <c r="E5" i="1" s="1"/>
  <c r="U8" i="1"/>
  <c r="W8" i="1" s="1"/>
  <c r="O8" i="1"/>
  <c r="Q8" i="1" s="1"/>
  <c r="C4" i="1"/>
  <c r="E4" i="1" s="1"/>
  <c r="B7" i="1"/>
  <c r="D7" i="1" s="1"/>
  <c r="V8" i="1"/>
  <c r="X8" i="1" s="1"/>
  <c r="P6" i="1"/>
  <c r="R6" i="1" s="1"/>
  <c r="I7" i="1"/>
  <c r="K7" i="1" s="1"/>
  <c r="B5" i="1"/>
  <c r="D5" i="1" s="1"/>
  <c r="C1002" i="1"/>
  <c r="C813" i="1"/>
  <c r="C444" i="1"/>
  <c r="C233" i="1"/>
  <c r="C922" i="1"/>
  <c r="C757" i="1"/>
  <c r="C644" i="1"/>
  <c r="C394" i="1"/>
  <c r="C939" i="1"/>
  <c r="C807" i="1"/>
  <c r="C602" i="1"/>
  <c r="C338" i="1"/>
  <c r="C958" i="1"/>
  <c r="C752" i="1"/>
  <c r="C433" i="1"/>
  <c r="C160" i="1"/>
  <c r="C898" i="1"/>
  <c r="C669" i="1"/>
  <c r="C423" i="1"/>
  <c r="C915" i="1"/>
  <c r="C631" i="1"/>
  <c r="C272" i="1"/>
  <c r="C1030" i="1"/>
  <c r="C897" i="1"/>
  <c r="C746" i="1"/>
  <c r="C517" i="1"/>
  <c r="C208" i="1"/>
  <c r="C1027" i="1"/>
  <c r="C914" i="1"/>
  <c r="C688" i="1"/>
  <c r="C362" i="1"/>
  <c r="C139" i="1"/>
  <c r="C913" i="1"/>
  <c r="C715" i="1"/>
  <c r="C254" i="1"/>
  <c r="C1006" i="1"/>
  <c r="C890" i="1"/>
  <c r="C549" i="1"/>
  <c r="C307" i="1"/>
  <c r="C986" i="1"/>
  <c r="C841" i="1"/>
  <c r="C681" i="1"/>
  <c r="C250" i="1"/>
  <c r="C786" i="1"/>
  <c r="C680" i="1"/>
  <c r="C247" i="1"/>
  <c r="C976" i="1"/>
  <c r="C868" i="1"/>
  <c r="C783" i="1"/>
  <c r="C704" i="1"/>
  <c r="C613" i="1"/>
  <c r="C553" i="1"/>
  <c r="C418" i="1"/>
  <c r="C312" i="1"/>
  <c r="C94" i="1"/>
  <c r="C992" i="1"/>
  <c r="C944" i="1"/>
  <c r="C896" i="1"/>
  <c r="C837" i="1"/>
  <c r="C726" i="1"/>
  <c r="C679" i="1"/>
  <c r="C537" i="1"/>
  <c r="C376" i="1"/>
  <c r="C288" i="1"/>
  <c r="C179" i="1"/>
  <c r="C70" i="1"/>
  <c r="C991" i="1"/>
  <c r="C943" i="1"/>
  <c r="C895" i="1"/>
  <c r="C803" i="1"/>
  <c r="C747" i="1"/>
  <c r="C625" i="1"/>
  <c r="C550" i="1"/>
  <c r="C222" i="1"/>
  <c r="C44" i="1"/>
  <c r="C650" i="1"/>
  <c r="C468" i="1"/>
  <c r="C236" i="1"/>
  <c r="C853" i="1"/>
  <c r="C799" i="1"/>
  <c r="C754" i="1"/>
  <c r="C635" i="1"/>
  <c r="C562" i="1"/>
  <c r="C487" i="1"/>
  <c r="C366" i="1"/>
  <c r="C259" i="1"/>
  <c r="C127" i="1"/>
  <c r="C242" i="1"/>
  <c r="C1022" i="1"/>
  <c r="C974" i="1"/>
  <c r="C926" i="1"/>
  <c r="C855" i="1"/>
  <c r="C800" i="1"/>
  <c r="C676" i="1"/>
  <c r="C608" i="1"/>
  <c r="C470" i="1"/>
  <c r="C305" i="1"/>
  <c r="C173" i="1"/>
  <c r="C64" i="1"/>
  <c r="C1005" i="1"/>
  <c r="C957" i="1"/>
  <c r="C909" i="1"/>
  <c r="C874" i="1"/>
  <c r="C662" i="1"/>
  <c r="C429" i="1"/>
  <c r="C964" i="1"/>
  <c r="C1020" i="1"/>
  <c r="C972" i="1"/>
  <c r="C924" i="1"/>
  <c r="C873" i="1"/>
  <c r="C731" i="1"/>
  <c r="C618" i="1"/>
  <c r="C505" i="1"/>
  <c r="C406" i="1"/>
  <c r="C300" i="1"/>
  <c r="C80" i="1"/>
  <c r="C860" i="1"/>
  <c r="C836" i="1"/>
  <c r="C791" i="1"/>
  <c r="C745" i="1"/>
  <c r="C692" i="1"/>
  <c r="C649" i="1"/>
  <c r="C581" i="1"/>
  <c r="C536" i="1"/>
  <c r="C490" i="1"/>
  <c r="C385" i="1"/>
  <c r="C271" i="1"/>
  <c r="C156" i="1"/>
  <c r="C41" i="1"/>
  <c r="C784" i="1"/>
  <c r="C738" i="1"/>
  <c r="C670" i="1"/>
  <c r="C606" i="1"/>
  <c r="C534" i="1"/>
  <c r="C454" i="1"/>
  <c r="C372" i="1"/>
  <c r="C295" i="1"/>
  <c r="C232" i="1"/>
  <c r="C142" i="1"/>
  <c r="C65" i="1"/>
  <c r="C870" i="1"/>
  <c r="C815" i="1"/>
  <c r="C743" i="1"/>
  <c r="C697" i="1"/>
  <c r="C654" i="1"/>
  <c r="C578" i="1"/>
  <c r="C508" i="1"/>
  <c r="C393" i="1"/>
  <c r="C330" i="1"/>
  <c r="C253" i="1"/>
  <c r="C164" i="1"/>
  <c r="C100" i="1"/>
  <c r="C821" i="1"/>
  <c r="C775" i="1"/>
  <c r="C723" i="1"/>
  <c r="C675" i="1"/>
  <c r="C612" i="1"/>
  <c r="C569" i="1"/>
  <c r="C449" i="1"/>
  <c r="C290" i="1"/>
  <c r="C188" i="1"/>
  <c r="C86" i="1"/>
  <c r="C35" i="1"/>
  <c r="C852" i="1"/>
  <c r="C769" i="1"/>
  <c r="C1007" i="1"/>
  <c r="C983" i="1"/>
  <c r="C959" i="1"/>
  <c r="C935" i="1"/>
  <c r="C911" i="1"/>
  <c r="C887" i="1"/>
  <c r="C863" i="1"/>
  <c r="C839" i="1"/>
  <c r="C801" i="1"/>
  <c r="C755" i="1"/>
  <c r="C709" i="1"/>
  <c r="C660" i="1"/>
  <c r="C568" i="1"/>
  <c r="C507" i="1"/>
  <c r="C425" i="1"/>
  <c r="C367" i="1"/>
  <c r="C252" i="1"/>
  <c r="C137" i="1"/>
  <c r="C540" i="1"/>
  <c r="C497" i="1"/>
  <c r="C401" i="1"/>
  <c r="C355" i="1"/>
  <c r="C240" i="1"/>
  <c r="C125" i="1"/>
  <c r="C695" i="1"/>
  <c r="C671" i="1"/>
  <c r="C647" i="1"/>
  <c r="C590" i="1"/>
  <c r="C530" i="1"/>
  <c r="C495" i="1"/>
  <c r="C408" i="1"/>
  <c r="C354" i="1"/>
  <c r="C296" i="1"/>
  <c r="C239" i="1"/>
  <c r="C181" i="1"/>
  <c r="C124" i="1"/>
  <c r="C66" i="1"/>
  <c r="C630" i="1"/>
  <c r="C594" i="1"/>
  <c r="C558" i="1"/>
  <c r="C500" i="1"/>
  <c r="C457" i="1"/>
  <c r="C360" i="1"/>
  <c r="C302" i="1"/>
  <c r="C245" i="1"/>
  <c r="C187" i="1"/>
  <c r="C130" i="1"/>
  <c r="C72" i="1"/>
  <c r="C531" i="1"/>
  <c r="C485" i="1"/>
  <c r="C439" i="1"/>
  <c r="C387" i="1"/>
  <c r="C509" i="1"/>
  <c r="C463" i="1"/>
  <c r="C411" i="1"/>
  <c r="C541" i="1"/>
  <c r="C489" i="1"/>
  <c r="C443" i="1"/>
  <c r="C397" i="1"/>
  <c r="C356" i="1"/>
  <c r="C328" i="1"/>
  <c r="C299" i="1"/>
  <c r="C270" i="1"/>
  <c r="C241" i="1"/>
  <c r="C212" i="1"/>
  <c r="C184" i="1"/>
  <c r="C155" i="1"/>
  <c r="C126" i="1"/>
  <c r="C97" i="1"/>
  <c r="C68" i="1"/>
  <c r="C40" i="1"/>
  <c r="C357" i="1"/>
  <c r="C333" i="1"/>
  <c r="C309" i="1"/>
  <c r="C285" i="1"/>
  <c r="C261" i="1"/>
  <c r="C237" i="1"/>
  <c r="C213" i="1"/>
  <c r="C189" i="1"/>
  <c r="C165" i="1"/>
  <c r="C141" i="1"/>
  <c r="C117" i="1"/>
  <c r="C93" i="1"/>
  <c r="C69" i="1"/>
  <c r="C45" i="1"/>
  <c r="G990" i="1"/>
  <c r="G215" i="1"/>
  <c r="G369" i="1"/>
  <c r="G817" i="1"/>
  <c r="G340" i="1"/>
  <c r="G417" i="1"/>
  <c r="G507" i="1"/>
  <c r="G1021" i="1"/>
  <c r="G1020" i="1"/>
  <c r="G740" i="1"/>
  <c r="G483" i="1"/>
  <c r="G109" i="1"/>
  <c r="G804" i="1"/>
  <c r="G958" i="1"/>
  <c r="G790" i="1"/>
  <c r="G683" i="1"/>
  <c r="G893" i="1"/>
  <c r="G412" i="1"/>
  <c r="G172" i="1"/>
  <c r="G997" i="1"/>
  <c r="G879" i="1"/>
  <c r="G735" i="1"/>
  <c r="G584" i="1"/>
  <c r="G263" i="1"/>
  <c r="G966" i="1"/>
  <c r="G867" i="1"/>
  <c r="G799" i="1"/>
  <c r="G660" i="1"/>
  <c r="G520" i="1"/>
  <c r="G431" i="1"/>
  <c r="G294" i="1"/>
  <c r="G985" i="1"/>
  <c r="G903" i="1"/>
  <c r="G839" i="1"/>
  <c r="G619" i="1"/>
  <c r="G455" i="1"/>
  <c r="G324" i="1"/>
  <c r="G94" i="1"/>
  <c r="G607" i="1"/>
  <c r="G305" i="1"/>
  <c r="G906" i="1"/>
  <c r="G771" i="1"/>
  <c r="G809" i="1"/>
  <c r="G539" i="1"/>
  <c r="G984" i="1"/>
  <c r="G823" i="1"/>
  <c r="G450" i="1"/>
  <c r="G319" i="1"/>
  <c r="G48" i="1"/>
  <c r="G952" i="1"/>
  <c r="G875" i="1"/>
  <c r="G778" i="1"/>
  <c r="G713" i="1"/>
  <c r="G635" i="1"/>
  <c r="G555" i="1"/>
  <c r="G400" i="1"/>
  <c r="G156" i="1"/>
  <c r="G910" i="1"/>
  <c r="G792" i="1"/>
  <c r="G633" i="1"/>
  <c r="G553" i="1"/>
  <c r="G310" i="1"/>
  <c r="G830" i="1"/>
  <c r="G336" i="1"/>
  <c r="G645" i="1"/>
  <c r="G852" i="1"/>
  <c r="G475" i="1"/>
  <c r="G973" i="1"/>
  <c r="G796" i="1"/>
  <c r="G429" i="1"/>
  <c r="G940" i="1"/>
  <c r="G872" i="1"/>
  <c r="G806" i="1"/>
  <c r="G590" i="1"/>
  <c r="G393" i="1"/>
  <c r="G151" i="1"/>
  <c r="G76" i="1"/>
  <c r="G1013" i="1"/>
  <c r="G989" i="1"/>
  <c r="G965" i="1"/>
  <c r="G941" i="1"/>
  <c r="G917" i="1"/>
  <c r="G869" i="1"/>
  <c r="G822" i="1"/>
  <c r="G732" i="1"/>
  <c r="G679" i="1"/>
  <c r="G552" i="1"/>
  <c r="G477" i="1"/>
  <c r="G402" i="1"/>
  <c r="G120" i="1"/>
  <c r="G876" i="1"/>
  <c r="G821" i="1"/>
  <c r="G779" i="1"/>
  <c r="G678" i="1"/>
  <c r="G596" i="1"/>
  <c r="G488" i="1"/>
  <c r="G364" i="1"/>
  <c r="G227" i="1"/>
  <c r="G88" i="1"/>
  <c r="G437" i="1"/>
  <c r="G223" i="1"/>
  <c r="G132" i="1"/>
  <c r="G1005" i="1"/>
  <c r="G957" i="1"/>
  <c r="G915" i="1"/>
  <c r="G827" i="1"/>
  <c r="G719" i="1"/>
  <c r="N372" i="1"/>
  <c r="N343" i="1"/>
  <c r="N314" i="1"/>
  <c r="N286" i="1"/>
  <c r="N257" i="1"/>
  <c r="N228" i="1"/>
  <c r="N199" i="1"/>
  <c r="N170" i="1"/>
  <c r="N142" i="1"/>
  <c r="N113" i="1"/>
  <c r="N75" i="1"/>
  <c r="N465" i="1"/>
  <c r="N321" i="1"/>
  <c r="N177" i="1"/>
  <c r="N66" i="1"/>
  <c r="N597" i="1"/>
  <c r="N573" i="1"/>
  <c r="N549" i="1"/>
  <c r="N522" i="1"/>
  <c r="N493" i="1"/>
  <c r="N464" i="1"/>
  <c r="N436" i="1"/>
  <c r="N407" i="1"/>
  <c r="N378" i="1"/>
  <c r="N349" i="1"/>
  <c r="N320" i="1"/>
  <c r="N292" i="1"/>
  <c r="N263" i="1"/>
  <c r="N234" i="1"/>
  <c r="N205" i="1"/>
  <c r="N176" i="1"/>
  <c r="N148" i="1"/>
  <c r="N119" i="1"/>
  <c r="N82" i="1"/>
  <c r="N34" i="1"/>
  <c r="N399" i="1"/>
  <c r="N255" i="1"/>
  <c r="N111" i="1"/>
  <c r="N57" i="1"/>
  <c r="N86" i="1"/>
  <c r="N62" i="1"/>
  <c r="N38" i="1"/>
  <c r="P530" i="1"/>
  <c r="P984" i="1"/>
  <c r="P621" i="1"/>
  <c r="P222" i="1"/>
  <c r="P349" i="1"/>
  <c r="P709" i="1"/>
  <c r="P585" i="1"/>
  <c r="P675" i="1"/>
  <c r="P776" i="1"/>
  <c r="P932" i="1"/>
  <c r="P101" i="1"/>
  <c r="P658" i="1"/>
  <c r="P1006" i="1"/>
  <c r="P952" i="1"/>
  <c r="P770" i="1"/>
  <c r="P598" i="1"/>
  <c r="P522" i="1"/>
  <c r="P291" i="1"/>
  <c r="P152" i="1"/>
  <c r="P897" i="1"/>
  <c r="P800" i="1"/>
  <c r="P734" i="1"/>
  <c r="P578" i="1"/>
  <c r="P260" i="1"/>
  <c r="P1023" i="1"/>
  <c r="P903" i="1"/>
  <c r="P821" i="1"/>
  <c r="P620" i="1"/>
  <c r="P505" i="1"/>
  <c r="P372" i="1"/>
  <c r="P247" i="1"/>
  <c r="P1022" i="1"/>
  <c r="P955" i="1"/>
  <c r="P848" i="1"/>
  <c r="P756" i="1"/>
  <c r="P653" i="1"/>
  <c r="P437" i="1"/>
  <c r="P130" i="1"/>
  <c r="P927" i="1"/>
  <c r="P858" i="1"/>
  <c r="P753" i="1"/>
  <c r="P633" i="1"/>
  <c r="P480" i="1"/>
  <c r="P292" i="1"/>
  <c r="P1005" i="1"/>
  <c r="P936" i="1"/>
  <c r="P799" i="1"/>
  <c r="P733" i="1"/>
  <c r="P595" i="1"/>
  <c r="P496" i="1"/>
  <c r="P335" i="1"/>
  <c r="P178" i="1"/>
  <c r="P1015" i="1"/>
  <c r="P950" i="1"/>
  <c r="P881" i="1"/>
  <c r="P781" i="1"/>
  <c r="P664" i="1"/>
  <c r="P449" i="1"/>
  <c r="P310" i="1"/>
  <c r="P83" i="1"/>
  <c r="P975" i="1"/>
  <c r="P908" i="1"/>
  <c r="P627" i="1"/>
  <c r="P536" i="1"/>
  <c r="P408" i="1"/>
  <c r="P232" i="1"/>
  <c r="P947" i="1"/>
  <c r="P880" i="1"/>
  <c r="P825" i="1"/>
  <c r="P731" i="1"/>
  <c r="P589" i="1"/>
  <c r="P405" i="1"/>
  <c r="P170" i="1"/>
  <c r="P959" i="1"/>
  <c r="P838" i="1"/>
  <c r="P728" i="1"/>
  <c r="P553" i="1"/>
  <c r="P424" i="1"/>
  <c r="P329" i="1"/>
  <c r="P358" i="1"/>
  <c r="P220" i="1"/>
  <c r="P128" i="1"/>
  <c r="P1020" i="1"/>
  <c r="P949" i="1"/>
  <c r="P894" i="1"/>
  <c r="P847" i="1"/>
  <c r="P759" i="1"/>
  <c r="P711" i="1"/>
  <c r="P660" i="1"/>
  <c r="P597" i="1"/>
  <c r="P532" i="1"/>
  <c r="P483" i="1"/>
  <c r="P395" i="1"/>
  <c r="P306" i="1"/>
  <c r="P231" i="1"/>
  <c r="P157" i="1"/>
  <c r="P43" i="1"/>
  <c r="P988" i="1"/>
  <c r="P925" i="1"/>
  <c r="P878" i="1"/>
  <c r="P822" i="1"/>
  <c r="P757" i="1"/>
  <c r="P649" i="1"/>
  <c r="P575" i="1"/>
  <c r="P430" i="1"/>
  <c r="P330" i="1"/>
  <c r="P241" i="1"/>
  <c r="P187" i="1"/>
  <c r="P109" i="1"/>
  <c r="P1010" i="1"/>
  <c r="P939" i="1"/>
  <c r="P892" i="1"/>
  <c r="P837" i="1"/>
  <c r="P746" i="1"/>
  <c r="P677" i="1"/>
  <c r="P625" i="1"/>
  <c r="P515" i="1"/>
  <c r="P453" i="1"/>
  <c r="P326" i="1"/>
  <c r="P277" i="1"/>
  <c r="P212" i="1"/>
  <c r="P1017" i="1"/>
  <c r="P962" i="1"/>
  <c r="P891" i="1"/>
  <c r="P844" i="1"/>
  <c r="P764" i="1"/>
  <c r="P726" i="1"/>
  <c r="P635" i="1"/>
  <c r="P572" i="1"/>
  <c r="P476" i="1"/>
  <c r="P401" i="1"/>
  <c r="P339" i="1"/>
  <c r="P104" i="1"/>
  <c r="P1008" i="1"/>
  <c r="P953" i="1"/>
  <c r="P906" i="1"/>
  <c r="P835" i="1"/>
  <c r="P783" i="1"/>
  <c r="P666" i="1"/>
  <c r="P561" i="1"/>
  <c r="P451" i="1"/>
  <c r="P338" i="1"/>
  <c r="P275" i="1"/>
  <c r="P225" i="1"/>
  <c r="P150" i="1"/>
  <c r="P219" i="1"/>
  <c r="P158" i="1"/>
  <c r="P40" i="1"/>
  <c r="P996" i="1"/>
  <c r="P944" i="1"/>
  <c r="P898" i="1"/>
  <c r="P852" i="1"/>
  <c r="P797" i="1"/>
  <c r="P739" i="1"/>
  <c r="P696" i="1"/>
  <c r="P657" i="1"/>
  <c r="P571" i="1"/>
  <c r="P529" i="1"/>
  <c r="P482" i="1"/>
  <c r="P425" i="1"/>
  <c r="P388" i="1"/>
  <c r="P331" i="1"/>
  <c r="P237" i="1"/>
  <c r="P148" i="1"/>
  <c r="P61" i="1"/>
  <c r="P751" i="1"/>
  <c r="P708" i="1"/>
  <c r="P647" i="1"/>
  <c r="P584" i="1"/>
  <c r="P526" i="1"/>
  <c r="P479" i="1"/>
  <c r="P394" i="1"/>
  <c r="P271" i="1"/>
  <c r="P205" i="1"/>
  <c r="P133" i="1"/>
  <c r="P70" i="1"/>
  <c r="P1000" i="1"/>
  <c r="P954" i="1"/>
  <c r="P902" i="1"/>
  <c r="P856" i="1"/>
  <c r="P794" i="1"/>
  <c r="P722" i="1"/>
  <c r="P654" i="1"/>
  <c r="P599" i="1"/>
  <c r="P544" i="1"/>
  <c r="P478" i="1"/>
  <c r="P421" i="1"/>
  <c r="P384" i="1"/>
  <c r="P327" i="1"/>
  <c r="P280" i="1"/>
  <c r="P164" i="1"/>
  <c r="P58" i="1"/>
  <c r="P814" i="1"/>
  <c r="P790" i="1"/>
  <c r="P766" i="1"/>
  <c r="P742" i="1"/>
  <c r="P718" i="1"/>
  <c r="P694" i="1"/>
  <c r="P655" i="1"/>
  <c r="P609" i="1"/>
  <c r="P557" i="1"/>
  <c r="P512" i="1"/>
  <c r="P465" i="1"/>
  <c r="P402" i="1"/>
  <c r="P355" i="1"/>
  <c r="P284" i="1"/>
  <c r="P229" i="1"/>
  <c r="P155" i="1"/>
  <c r="P76" i="1"/>
  <c r="P685" i="1"/>
  <c r="P639" i="1"/>
  <c r="P587" i="1"/>
  <c r="P525" i="1"/>
  <c r="P454" i="1"/>
  <c r="P407" i="1"/>
  <c r="P344" i="1"/>
  <c r="P297" i="1"/>
  <c r="P234" i="1"/>
  <c r="P160" i="1"/>
  <c r="P108" i="1"/>
  <c r="P34" i="1"/>
  <c r="P514" i="1"/>
  <c r="P468" i="1"/>
  <c r="P422" i="1"/>
  <c r="P370" i="1"/>
  <c r="P324" i="1"/>
  <c r="P278" i="1"/>
  <c r="P226" i="1"/>
  <c r="P60" i="1"/>
  <c r="P511" i="1"/>
  <c r="P459" i="1"/>
  <c r="P413" i="1"/>
  <c r="P367" i="1"/>
  <c r="P315" i="1"/>
  <c r="P269" i="1"/>
  <c r="P223" i="1"/>
  <c r="P182" i="1"/>
  <c r="P154" i="1"/>
  <c r="P125" i="1"/>
  <c r="P96" i="1"/>
  <c r="P195" i="1"/>
  <c r="P171" i="1"/>
  <c r="P147" i="1"/>
  <c r="P123" i="1"/>
  <c r="P99" i="1"/>
  <c r="P75" i="1"/>
  <c r="P51" i="1"/>
  <c r="P86" i="1"/>
  <c r="P62" i="1"/>
  <c r="P38" i="1"/>
  <c r="B981" i="1"/>
  <c r="B459" i="1"/>
  <c r="B995" i="1"/>
  <c r="B897" i="1"/>
  <c r="B751" i="1"/>
  <c r="B618" i="1"/>
  <c r="B331" i="1"/>
  <c r="B187" i="1"/>
  <c r="B928" i="1"/>
  <c r="B832" i="1"/>
  <c r="B732" i="1"/>
  <c r="B598" i="1"/>
  <c r="B515" i="1"/>
  <c r="B302" i="1"/>
  <c r="B994" i="1"/>
  <c r="B910" i="1"/>
  <c r="B814" i="1"/>
  <c r="B691" i="1"/>
  <c r="B556" i="1"/>
  <c r="B411" i="1"/>
  <c r="B109" i="1"/>
  <c r="B878" i="1"/>
  <c r="B729" i="1"/>
  <c r="B533" i="1"/>
  <c r="B326" i="1"/>
  <c r="B954" i="1"/>
  <c r="B709" i="1"/>
  <c r="B408" i="1"/>
  <c r="B212" i="1"/>
  <c r="B828" i="1"/>
  <c r="B483" i="1"/>
  <c r="B205" i="1"/>
  <c r="B951" i="1"/>
  <c r="B759" i="1"/>
  <c r="B402" i="1"/>
  <c r="B203" i="1"/>
  <c r="B856" i="1"/>
  <c r="B666" i="1"/>
  <c r="B478" i="1"/>
  <c r="B131" i="1"/>
  <c r="B963" i="1"/>
  <c r="B822" i="1"/>
  <c r="B523" i="1"/>
  <c r="B258" i="1"/>
  <c r="B998" i="1"/>
  <c r="B662" i="1"/>
  <c r="B448" i="1"/>
  <c r="B997" i="1"/>
  <c r="B699" i="1"/>
  <c r="B521" i="1"/>
  <c r="B227" i="1"/>
  <c r="B991" i="1"/>
  <c r="B143" i="1"/>
  <c r="B727" i="1"/>
  <c r="B1013" i="1"/>
  <c r="B777" i="1"/>
  <c r="B95" i="1"/>
  <c r="B808" i="1"/>
  <c r="B502" i="1"/>
  <c r="B988" i="1"/>
  <c r="B790" i="1"/>
  <c r="B341" i="1"/>
  <c r="B605" i="1"/>
  <c r="B256" i="1"/>
  <c r="B1008" i="1"/>
  <c r="B947" i="1"/>
  <c r="B718" i="1"/>
  <c r="B868" i="1"/>
  <c r="B754" i="1"/>
  <c r="B623" i="1"/>
  <c r="B471" i="1"/>
  <c r="B282" i="1"/>
  <c r="B78" i="1"/>
  <c r="B102" i="1"/>
  <c r="B1010" i="1"/>
  <c r="B964" i="1"/>
  <c r="B935" i="1"/>
  <c r="B848" i="1"/>
  <c r="B758" i="1"/>
  <c r="B674" i="1"/>
  <c r="B617" i="1"/>
  <c r="B536" i="1"/>
  <c r="B438" i="1"/>
  <c r="B371" i="1"/>
  <c r="B218" i="1"/>
  <c r="B1016" i="1"/>
  <c r="B970" i="1"/>
  <c r="B855" i="1"/>
  <c r="B748" i="1"/>
  <c r="B682" i="1"/>
  <c r="B625" i="1"/>
  <c r="B577" i="1"/>
  <c r="B511" i="1"/>
  <c r="B397" i="1"/>
  <c r="B245" i="1"/>
  <c r="B161" i="1"/>
  <c r="B46" i="1"/>
  <c r="B932" i="1"/>
  <c r="B745" i="1"/>
  <c r="B631" i="1"/>
  <c r="B518" i="1"/>
  <c r="B392" i="1"/>
  <c r="B197" i="1"/>
  <c r="B108" i="1"/>
  <c r="B993" i="1"/>
  <c r="B819" i="1"/>
  <c r="B602" i="1"/>
  <c r="B404" i="1"/>
  <c r="B979" i="1"/>
  <c r="B906" i="1"/>
  <c r="B826" i="1"/>
  <c r="B778" i="1"/>
  <c r="B734" i="1"/>
  <c r="B677" i="1"/>
  <c r="B610" i="1"/>
  <c r="B550" i="1"/>
  <c r="B480" i="1"/>
  <c r="B391" i="1"/>
  <c r="B251" i="1"/>
  <c r="B152" i="1"/>
  <c r="B37" i="1"/>
  <c r="B908" i="1"/>
  <c r="B763" i="1"/>
  <c r="B622" i="1"/>
  <c r="B444" i="1"/>
  <c r="B224" i="1"/>
  <c r="B891" i="1"/>
  <c r="B706" i="1"/>
  <c r="B443" i="1"/>
  <c r="B196" i="1"/>
  <c r="B1012" i="1"/>
  <c r="B952" i="1"/>
  <c r="B882" i="1"/>
  <c r="B992" i="1"/>
  <c r="B890" i="1"/>
  <c r="B794" i="1"/>
  <c r="B705" i="1"/>
  <c r="B638" i="1"/>
  <c r="B528" i="1"/>
  <c r="B467" i="1"/>
  <c r="B361" i="1"/>
  <c r="B193" i="1"/>
  <c r="B52" i="1"/>
  <c r="B911" i="1"/>
  <c r="B887" i="1"/>
  <c r="B863" i="1"/>
  <c r="B839" i="1"/>
  <c r="B815" i="1"/>
  <c r="B791" i="1"/>
  <c r="B753" i="1"/>
  <c r="B719" i="1"/>
  <c r="B683" i="1"/>
  <c r="B597" i="1"/>
  <c r="B501" i="1"/>
  <c r="B452" i="1"/>
  <c r="B405" i="1"/>
  <c r="B290" i="1"/>
  <c r="B238" i="1"/>
  <c r="B80" i="1"/>
  <c r="B756" i="1"/>
  <c r="B686" i="1"/>
  <c r="B650" i="1"/>
  <c r="B593" i="1"/>
  <c r="B539" i="1"/>
  <c r="B504" i="1"/>
  <c r="B429" i="1"/>
  <c r="B378" i="1"/>
  <c r="B316" i="1"/>
  <c r="B200" i="1"/>
  <c r="B137" i="1"/>
  <c r="B36" i="1"/>
  <c r="B943" i="1"/>
  <c r="B919" i="1"/>
  <c r="B895" i="1"/>
  <c r="B871" i="1"/>
  <c r="B847" i="1"/>
  <c r="B823" i="1"/>
  <c r="B799" i="1"/>
  <c r="B775" i="1"/>
  <c r="B735" i="1"/>
  <c r="B707" i="1"/>
  <c r="B621" i="1"/>
  <c r="B585" i="1"/>
  <c r="B538" i="1"/>
  <c r="B446" i="1"/>
  <c r="B356" i="1"/>
  <c r="B283" i="1"/>
  <c r="B148" i="1"/>
  <c r="B496" i="1"/>
  <c r="B403" i="1"/>
  <c r="B332" i="1"/>
  <c r="B262" i="1"/>
  <c r="B191" i="1"/>
  <c r="B136" i="1"/>
  <c r="B581" i="1"/>
  <c r="B506" i="1"/>
  <c r="B449" i="1"/>
  <c r="B413" i="1"/>
  <c r="B367" i="1"/>
  <c r="B296" i="1"/>
  <c r="B226" i="1"/>
  <c r="B155" i="1"/>
  <c r="B82" i="1"/>
  <c r="B731" i="1"/>
  <c r="B685" i="1"/>
  <c r="B639" i="1"/>
  <c r="B587" i="1"/>
  <c r="B541" i="1"/>
  <c r="B513" i="1"/>
  <c r="B484" i="1"/>
  <c r="B374" i="1"/>
  <c r="B304" i="1"/>
  <c r="B233" i="1"/>
  <c r="B162" i="1"/>
  <c r="B101" i="1"/>
  <c r="B519" i="1"/>
  <c r="B473" i="1"/>
  <c r="B427" i="1"/>
  <c r="B386" i="1"/>
  <c r="B358" i="1"/>
  <c r="B329" i="1"/>
  <c r="B300" i="1"/>
  <c r="B271" i="1"/>
  <c r="B242" i="1"/>
  <c r="B214" i="1"/>
  <c r="B185" i="1"/>
  <c r="B156" i="1"/>
  <c r="B127" i="1"/>
  <c r="B98" i="1"/>
  <c r="B70" i="1"/>
  <c r="B41" i="1"/>
  <c r="B112" i="1"/>
  <c r="B83" i="1"/>
  <c r="B54" i="1"/>
  <c r="B399" i="1"/>
  <c r="B375" i="1"/>
  <c r="B351" i="1"/>
  <c r="B327" i="1"/>
  <c r="B303" i="1"/>
  <c r="B279" i="1"/>
  <c r="B255" i="1"/>
  <c r="B231" i="1"/>
  <c r="B207" i="1"/>
  <c r="B183" i="1"/>
  <c r="B159" i="1"/>
  <c r="B135" i="1"/>
  <c r="B111" i="1"/>
  <c r="B87" i="1"/>
  <c r="B63" i="1"/>
  <c r="B39" i="1"/>
  <c r="B8" i="1"/>
  <c r="D8" i="1" s="1"/>
  <c r="J7" i="1"/>
  <c r="L7" i="1" s="1"/>
  <c r="I5" i="1"/>
  <c r="K5" i="1" s="1"/>
  <c r="C8" i="1"/>
  <c r="E8" i="1" s="1"/>
  <c r="V5" i="1"/>
  <c r="X5" i="1" s="1"/>
  <c r="J5" i="1"/>
  <c r="L5" i="1" s="1"/>
  <c r="J8" i="1"/>
  <c r="L8" i="1" s="1"/>
  <c r="C6" i="1"/>
  <c r="E6" i="1" s="1"/>
  <c r="I4" i="1"/>
  <c r="K4" i="1" s="1"/>
  <c r="V7" i="1"/>
  <c r="X7" i="1" s="1"/>
  <c r="C945" i="1"/>
  <c r="C645" i="1"/>
  <c r="C399" i="1"/>
  <c r="C1018" i="1"/>
  <c r="C838" i="1"/>
  <c r="C728" i="1"/>
  <c r="C609" i="1"/>
  <c r="C230" i="1"/>
  <c r="C880" i="1"/>
  <c r="C753" i="1"/>
  <c r="C533" i="1"/>
  <c r="C286" i="1"/>
  <c r="C921" i="1"/>
  <c r="C727" i="1"/>
  <c r="C337" i="1"/>
  <c r="C994" i="1"/>
  <c r="C879" i="1"/>
  <c r="C634" i="1"/>
  <c r="C145" i="1"/>
  <c r="C829" i="1"/>
  <c r="C422" i="1"/>
  <c r="C209" i="1"/>
  <c r="C993" i="1"/>
  <c r="C850" i="1"/>
  <c r="C718" i="1"/>
  <c r="C464" i="1"/>
  <c r="C74" i="1"/>
  <c r="C1010" i="1"/>
  <c r="C871" i="1"/>
  <c r="C658" i="1"/>
  <c r="C314" i="1"/>
  <c r="C71" i="1"/>
  <c r="C849" i="1"/>
  <c r="C684" i="1"/>
  <c r="C186" i="1"/>
  <c r="C969" i="1"/>
  <c r="C819" i="1"/>
  <c r="C503" i="1"/>
  <c r="C251" i="1"/>
  <c r="C946" i="1"/>
  <c r="C818" i="1"/>
  <c r="C617" i="1"/>
  <c r="C185" i="1"/>
  <c r="C761" i="1"/>
  <c r="C579" i="1"/>
  <c r="C118" i="1"/>
  <c r="C952" i="1"/>
  <c r="C816" i="1"/>
  <c r="C772" i="1"/>
  <c r="C693" i="1"/>
  <c r="C599" i="1"/>
  <c r="C538" i="1"/>
  <c r="C398" i="1"/>
  <c r="C289" i="1"/>
  <c r="C50" i="1"/>
  <c r="C984" i="1"/>
  <c r="C936" i="1"/>
  <c r="C886" i="1"/>
  <c r="C826" i="1"/>
  <c r="C714" i="1"/>
  <c r="C666" i="1"/>
  <c r="C516" i="1"/>
  <c r="C353" i="1"/>
  <c r="C246" i="1"/>
  <c r="C157" i="1"/>
  <c r="C1023" i="1"/>
  <c r="C975" i="1"/>
  <c r="C927" i="1"/>
  <c r="C877" i="1"/>
  <c r="C792" i="1"/>
  <c r="C735" i="1"/>
  <c r="C610" i="1"/>
  <c r="C493" i="1"/>
  <c r="C132" i="1"/>
  <c r="C733" i="1"/>
  <c r="C622" i="1"/>
  <c r="C370" i="1"/>
  <c r="C107" i="1"/>
  <c r="C843" i="1"/>
  <c r="C787" i="1"/>
  <c r="C698" i="1"/>
  <c r="C619" i="1"/>
  <c r="C547" i="1"/>
  <c r="C447" i="1"/>
  <c r="C346" i="1"/>
  <c r="C192" i="1"/>
  <c r="C106" i="1"/>
  <c r="C221" i="1"/>
  <c r="C1014" i="1"/>
  <c r="C966" i="1"/>
  <c r="C918" i="1"/>
  <c r="C844" i="1"/>
  <c r="C790" i="1"/>
  <c r="C664" i="1"/>
  <c r="C564" i="1"/>
  <c r="C451" i="1"/>
  <c r="C238" i="1"/>
  <c r="C131" i="1"/>
  <c r="C42" i="1"/>
  <c r="C997" i="1"/>
  <c r="C949" i="1"/>
  <c r="C901" i="1"/>
  <c r="C744" i="1"/>
  <c r="C607" i="1"/>
  <c r="C348" i="1"/>
  <c r="C940" i="1"/>
  <c r="C1004" i="1"/>
  <c r="C956" i="1"/>
  <c r="C908" i="1"/>
  <c r="C862" i="1"/>
  <c r="C720" i="1"/>
  <c r="C605" i="1"/>
  <c r="C486" i="1"/>
  <c r="C386" i="1"/>
  <c r="C190" i="1"/>
  <c r="C58" i="1"/>
  <c r="C854" i="1"/>
  <c r="C830" i="1"/>
  <c r="C778" i="1"/>
  <c r="C732" i="1"/>
  <c r="C685" i="1"/>
  <c r="C624" i="1"/>
  <c r="C572" i="1"/>
  <c r="C525" i="1"/>
  <c r="C442" i="1"/>
  <c r="C334" i="1"/>
  <c r="C218" i="1"/>
  <c r="C103" i="1"/>
  <c r="C823" i="1"/>
  <c r="C771" i="1"/>
  <c r="C725" i="1"/>
  <c r="C663" i="1"/>
  <c r="C598" i="1"/>
  <c r="C488" i="1"/>
  <c r="C419" i="1"/>
  <c r="C359" i="1"/>
  <c r="C282" i="1"/>
  <c r="C193" i="1"/>
  <c r="C128" i="1"/>
  <c r="C52" i="1"/>
  <c r="C858" i="1"/>
  <c r="C802" i="1"/>
  <c r="C730" i="1"/>
  <c r="C690" i="1"/>
  <c r="C621" i="1"/>
  <c r="C552" i="1"/>
  <c r="C462" i="1"/>
  <c r="C381" i="1"/>
  <c r="C318" i="1"/>
  <c r="C228" i="1"/>
  <c r="C151" i="1"/>
  <c r="C88" i="1"/>
  <c r="C808" i="1"/>
  <c r="C762" i="1"/>
  <c r="C716" i="1"/>
  <c r="C646" i="1"/>
  <c r="C603" i="1"/>
  <c r="C560" i="1"/>
  <c r="C438" i="1"/>
  <c r="C278" i="1"/>
  <c r="C175" i="1"/>
  <c r="C73" i="1"/>
  <c r="C888" i="1"/>
  <c r="C840" i="1"/>
  <c r="C1025" i="1"/>
  <c r="C1001" i="1"/>
  <c r="C977" i="1"/>
  <c r="C953" i="1"/>
  <c r="C929" i="1"/>
  <c r="C905" i="1"/>
  <c r="C881" i="1"/>
  <c r="C857" i="1"/>
  <c r="C833" i="1"/>
  <c r="C794" i="1"/>
  <c r="C742" i="1"/>
  <c r="C696" i="1"/>
  <c r="C620" i="1"/>
  <c r="C559" i="1"/>
  <c r="C494" i="1"/>
  <c r="C414" i="1"/>
  <c r="C341" i="1"/>
  <c r="C226" i="1"/>
  <c r="C110" i="1"/>
  <c r="C532" i="1"/>
  <c r="C471" i="1"/>
  <c r="C392" i="1"/>
  <c r="C326" i="1"/>
  <c r="C211" i="1"/>
  <c r="C96" i="1"/>
  <c r="C689" i="1"/>
  <c r="C665" i="1"/>
  <c r="C633" i="1"/>
  <c r="C561" i="1"/>
  <c r="C521" i="1"/>
  <c r="C478" i="1"/>
  <c r="C390" i="1"/>
  <c r="C344" i="1"/>
  <c r="C287" i="1"/>
  <c r="C229" i="1"/>
  <c r="C172" i="1"/>
  <c r="C114" i="1"/>
  <c r="C56" i="1"/>
  <c r="C623" i="1"/>
  <c r="C587" i="1"/>
  <c r="C551" i="1"/>
  <c r="C492" i="1"/>
  <c r="C448" i="1"/>
  <c r="C350" i="1"/>
  <c r="C293" i="1"/>
  <c r="C235" i="1"/>
  <c r="C178" i="1"/>
  <c r="C120" i="1"/>
  <c r="C62" i="1"/>
  <c r="C524" i="1"/>
  <c r="C472" i="1"/>
  <c r="C426" i="1"/>
  <c r="C380" i="1"/>
  <c r="C496" i="1"/>
  <c r="C450" i="1"/>
  <c r="C404" i="1"/>
  <c r="C528" i="1"/>
  <c r="C482" i="1"/>
  <c r="C430" i="1"/>
  <c r="C384" i="1"/>
  <c r="C349" i="1"/>
  <c r="C320" i="1"/>
  <c r="C292" i="1"/>
  <c r="C263" i="1"/>
  <c r="C234" i="1"/>
  <c r="C205" i="1"/>
  <c r="C176" i="1"/>
  <c r="C148" i="1"/>
  <c r="C119" i="1"/>
  <c r="C90" i="1"/>
  <c r="C61" i="1"/>
  <c r="C32" i="1"/>
  <c r="C351" i="1"/>
  <c r="C327" i="1"/>
  <c r="C303" i="1"/>
  <c r="C279" i="1"/>
  <c r="C255" i="1"/>
  <c r="C231" i="1"/>
  <c r="C207" i="1"/>
  <c r="C183" i="1"/>
  <c r="C159" i="1"/>
  <c r="C135" i="1"/>
  <c r="C111" i="1"/>
  <c r="C87" i="1"/>
  <c r="C63" i="1"/>
  <c r="C39" i="1"/>
  <c r="G857" i="1"/>
  <c r="G647" i="1"/>
  <c r="G970" i="1"/>
  <c r="G725" i="1"/>
  <c r="G148" i="1"/>
  <c r="G758" i="1"/>
  <c r="G773" i="1"/>
  <c r="G392" i="1"/>
  <c r="G937" i="1"/>
  <c r="G506" i="1"/>
  <c r="G142" i="1"/>
  <c r="G1000" i="1"/>
  <c r="G588" i="1"/>
  <c r="G689" i="1"/>
  <c r="G567" i="1"/>
  <c r="G482" i="1"/>
  <c r="G870" i="1"/>
  <c r="G363" i="1"/>
  <c r="G64" i="1"/>
  <c r="G946" i="1"/>
  <c r="G868" i="1"/>
  <c r="G720" i="1"/>
  <c r="G521" i="1"/>
  <c r="G233" i="1"/>
  <c r="G955" i="1"/>
  <c r="G854" i="1"/>
  <c r="G783" i="1"/>
  <c r="G642" i="1"/>
  <c r="G500" i="1"/>
  <c r="G406" i="1"/>
  <c r="G203" i="1"/>
  <c r="G934" i="1"/>
  <c r="G891" i="1"/>
  <c r="G824" i="1"/>
  <c r="G600" i="1"/>
  <c r="G430" i="1"/>
  <c r="G262" i="1"/>
  <c r="G844" i="1"/>
  <c r="G526" i="1"/>
  <c r="G275" i="1"/>
  <c r="G882" i="1"/>
  <c r="G1026" i="1"/>
  <c r="G764" i="1"/>
  <c r="G495" i="1"/>
  <c r="G922" i="1"/>
  <c r="G780" i="1"/>
  <c r="G403" i="1"/>
  <c r="G228" i="1"/>
  <c r="G1024" i="1"/>
  <c r="G942" i="1"/>
  <c r="G863" i="1"/>
  <c r="G762" i="1"/>
  <c r="G693" i="1"/>
  <c r="G613" i="1"/>
  <c r="G514" i="1"/>
  <c r="G348" i="1"/>
  <c r="G982" i="1"/>
  <c r="G899" i="1"/>
  <c r="G726" i="1"/>
  <c r="G612" i="1"/>
  <c r="G491" i="1"/>
  <c r="G280" i="1"/>
  <c r="G704" i="1"/>
  <c r="G978" i="1"/>
  <c r="G1015" i="1"/>
  <c r="G749" i="1"/>
  <c r="G379" i="1"/>
  <c r="G912" i="1"/>
  <c r="G656" i="1"/>
  <c r="G1012" i="1"/>
  <c r="G930" i="1"/>
  <c r="G860" i="1"/>
  <c r="G743" i="1"/>
  <c r="G531" i="1"/>
  <c r="G247" i="1"/>
  <c r="G136" i="1"/>
  <c r="G60" i="1"/>
  <c r="G1007" i="1"/>
  <c r="G983" i="1"/>
  <c r="G959" i="1"/>
  <c r="G935" i="1"/>
  <c r="G911" i="1"/>
  <c r="G862" i="1"/>
  <c r="G814" i="1"/>
  <c r="G722" i="1"/>
  <c r="G655" i="1"/>
  <c r="G541" i="1"/>
  <c r="G452" i="1"/>
  <c r="G390" i="1"/>
  <c r="G897" i="1"/>
  <c r="G853" i="1"/>
  <c r="G805" i="1"/>
  <c r="G759" i="1"/>
  <c r="G643" i="1"/>
  <c r="G585" i="1"/>
  <c r="G476" i="1"/>
  <c r="G318" i="1"/>
  <c r="G211" i="1"/>
  <c r="G72" i="1"/>
  <c r="G387" i="1"/>
  <c r="G192" i="1"/>
  <c r="G54" i="1"/>
  <c r="G993" i="1"/>
  <c r="G945" i="1"/>
  <c r="G874" i="1"/>
  <c r="G803" i="1"/>
  <c r="G686" i="1"/>
  <c r="P839" i="1"/>
  <c r="P775" i="1"/>
  <c r="P732" i="1"/>
  <c r="P689" i="1"/>
  <c r="P634" i="1"/>
  <c r="P563" i="1"/>
  <c r="P510" i="1"/>
  <c r="P463" i="1"/>
  <c r="P416" i="1"/>
  <c r="P378" i="1"/>
  <c r="P322" i="1"/>
  <c r="P199" i="1"/>
  <c r="P137" i="1"/>
  <c r="P787" i="1"/>
  <c r="P744" i="1"/>
  <c r="P701" i="1"/>
  <c r="P631" i="1"/>
  <c r="P576" i="1"/>
  <c r="P516" i="1"/>
  <c r="P469" i="1"/>
  <c r="P375" i="1"/>
  <c r="P262" i="1"/>
  <c r="P196" i="1"/>
  <c r="P113" i="1"/>
  <c r="P35" i="1"/>
  <c r="P987" i="1"/>
  <c r="P941" i="1"/>
  <c r="P895" i="1"/>
  <c r="P843" i="1"/>
  <c r="P765" i="1"/>
  <c r="P693" i="1"/>
  <c r="P638" i="1"/>
  <c r="P591" i="1"/>
  <c r="P506" i="1"/>
  <c r="P450" i="1"/>
  <c r="P412" i="1"/>
  <c r="P374" i="1"/>
  <c r="P318" i="1"/>
  <c r="P242" i="1"/>
  <c r="P122" i="1"/>
  <c r="P46" i="1"/>
  <c r="P808" i="1"/>
  <c r="P784" i="1"/>
  <c r="P760" i="1"/>
  <c r="P736" i="1"/>
  <c r="P712" i="1"/>
  <c r="P688" i="1"/>
  <c r="P642" i="1"/>
  <c r="P596" i="1"/>
  <c r="P543" i="1"/>
  <c r="P504" i="1"/>
  <c r="P457" i="1"/>
  <c r="P386" i="1"/>
  <c r="P347" i="1"/>
  <c r="P261" i="1"/>
  <c r="P214" i="1"/>
  <c r="P120" i="1"/>
  <c r="P66" i="1"/>
  <c r="P672" i="1"/>
  <c r="P626" i="1"/>
  <c r="P574" i="1"/>
  <c r="P509" i="1"/>
  <c r="P446" i="1"/>
  <c r="P399" i="1"/>
  <c r="P336" i="1"/>
  <c r="P289" i="1"/>
  <c r="P218" i="1"/>
  <c r="P151" i="1"/>
  <c r="P100" i="1"/>
  <c r="P546" i="1"/>
  <c r="P501" i="1"/>
  <c r="P455" i="1"/>
  <c r="P409" i="1"/>
  <c r="P357" i="1"/>
  <c r="P311" i="1"/>
  <c r="P265" i="1"/>
  <c r="P213" i="1"/>
  <c r="P36" i="1"/>
  <c r="P498" i="1"/>
  <c r="P452" i="1"/>
  <c r="P400" i="1"/>
  <c r="P354" i="1"/>
  <c r="P308" i="1"/>
  <c r="P256" i="1"/>
  <c r="P210" i="1"/>
  <c r="P175" i="1"/>
  <c r="P146" i="1"/>
  <c r="P118" i="1"/>
  <c r="P89" i="1"/>
  <c r="P189" i="1"/>
  <c r="P165" i="1"/>
  <c r="P141" i="1"/>
  <c r="P117" i="1"/>
  <c r="P93" i="1"/>
  <c r="P69" i="1"/>
  <c r="P45" i="1"/>
  <c r="P80" i="1"/>
  <c r="P56" i="1"/>
  <c r="P32" i="1"/>
  <c r="B940" i="1"/>
  <c r="B353" i="1"/>
  <c r="B984" i="1"/>
  <c r="B849" i="1"/>
  <c r="B695" i="1"/>
  <c r="B599" i="1"/>
  <c r="B276" i="1"/>
  <c r="B1028" i="1"/>
  <c r="B912" i="1"/>
  <c r="B816" i="1"/>
  <c r="B713" i="1"/>
  <c r="B579" i="1"/>
  <c r="B464" i="1"/>
  <c r="B114" i="1"/>
  <c r="B982" i="1"/>
  <c r="B894" i="1"/>
  <c r="B798" i="1"/>
  <c r="B673" i="1"/>
  <c r="B487" i="1"/>
  <c r="B299" i="1"/>
  <c r="B1004" i="1"/>
  <c r="B830" i="1"/>
  <c r="B653" i="1"/>
  <c r="B510" i="1"/>
  <c r="B270" i="1"/>
  <c r="B909" i="1"/>
  <c r="B632" i="1"/>
  <c r="B324" i="1"/>
  <c r="B968" i="1"/>
  <c r="B780" i="1"/>
  <c r="B432" i="1"/>
  <c r="B173" i="1"/>
  <c r="B921" i="1"/>
  <c r="B647" i="1"/>
  <c r="B373" i="1"/>
  <c r="B58" i="1"/>
  <c r="B792" i="1"/>
  <c r="B627" i="1"/>
  <c r="B289" i="1"/>
  <c r="B1021" i="1"/>
  <c r="B934" i="1"/>
  <c r="B774" i="1"/>
  <c r="B423" i="1"/>
  <c r="B229" i="1"/>
  <c r="B854" i="1"/>
  <c r="B624" i="1"/>
  <c r="B396" i="1"/>
  <c r="B933" i="1"/>
  <c r="B661" i="1"/>
  <c r="B497" i="1"/>
  <c r="B79" i="1"/>
  <c r="B861" i="1"/>
  <c r="B1024" i="1"/>
  <c r="B689" i="1"/>
  <c r="B989" i="1"/>
  <c r="B723" i="1"/>
  <c r="B1011" i="1"/>
  <c r="B684" i="1"/>
  <c r="B451" i="1"/>
  <c r="B948" i="1"/>
  <c r="B757" i="1"/>
  <c r="B902" i="1"/>
  <c r="B565" i="1"/>
  <c r="B128" i="1"/>
  <c r="B987" i="1"/>
  <c r="B885" i="1"/>
  <c r="B1030" i="1"/>
  <c r="B852" i="1"/>
  <c r="B737" i="1"/>
  <c r="B603" i="1"/>
  <c r="B421" i="1"/>
  <c r="B254" i="1"/>
  <c r="B176" i="1"/>
  <c r="B66" i="1"/>
  <c r="B1003" i="1"/>
  <c r="B957" i="1"/>
  <c r="B920" i="1"/>
  <c r="B824" i="1"/>
  <c r="B750" i="1"/>
  <c r="B665" i="1"/>
  <c r="B608" i="1"/>
  <c r="B524" i="1"/>
  <c r="B425" i="1"/>
  <c r="B344" i="1"/>
  <c r="B204" i="1"/>
  <c r="B1009" i="1"/>
  <c r="B927" i="1"/>
  <c r="B831" i="1"/>
  <c r="B730" i="1"/>
  <c r="B663" i="1"/>
  <c r="B616" i="1"/>
  <c r="B566" i="1"/>
  <c r="B500" i="1"/>
  <c r="B384" i="1"/>
  <c r="B216" i="1"/>
  <c r="B115" i="1"/>
  <c r="B974" i="1"/>
  <c r="B884" i="1"/>
  <c r="B708" i="1"/>
  <c r="B612" i="1"/>
  <c r="B508" i="1"/>
  <c r="B323" i="1"/>
  <c r="B169" i="1"/>
  <c r="B74" i="1"/>
  <c r="B980" i="1"/>
  <c r="B716" i="1"/>
  <c r="B572" i="1"/>
  <c r="B377" i="1"/>
  <c r="B959" i="1"/>
  <c r="B874" i="1"/>
  <c r="B810" i="1"/>
  <c r="B770" i="1"/>
  <c r="B725" i="1"/>
  <c r="B658" i="1"/>
  <c r="B591" i="1"/>
  <c r="B540" i="1"/>
  <c r="B468" i="1"/>
  <c r="B334" i="1"/>
  <c r="B236" i="1"/>
  <c r="B139" i="1"/>
  <c r="B967" i="1"/>
  <c r="B860" i="1"/>
  <c r="B736" i="1"/>
  <c r="B552" i="1"/>
  <c r="B419" i="1"/>
  <c r="B182" i="1"/>
  <c r="B867" i="1"/>
  <c r="B611" i="1"/>
  <c r="B417" i="1"/>
  <c r="B167" i="1"/>
  <c r="B999" i="1"/>
  <c r="B938" i="1"/>
  <c r="B834" i="1"/>
  <c r="B985" i="1"/>
  <c r="B866" i="1"/>
  <c r="B760" i="1"/>
  <c r="B676" i="1"/>
  <c r="B619" i="1"/>
  <c r="B516" i="1"/>
  <c r="B454" i="1"/>
  <c r="B306" i="1"/>
  <c r="B166" i="1"/>
  <c r="B929" i="1"/>
  <c r="B905" i="1"/>
  <c r="B881" i="1"/>
  <c r="B857" i="1"/>
  <c r="B833" i="1"/>
  <c r="B809" i="1"/>
  <c r="B785" i="1"/>
  <c r="B740" i="1"/>
  <c r="B704" i="1"/>
  <c r="B640" i="1"/>
  <c r="B590" i="1"/>
  <c r="B481" i="1"/>
  <c r="B433" i="1"/>
  <c r="B395" i="1"/>
  <c r="B280" i="1"/>
  <c r="B154" i="1"/>
  <c r="B67" i="1"/>
  <c r="B749" i="1"/>
  <c r="B679" i="1"/>
  <c r="B643" i="1"/>
  <c r="B578" i="1"/>
  <c r="B530" i="1"/>
  <c r="B495" i="1"/>
  <c r="B409" i="1"/>
  <c r="B368" i="1"/>
  <c r="B263" i="1"/>
  <c r="B190" i="1"/>
  <c r="B100" i="1"/>
  <c r="B961" i="1"/>
  <c r="B937" i="1"/>
  <c r="B913" i="1"/>
  <c r="B889" i="1"/>
  <c r="B865" i="1"/>
  <c r="B841" i="1"/>
  <c r="B817" i="1"/>
  <c r="B793" i="1"/>
  <c r="B762" i="1"/>
  <c r="B728" i="1"/>
  <c r="B678" i="1"/>
  <c r="B614" i="1"/>
  <c r="B570" i="1"/>
  <c r="B494" i="1"/>
  <c r="B437" i="1"/>
  <c r="B325" i="1"/>
  <c r="B274" i="1"/>
  <c r="B124" i="1"/>
  <c r="B489" i="1"/>
  <c r="B388" i="1"/>
  <c r="B317" i="1"/>
  <c r="B246" i="1"/>
  <c r="B175" i="1"/>
  <c r="B116" i="1"/>
  <c r="B574" i="1"/>
  <c r="B470" i="1"/>
  <c r="B442" i="1"/>
  <c r="B406" i="1"/>
  <c r="B352" i="1"/>
  <c r="B281" i="1"/>
  <c r="B210" i="1"/>
  <c r="B121" i="1"/>
  <c r="B64" i="1"/>
  <c r="B724" i="1"/>
  <c r="B672" i="1"/>
  <c r="B626" i="1"/>
  <c r="B580" i="1"/>
  <c r="B534" i="1"/>
  <c r="B505" i="1"/>
  <c r="B477" i="1"/>
  <c r="B359" i="1"/>
  <c r="B288" i="1"/>
  <c r="B217" i="1"/>
  <c r="B146" i="1"/>
  <c r="B72" i="1"/>
  <c r="B512" i="1"/>
  <c r="B460" i="1"/>
  <c r="B414" i="1"/>
  <c r="B379" i="1"/>
  <c r="B350" i="1"/>
  <c r="B322" i="1"/>
  <c r="B293" i="1"/>
  <c r="B264" i="1"/>
  <c r="B235" i="1"/>
  <c r="B206" i="1"/>
  <c r="B178" i="1"/>
  <c r="B149" i="1"/>
  <c r="B120" i="1"/>
  <c r="B91" i="1"/>
  <c r="B62" i="1"/>
  <c r="B34" i="1"/>
  <c r="B104" i="1"/>
  <c r="B76" i="1"/>
  <c r="B47" i="1"/>
  <c r="B393" i="1"/>
  <c r="B369" i="1"/>
  <c r="B345" i="1"/>
  <c r="B321" i="1"/>
  <c r="B297" i="1"/>
  <c r="B273" i="1"/>
  <c r="B249" i="1"/>
  <c r="B225" i="1"/>
  <c r="B201" i="1"/>
  <c r="B177" i="1"/>
  <c r="B153" i="1"/>
  <c r="B129" i="1"/>
  <c r="B105" i="1"/>
  <c r="B81" i="1"/>
  <c r="B57" i="1"/>
  <c r="B33" i="1"/>
  <c r="U6" i="1"/>
  <c r="W6" i="1" s="1"/>
  <c r="P7" i="1"/>
  <c r="R7" i="1" s="1"/>
  <c r="U7" i="1"/>
  <c r="W7" i="1" s="1"/>
  <c r="O6" i="1"/>
  <c r="Q6" i="1" s="1"/>
  <c r="B6" i="1"/>
  <c r="D6" i="1" s="1"/>
  <c r="V6" i="1"/>
  <c r="X6" i="1" s="1"/>
  <c r="I6" i="1"/>
  <c r="K6" i="1" s="1"/>
  <c r="O5" i="1"/>
  <c r="Q5" i="1" s="1"/>
  <c r="O4" i="1"/>
  <c r="Q4" i="1" s="1"/>
  <c r="V4" i="1"/>
  <c r="X4" i="1" s="1"/>
  <c r="C885" i="1"/>
  <c r="C614" i="1"/>
  <c r="C340" i="1"/>
  <c r="C979" i="1"/>
  <c r="C809" i="1"/>
  <c r="C705" i="1"/>
  <c r="C573" i="1"/>
  <c r="C166" i="1"/>
  <c r="C859" i="1"/>
  <c r="C701" i="1"/>
  <c r="C481" i="1"/>
  <c r="C1017" i="1"/>
  <c r="C831" i="1"/>
  <c r="C639" i="1"/>
  <c r="C275" i="1"/>
  <c r="C955" i="1"/>
  <c r="C774" i="1"/>
  <c r="C600" i="1"/>
  <c r="C1011" i="1"/>
  <c r="C750" i="1"/>
  <c r="C377" i="1"/>
  <c r="C144" i="1"/>
  <c r="C954" i="1"/>
  <c r="C798" i="1"/>
  <c r="C593" i="1"/>
  <c r="C421" i="1"/>
  <c r="C982" i="1"/>
  <c r="C970" i="1"/>
  <c r="C825" i="1"/>
  <c r="C628" i="1"/>
  <c r="C262" i="1"/>
  <c r="C1009" i="1"/>
  <c r="C796" i="1"/>
  <c r="C556" i="1"/>
  <c r="C121" i="1"/>
  <c r="C930" i="1"/>
  <c r="C713" i="1"/>
  <c r="C458" i="1"/>
  <c r="C55" i="1"/>
  <c r="C907" i="1"/>
  <c r="C763" i="1"/>
  <c r="C584" i="1"/>
  <c r="C985" i="1"/>
  <c r="C734" i="1"/>
  <c r="C499" i="1"/>
  <c r="C1024" i="1"/>
  <c r="C928" i="1"/>
  <c r="C805" i="1"/>
  <c r="C760" i="1"/>
  <c r="C655" i="1"/>
  <c r="C583" i="1"/>
  <c r="C479" i="1"/>
  <c r="C358" i="1"/>
  <c r="C136" i="1"/>
  <c r="C1016" i="1"/>
  <c r="C968" i="1"/>
  <c r="C920" i="1"/>
  <c r="C878" i="1"/>
  <c r="C770" i="1"/>
  <c r="C702" i="1"/>
  <c r="C642" i="1"/>
  <c r="C475" i="1"/>
  <c r="C332" i="1"/>
  <c r="C223" i="1"/>
  <c r="C134" i="1"/>
  <c r="C1015" i="1"/>
  <c r="C967" i="1"/>
  <c r="C919" i="1"/>
  <c r="C867" i="1"/>
  <c r="C780" i="1"/>
  <c r="C652" i="1"/>
  <c r="C596" i="1"/>
  <c r="C455" i="1"/>
  <c r="C109" i="1"/>
  <c r="C711" i="1"/>
  <c r="C592" i="1"/>
  <c r="C301" i="1"/>
  <c r="C916" i="1"/>
  <c r="C822" i="1"/>
  <c r="C777" i="1"/>
  <c r="C686" i="1"/>
  <c r="C591" i="1"/>
  <c r="C527" i="1"/>
  <c r="C428" i="1"/>
  <c r="C324" i="1"/>
  <c r="C170" i="1"/>
  <c r="C82" i="1"/>
  <c r="C197" i="1"/>
  <c r="C998" i="1"/>
  <c r="C950" i="1"/>
  <c r="C902" i="1"/>
  <c r="C824" i="1"/>
  <c r="C779" i="1"/>
  <c r="C651" i="1"/>
  <c r="C529" i="1"/>
  <c r="C432" i="1"/>
  <c r="C217" i="1"/>
  <c r="C108" i="1"/>
  <c r="C1029" i="1"/>
  <c r="C981" i="1"/>
  <c r="C933" i="1"/>
  <c r="C892" i="1"/>
  <c r="C721" i="1"/>
  <c r="C576" i="1"/>
  <c r="C1012" i="1"/>
  <c r="C832" i="1"/>
  <c r="C996" i="1"/>
  <c r="C948" i="1"/>
  <c r="C900" i="1"/>
  <c r="C820" i="1"/>
  <c r="C708" i="1"/>
  <c r="C545" i="1"/>
  <c r="C467" i="1"/>
  <c r="C365" i="1"/>
  <c r="C122" i="1"/>
  <c r="C872" i="1"/>
  <c r="C848" i="1"/>
  <c r="C817" i="1"/>
  <c r="C765" i="1"/>
  <c r="C719" i="1"/>
  <c r="C678" i="1"/>
  <c r="C615" i="1"/>
  <c r="C555" i="1"/>
  <c r="C512" i="1"/>
  <c r="C420" i="1"/>
  <c r="C310" i="1"/>
  <c r="C194" i="1"/>
  <c r="C79" i="1"/>
  <c r="C810" i="1"/>
  <c r="C764" i="1"/>
  <c r="C712" i="1"/>
  <c r="C641" i="1"/>
  <c r="C571" i="1"/>
  <c r="C477" i="1"/>
  <c r="C407" i="1"/>
  <c r="C347" i="1"/>
  <c r="C257" i="1"/>
  <c r="C180" i="1"/>
  <c r="C116" i="1"/>
  <c r="C894" i="1"/>
  <c r="C846" i="1"/>
  <c r="C782" i="1"/>
  <c r="C717" i="1"/>
  <c r="C668" i="1"/>
  <c r="C604" i="1"/>
  <c r="C543" i="1"/>
  <c r="C415" i="1"/>
  <c r="C368" i="1"/>
  <c r="C280" i="1"/>
  <c r="C215" i="1"/>
  <c r="C138" i="1"/>
  <c r="C49" i="1"/>
  <c r="C795" i="1"/>
  <c r="C749" i="1"/>
  <c r="C703" i="1"/>
  <c r="C638" i="1"/>
  <c r="C586" i="1"/>
  <c r="C473" i="1"/>
  <c r="C317" i="1"/>
  <c r="C265" i="1"/>
  <c r="C163" i="1"/>
  <c r="C60" i="1"/>
  <c r="C876" i="1"/>
  <c r="C828" i="1"/>
  <c r="C1019" i="1"/>
  <c r="C995" i="1"/>
  <c r="C971" i="1"/>
  <c r="C947" i="1"/>
  <c r="C923" i="1"/>
  <c r="C899" i="1"/>
  <c r="C875" i="1"/>
  <c r="C851" i="1"/>
  <c r="C827" i="1"/>
  <c r="C781" i="1"/>
  <c r="C729" i="1"/>
  <c r="C674" i="1"/>
  <c r="C611" i="1"/>
  <c r="C542" i="1"/>
  <c r="C484" i="1"/>
  <c r="C402" i="1"/>
  <c r="C329" i="1"/>
  <c r="C214" i="1"/>
  <c r="C98" i="1"/>
  <c r="C523" i="1"/>
  <c r="C427" i="1"/>
  <c r="C383" i="1"/>
  <c r="C298" i="1"/>
  <c r="C182" i="1"/>
  <c r="C67" i="1"/>
  <c r="C683" i="1"/>
  <c r="C659" i="1"/>
  <c r="C626" i="1"/>
  <c r="C554" i="1"/>
  <c r="C513" i="1"/>
  <c r="C434" i="1"/>
  <c r="C382" i="1"/>
  <c r="C325" i="1"/>
  <c r="C268" i="1"/>
  <c r="C210" i="1"/>
  <c r="C152" i="1"/>
  <c r="C95" i="1"/>
  <c r="C37" i="1"/>
  <c r="C616" i="1"/>
  <c r="C580" i="1"/>
  <c r="C544" i="1"/>
  <c r="C474" i="1"/>
  <c r="C431" i="1"/>
  <c r="C331" i="1"/>
  <c r="C274" i="1"/>
  <c r="C216" i="1"/>
  <c r="C158" i="1"/>
  <c r="C101" i="1"/>
  <c r="C43" i="1"/>
  <c r="C511" i="1"/>
  <c r="C459" i="1"/>
  <c r="C413" i="1"/>
  <c r="C535" i="1"/>
  <c r="C483" i="1"/>
  <c r="C437" i="1"/>
  <c r="C391" i="1"/>
  <c r="C515" i="1"/>
  <c r="C469" i="1"/>
  <c r="C417" i="1"/>
  <c r="C371" i="1"/>
  <c r="C342" i="1"/>
  <c r="C313" i="1"/>
  <c r="C284" i="1"/>
  <c r="C256" i="1"/>
  <c r="C227" i="1"/>
  <c r="C198" i="1"/>
  <c r="C169" i="1"/>
  <c r="C140" i="1"/>
  <c r="C112" i="1"/>
  <c r="C83" i="1"/>
  <c r="C54" i="1"/>
  <c r="C369" i="1"/>
  <c r="C345" i="1"/>
  <c r="C321" i="1"/>
  <c r="C297" i="1"/>
  <c r="C273" i="1"/>
  <c r="C249" i="1"/>
  <c r="C225" i="1"/>
  <c r="C201" i="1"/>
  <c r="C177" i="1"/>
  <c r="C153" i="1"/>
  <c r="C129" i="1"/>
  <c r="C105" i="1"/>
  <c r="C81" i="1"/>
  <c r="C57" i="1"/>
  <c r="C33" i="1"/>
  <c r="G772" i="1"/>
  <c r="G894" i="1"/>
  <c r="G928" i="1"/>
  <c r="G611" i="1"/>
  <c r="G907" i="1"/>
  <c r="G896" i="1"/>
  <c r="G948" i="1"/>
  <c r="G979" i="1"/>
  <c r="G832" i="1"/>
  <c r="G1009" i="1"/>
  <c r="G960" i="1"/>
  <c r="G918" i="1"/>
  <c r="G463" i="1"/>
  <c r="G77" i="1"/>
  <c r="G71" i="1"/>
  <c r="G365" i="1"/>
  <c r="G800" i="1"/>
  <c r="G301" i="1"/>
  <c r="G1018" i="1"/>
  <c r="G936" i="1"/>
  <c r="G828" i="1"/>
  <c r="G681" i="1"/>
  <c r="G501" i="1"/>
  <c r="G1027" i="1"/>
  <c r="G904" i="1"/>
  <c r="G840" i="1"/>
  <c r="G768" i="1"/>
  <c r="G621" i="1"/>
  <c r="G478" i="1"/>
  <c r="G382" i="1"/>
  <c r="G1006" i="1"/>
  <c r="G924" i="1"/>
  <c r="G878" i="1"/>
  <c r="G715" i="1"/>
  <c r="G578" i="1"/>
  <c r="G380" i="1"/>
  <c r="G232" i="1"/>
  <c r="G754" i="1"/>
  <c r="G441" i="1"/>
  <c r="G214" i="1"/>
  <c r="G856" i="1"/>
  <c r="G964" i="1"/>
  <c r="G714" i="1"/>
  <c r="G454" i="1"/>
  <c r="G889" i="1"/>
  <c r="G636" i="1"/>
  <c r="G378" i="1"/>
  <c r="G198" i="1"/>
  <c r="G1014" i="1"/>
  <c r="G931" i="1"/>
  <c r="G848" i="1"/>
  <c r="G744" i="1"/>
  <c r="G672" i="1"/>
  <c r="G595" i="1"/>
  <c r="G449" i="1"/>
  <c r="G286" i="1"/>
  <c r="G972" i="1"/>
  <c r="G886" i="1"/>
  <c r="G710" i="1"/>
  <c r="G591" i="1"/>
  <c r="G468" i="1"/>
  <c r="G118" i="1"/>
  <c r="G625" i="1"/>
  <c r="G916" i="1"/>
  <c r="G943" i="1"/>
  <c r="G557" i="1"/>
  <c r="G125" i="1"/>
  <c r="G877" i="1"/>
  <c r="G577" i="1"/>
  <c r="G1002" i="1"/>
  <c r="G919" i="1"/>
  <c r="G847" i="1"/>
  <c r="G671" i="1"/>
  <c r="G444" i="1"/>
  <c r="G216" i="1"/>
  <c r="G107" i="1"/>
  <c r="G1025" i="1"/>
  <c r="G1001" i="1"/>
  <c r="G977" i="1"/>
  <c r="G953" i="1"/>
  <c r="G929" i="1"/>
  <c r="G905" i="1"/>
  <c r="G846" i="1"/>
  <c r="G798" i="1"/>
  <c r="G702" i="1"/>
  <c r="G599" i="1"/>
  <c r="G515" i="1"/>
  <c r="G439" i="1"/>
  <c r="G259" i="1"/>
  <c r="G890" i="1"/>
  <c r="G845" i="1"/>
  <c r="G797" i="1"/>
  <c r="G750" i="1"/>
  <c r="G631" i="1"/>
  <c r="G561" i="1"/>
  <c r="G426" i="1"/>
  <c r="G271" i="1"/>
  <c r="G180" i="1"/>
  <c r="G55" i="1"/>
  <c r="G373" i="1"/>
  <c r="G179" i="1"/>
  <c r="G1029" i="1"/>
  <c r="G981" i="1"/>
  <c r="G933" i="1"/>
  <c r="G851" i="1"/>
  <c r="G786" i="1"/>
  <c r="G674" i="1"/>
  <c r="G663" i="1"/>
  <c r="G548" i="1"/>
  <c r="G436" i="1"/>
  <c r="G343" i="1"/>
  <c r="G252" i="1"/>
  <c r="G175" i="1"/>
  <c r="G100" i="1"/>
  <c r="G888" i="1"/>
  <c r="G818" i="1"/>
  <c r="G737" i="1"/>
  <c r="G662" i="1"/>
  <c r="G559" i="1"/>
  <c r="G472" i="1"/>
  <c r="G384" i="1"/>
  <c r="G144" i="1"/>
  <c r="G40" i="1"/>
  <c r="G987" i="1"/>
  <c r="G939" i="1"/>
  <c r="G859" i="1"/>
  <c r="G1016" i="1"/>
  <c r="G992" i="1"/>
  <c r="G968" i="1"/>
  <c r="G944" i="1"/>
  <c r="G920" i="1"/>
  <c r="G880" i="1"/>
  <c r="G826" i="1"/>
  <c r="G765" i="1"/>
  <c r="G685" i="1"/>
  <c r="G603" i="1"/>
  <c r="G522" i="1"/>
  <c r="G435" i="1"/>
  <c r="G342" i="1"/>
  <c r="G281" i="1"/>
  <c r="G190" i="1"/>
  <c r="G112" i="1"/>
  <c r="G36" i="1"/>
  <c r="G770" i="1"/>
  <c r="G711" i="1"/>
  <c r="G653" i="1"/>
  <c r="G583" i="1"/>
  <c r="G530" i="1"/>
  <c r="G445" i="1"/>
  <c r="G304" i="1"/>
  <c r="G166" i="1"/>
  <c r="G96" i="1"/>
  <c r="G760" i="1"/>
  <c r="G709" i="1"/>
  <c r="G667" i="1"/>
  <c r="G597" i="1"/>
  <c r="G546" i="1"/>
  <c r="G443" i="1"/>
  <c r="G377" i="1"/>
  <c r="G300" i="1"/>
  <c r="G208" i="1"/>
  <c r="G70" i="1"/>
  <c r="G849" i="1"/>
  <c r="G825" i="1"/>
  <c r="G801" i="1"/>
  <c r="G738" i="1"/>
  <c r="G657" i="1"/>
  <c r="G571" i="1"/>
  <c r="G517" i="1"/>
  <c r="G470" i="1"/>
  <c r="G413" i="1"/>
  <c r="G334" i="1"/>
  <c r="G196" i="1"/>
  <c r="G126" i="1"/>
  <c r="G35" i="1"/>
  <c r="G775" i="1"/>
  <c r="G751" i="1"/>
  <c r="G727" i="1"/>
  <c r="G687" i="1"/>
  <c r="G659" i="1"/>
  <c r="G630" i="1"/>
  <c r="G601" i="1"/>
  <c r="G572" i="1"/>
  <c r="G543" i="1"/>
  <c r="G489" i="1"/>
  <c r="G442" i="1"/>
  <c r="G395" i="1"/>
  <c r="G325" i="1"/>
  <c r="G229" i="1"/>
  <c r="G133" i="1"/>
  <c r="G37" i="1"/>
  <c r="G509" i="1"/>
  <c r="G423" i="1"/>
  <c r="G376" i="1"/>
  <c r="G293" i="1"/>
  <c r="G197" i="1"/>
  <c r="G101" i="1"/>
  <c r="G532" i="1"/>
  <c r="G486" i="1"/>
  <c r="G440" i="1"/>
  <c r="G388" i="1"/>
  <c r="G330" i="1"/>
  <c r="G234" i="1"/>
  <c r="G138" i="1"/>
  <c r="G42" i="1"/>
  <c r="G700" i="1"/>
  <c r="G676" i="1"/>
  <c r="G652" i="1"/>
  <c r="G628" i="1"/>
  <c r="G604" i="1"/>
  <c r="G580" i="1"/>
  <c r="G556" i="1"/>
  <c r="G525" i="1"/>
  <c r="G479" i="1"/>
  <c r="G433" i="1"/>
  <c r="G381" i="1"/>
  <c r="G337" i="1"/>
  <c r="G289" i="1"/>
  <c r="G241" i="1"/>
  <c r="G193" i="1"/>
  <c r="G145" i="1"/>
  <c r="G97" i="1"/>
  <c r="G49" i="1"/>
  <c r="G345" i="1"/>
  <c r="G321" i="1"/>
  <c r="G297" i="1"/>
  <c r="G273" i="1"/>
  <c r="G249" i="1"/>
  <c r="G225" i="1"/>
  <c r="G201" i="1"/>
  <c r="G177" i="1"/>
  <c r="G153" i="1"/>
  <c r="G129" i="1"/>
  <c r="G105" i="1"/>
  <c r="G81" i="1"/>
  <c r="G57" i="1"/>
  <c r="G33" i="1"/>
  <c r="G338" i="1"/>
  <c r="G314" i="1"/>
  <c r="G290" i="1"/>
  <c r="G266" i="1"/>
  <c r="G242" i="1"/>
  <c r="G218" i="1"/>
  <c r="G194" i="1"/>
  <c r="G170" i="1"/>
  <c r="G146" i="1"/>
  <c r="G122" i="1"/>
  <c r="G98" i="1"/>
  <c r="G74" i="1"/>
  <c r="G50" i="1"/>
  <c r="K31" i="1"/>
  <c r="K186" i="1"/>
  <c r="K905" i="1"/>
  <c r="K704" i="1"/>
  <c r="K859" i="1"/>
  <c r="K438" i="1"/>
  <c r="K416" i="1"/>
  <c r="K849" i="1"/>
  <c r="K940" i="1"/>
  <c r="K724" i="1"/>
  <c r="K397" i="1"/>
  <c r="K659" i="1"/>
  <c r="K929" i="1"/>
  <c r="K771" i="1"/>
  <c r="K823" i="1"/>
  <c r="K482" i="1"/>
  <c r="K475" i="1"/>
  <c r="K983" i="1"/>
  <c r="K807" i="1"/>
  <c r="K657" i="1"/>
  <c r="K530" i="1"/>
  <c r="K323" i="1"/>
  <c r="K157" i="1"/>
  <c r="K938" i="1"/>
  <c r="K751" i="1"/>
  <c r="K608" i="1"/>
  <c r="K389" i="1"/>
  <c r="K1003" i="1"/>
  <c r="K880" i="1"/>
  <c r="K817" i="1"/>
  <c r="K733" i="1"/>
  <c r="K639" i="1"/>
  <c r="K529" i="1"/>
  <c r="K341" i="1"/>
  <c r="K182" i="1"/>
  <c r="K901" i="1"/>
  <c r="K853" i="1"/>
  <c r="K620" i="1"/>
  <c r="K446" i="1"/>
  <c r="K1002" i="1"/>
  <c r="K959" i="1"/>
  <c r="K842" i="1"/>
  <c r="K700" i="1"/>
  <c r="K587" i="1"/>
  <c r="K468" i="1"/>
  <c r="K360" i="1"/>
  <c r="K246" i="1"/>
  <c r="K73" i="1"/>
  <c r="K712" i="1"/>
  <c r="K573" i="1"/>
  <c r="K445" i="1"/>
  <c r="K1001" i="1"/>
  <c r="K935" i="1"/>
  <c r="K875" i="1"/>
  <c r="K788" i="1"/>
  <c r="K648" i="1"/>
  <c r="K540" i="1"/>
  <c r="K382" i="1"/>
  <c r="K265" i="1"/>
  <c r="K151" i="1"/>
  <c r="K1026" i="1"/>
  <c r="K765" i="1"/>
  <c r="K904" i="1"/>
  <c r="K757" i="1"/>
  <c r="K662" i="1"/>
  <c r="K568" i="1"/>
  <c r="K460" i="1"/>
  <c r="K92" i="1"/>
  <c r="K997" i="1"/>
  <c r="K931" i="1"/>
  <c r="K884" i="1"/>
  <c r="K799" i="1"/>
  <c r="K693" i="1"/>
  <c r="K584" i="1"/>
  <c r="K439" i="1"/>
  <c r="K308" i="1"/>
  <c r="K187" i="1"/>
  <c r="K856" i="1"/>
  <c r="K623" i="1"/>
  <c r="K1028" i="1"/>
  <c r="K934" i="1"/>
  <c r="K706" i="1"/>
  <c r="K528" i="1"/>
  <c r="K239" i="1"/>
  <c r="K132" i="1"/>
  <c r="K53" i="1"/>
  <c r="K917" i="1"/>
  <c r="K758" i="1"/>
  <c r="K622" i="1"/>
  <c r="K560" i="1"/>
  <c r="K492" i="1"/>
  <c r="K436" i="1"/>
  <c r="K89" i="1"/>
  <c r="K759" i="1"/>
  <c r="K582" i="1"/>
  <c r="K478" i="1"/>
  <c r="K1021" i="1"/>
  <c r="K971" i="1"/>
  <c r="K895" i="1"/>
  <c r="K795" i="1"/>
  <c r="K643" i="1"/>
  <c r="K464" i="1"/>
  <c r="K1013" i="1"/>
  <c r="K977" i="1"/>
  <c r="K909" i="1"/>
  <c r="K854" i="1"/>
  <c r="K802" i="1"/>
  <c r="K747" i="1"/>
  <c r="K673" i="1"/>
  <c r="K600" i="1"/>
  <c r="K378" i="1"/>
  <c r="K287" i="1"/>
  <c r="K193" i="1"/>
  <c r="K131" i="1"/>
  <c r="K37" i="1"/>
  <c r="K715" i="1"/>
  <c r="K668" i="1"/>
  <c r="K621" i="1"/>
  <c r="K526" i="1"/>
  <c r="K406" i="1"/>
  <c r="K1024" i="1"/>
  <c r="K1000" i="1"/>
  <c r="K976" i="1"/>
  <c r="K952" i="1"/>
  <c r="K907" i="1"/>
  <c r="K848" i="1"/>
  <c r="K812" i="1"/>
  <c r="K776" i="1"/>
  <c r="K714" i="1"/>
  <c r="K652" i="1"/>
  <c r="K589" i="1"/>
  <c r="K525" i="1"/>
  <c r="K452" i="1"/>
  <c r="K414" i="1"/>
  <c r="K325" i="1"/>
  <c r="K274" i="1"/>
  <c r="K211" i="1"/>
  <c r="K139" i="1"/>
  <c r="K66" i="1"/>
  <c r="K490" i="1"/>
  <c r="K404" i="1"/>
  <c r="K1017" i="1"/>
  <c r="K993" i="1"/>
  <c r="K969" i="1"/>
  <c r="K945" i="1"/>
  <c r="K886" i="1"/>
  <c r="K832" i="1"/>
  <c r="K796" i="1"/>
  <c r="K760" i="1"/>
  <c r="K721" i="1"/>
  <c r="K666" i="1"/>
  <c r="K603" i="1"/>
  <c r="K541" i="1"/>
  <c r="K506" i="1"/>
  <c r="K413" i="1"/>
  <c r="K334" i="1"/>
  <c r="K272" i="1"/>
  <c r="K210" i="1"/>
  <c r="K158" i="1"/>
  <c r="K74" i="1"/>
  <c r="K936" i="1"/>
  <c r="K912" i="1"/>
  <c r="K888" i="1"/>
  <c r="K864" i="1"/>
  <c r="K840" i="1"/>
  <c r="K816" i="1"/>
  <c r="K792" i="1"/>
  <c r="K768" i="1"/>
  <c r="K723" i="1"/>
  <c r="K677" i="1"/>
  <c r="K625" i="1"/>
  <c r="K579" i="1"/>
  <c r="K518" i="1"/>
  <c r="K481" i="1"/>
  <c r="K410" i="1"/>
  <c r="K354" i="1"/>
  <c r="K311" i="1"/>
  <c r="K268" i="1"/>
  <c r="K224" i="1"/>
  <c r="K181" i="1"/>
  <c r="K138" i="1"/>
  <c r="K95" i="1"/>
  <c r="K52" i="1"/>
  <c r="K839" i="1"/>
  <c r="K815" i="1"/>
  <c r="K791" i="1"/>
  <c r="K767" i="1"/>
  <c r="K722" i="1"/>
  <c r="K676" i="1"/>
  <c r="K630" i="1"/>
  <c r="K578" i="1"/>
  <c r="K524" i="1"/>
  <c r="K496" i="1"/>
  <c r="K425" i="1"/>
  <c r="K361" i="1"/>
  <c r="K318" i="1"/>
  <c r="K275" i="1"/>
  <c r="K232" i="1"/>
  <c r="K188" i="1"/>
  <c r="K145" i="1"/>
  <c r="K102" i="1"/>
  <c r="K59" i="1"/>
  <c r="K521" i="1"/>
  <c r="K480" i="1"/>
  <c r="K451" i="1"/>
  <c r="K422" i="1"/>
  <c r="K394" i="1"/>
  <c r="K365" i="1"/>
  <c r="K336" i="1"/>
  <c r="K307" i="1"/>
  <c r="K278" i="1"/>
  <c r="K250" i="1"/>
  <c r="K221" i="1"/>
  <c r="K192" i="1"/>
  <c r="K163" i="1"/>
  <c r="K134" i="1"/>
  <c r="K106" i="1"/>
  <c r="K77" i="1"/>
  <c r="K48" i="1"/>
  <c r="K356" i="1"/>
  <c r="K328" i="1"/>
  <c r="K299" i="1"/>
  <c r="K270" i="1"/>
  <c r="K241" i="1"/>
  <c r="K212" i="1"/>
  <c r="K184" i="1"/>
  <c r="K155" i="1"/>
  <c r="K126" i="1"/>
  <c r="K97" i="1"/>
  <c r="K68" i="1"/>
  <c r="K40" i="1"/>
  <c r="K483" i="1"/>
  <c r="K459" i="1"/>
  <c r="K435" i="1"/>
  <c r="K411" i="1"/>
  <c r="K387" i="1"/>
  <c r="K363" i="1"/>
  <c r="K339" i="1"/>
  <c r="K315" i="1"/>
  <c r="K291" i="1"/>
  <c r="K267" i="1"/>
  <c r="K243" i="1"/>
  <c r="K219" i="1"/>
  <c r="K195" i="1"/>
  <c r="K171" i="1"/>
  <c r="K147" i="1"/>
  <c r="K123" i="1"/>
  <c r="K99" i="1"/>
  <c r="K75" i="1"/>
  <c r="K51" i="1"/>
  <c r="O31" i="1"/>
  <c r="O407" i="1"/>
  <c r="O819" i="1"/>
  <c r="O959" i="1"/>
  <c r="O336" i="1"/>
  <c r="O247" i="1"/>
  <c r="O983" i="1"/>
  <c r="O378" i="1"/>
  <c r="O1026" i="1"/>
  <c r="O547" i="1"/>
  <c r="O622" i="1"/>
  <c r="O871" i="1"/>
  <c r="O90" i="1"/>
  <c r="O521" i="1"/>
  <c r="O519" i="1"/>
  <c r="O376" i="1"/>
  <c r="O958" i="1"/>
  <c r="O731" i="1"/>
  <c r="O360" i="1"/>
  <c r="O919" i="1"/>
  <c r="O546" i="1"/>
  <c r="O346" i="1"/>
  <c r="O932" i="1"/>
  <c r="O587" i="1"/>
  <c r="O173" i="1"/>
  <c r="O853" i="1"/>
  <c r="O672" i="1"/>
  <c r="O558" i="1"/>
  <c r="O459" i="1"/>
  <c r="O373" i="1"/>
  <c r="O287" i="1"/>
  <c r="O169" i="1"/>
  <c r="O966" i="1"/>
  <c r="O875" i="1"/>
  <c r="O786" i="1"/>
  <c r="O643" i="1"/>
  <c r="O472" i="1"/>
  <c r="O369" i="1"/>
  <c r="O271" i="1"/>
  <c r="O95" i="1"/>
  <c r="O393" i="1"/>
  <c r="O178" i="1"/>
  <c r="O945" i="1"/>
  <c r="O829" i="1"/>
  <c r="O661" i="1"/>
  <c r="O461" i="1"/>
  <c r="O243" i="1"/>
  <c r="O69" i="1"/>
  <c r="O802" i="1"/>
  <c r="O559" i="1"/>
  <c r="O403" i="1"/>
  <c r="O241" i="1"/>
  <c r="O102" i="1"/>
  <c r="O944" i="1"/>
  <c r="O801" i="1"/>
  <c r="O616" i="1"/>
  <c r="O345" i="1"/>
  <c r="O83" i="1"/>
  <c r="O879" i="1"/>
  <c r="O1021" i="1"/>
  <c r="O952" i="1"/>
  <c r="O812" i="1"/>
  <c r="O671" i="1"/>
  <c r="O557" i="1"/>
  <c r="O414" i="1"/>
  <c r="O239" i="1"/>
  <c r="O133" i="1"/>
  <c r="O998" i="1"/>
  <c r="O914" i="1"/>
  <c r="O822" i="1"/>
  <c r="O682" i="1"/>
  <c r="O468" i="1"/>
  <c r="O339" i="1"/>
  <c r="O267" i="1"/>
  <c r="O166" i="1"/>
  <c r="O1029" i="1"/>
  <c r="O926" i="1"/>
  <c r="O835" i="1"/>
  <c r="O738" i="1"/>
  <c r="O567" i="1"/>
  <c r="O481" i="1"/>
  <c r="O382" i="1"/>
  <c r="O185" i="1"/>
  <c r="O1018" i="1"/>
  <c r="O899" i="1"/>
  <c r="O847" i="1"/>
  <c r="O665" i="1"/>
  <c r="O522" i="1"/>
  <c r="O351" i="1"/>
  <c r="O126" i="1"/>
  <c r="O1016" i="1"/>
  <c r="O950" i="1"/>
  <c r="O820" i="1"/>
  <c r="O766" i="1"/>
  <c r="O636" i="1"/>
  <c r="O579" i="1"/>
  <c r="O436" i="1"/>
  <c r="O309" i="1"/>
  <c r="O179" i="1"/>
  <c r="O980" i="1"/>
  <c r="O872" i="1"/>
  <c r="O836" i="1"/>
  <c r="O774" i="1"/>
  <c r="O708" i="1"/>
  <c r="O651" i="1"/>
  <c r="O583" i="1"/>
  <c r="O526" i="1"/>
  <c r="O431" i="1"/>
  <c r="O317" i="1"/>
  <c r="O205" i="1"/>
  <c r="O101" i="1"/>
  <c r="O204" i="1"/>
  <c r="O121" i="1"/>
  <c r="O47" i="1"/>
  <c r="O963" i="1"/>
  <c r="O913" i="1"/>
  <c r="O800" i="1"/>
  <c r="O733" i="1"/>
  <c r="G639" i="1"/>
  <c r="G535" i="1"/>
  <c r="G422" i="1"/>
  <c r="G329" i="1"/>
  <c r="G238" i="1"/>
  <c r="G160" i="1"/>
  <c r="G84" i="1"/>
  <c r="G873" i="1"/>
  <c r="G794" i="1"/>
  <c r="G728" i="1"/>
  <c r="G617" i="1"/>
  <c r="G547" i="1"/>
  <c r="G459" i="1"/>
  <c r="G372" i="1"/>
  <c r="G67" i="1"/>
  <c r="G1023" i="1"/>
  <c r="G975" i="1"/>
  <c r="G927" i="1"/>
  <c r="G811" i="1"/>
  <c r="G1010" i="1"/>
  <c r="G986" i="1"/>
  <c r="G962" i="1"/>
  <c r="G938" i="1"/>
  <c r="G914" i="1"/>
  <c r="G858" i="1"/>
  <c r="G810" i="1"/>
  <c r="G756" i="1"/>
  <c r="G650" i="1"/>
  <c r="G593" i="1"/>
  <c r="G496" i="1"/>
  <c r="G421" i="1"/>
  <c r="G328" i="1"/>
  <c r="G251" i="1"/>
  <c r="G174" i="1"/>
  <c r="G83" i="1"/>
  <c r="G791" i="1"/>
  <c r="G748" i="1"/>
  <c r="G696" i="1"/>
  <c r="G626" i="1"/>
  <c r="G575" i="1"/>
  <c r="G511" i="1"/>
  <c r="G398" i="1"/>
  <c r="G257" i="1"/>
  <c r="G155" i="1"/>
  <c r="G61" i="1"/>
  <c r="G753" i="1"/>
  <c r="G701" i="1"/>
  <c r="G641" i="1"/>
  <c r="G589" i="1"/>
  <c r="G537" i="1"/>
  <c r="G424" i="1"/>
  <c r="G358" i="1"/>
  <c r="G288" i="1"/>
  <c r="G161" i="1"/>
  <c r="G59" i="1"/>
  <c r="G843" i="1"/>
  <c r="G819" i="1"/>
  <c r="G795" i="1"/>
  <c r="G731" i="1"/>
  <c r="G649" i="1"/>
  <c r="G563" i="1"/>
  <c r="G508" i="1"/>
  <c r="G461" i="1"/>
  <c r="G404" i="1"/>
  <c r="G323" i="1"/>
  <c r="G184" i="1"/>
  <c r="G115" i="1"/>
  <c r="G793" i="1"/>
  <c r="G769" i="1"/>
  <c r="G745" i="1"/>
  <c r="G721" i="1"/>
  <c r="G680" i="1"/>
  <c r="G651" i="1"/>
  <c r="G623" i="1"/>
  <c r="G594" i="1"/>
  <c r="G565" i="1"/>
  <c r="G528" i="1"/>
  <c r="G481" i="1"/>
  <c r="G434" i="1"/>
  <c r="G386" i="1"/>
  <c r="G287" i="1"/>
  <c r="G191" i="1"/>
  <c r="G95" i="1"/>
  <c r="G705" i="1"/>
  <c r="G485" i="1"/>
  <c r="G415" i="1"/>
  <c r="G367" i="1"/>
  <c r="G283" i="1"/>
  <c r="G187" i="1"/>
  <c r="G91" i="1"/>
  <c r="G519" i="1"/>
  <c r="G473" i="1"/>
  <c r="G427" i="1"/>
  <c r="G375" i="1"/>
  <c r="G306" i="1"/>
  <c r="G210" i="1"/>
  <c r="G114" i="1"/>
  <c r="G718" i="1"/>
  <c r="G694" i="1"/>
  <c r="G670" i="1"/>
  <c r="G646" i="1"/>
  <c r="G622" i="1"/>
  <c r="G598" i="1"/>
  <c r="G574" i="1"/>
  <c r="G550" i="1"/>
  <c r="G518" i="1"/>
  <c r="G466" i="1"/>
  <c r="G420" i="1"/>
  <c r="G374" i="1"/>
  <c r="G322" i="1"/>
  <c r="G274" i="1"/>
  <c r="G226" i="1"/>
  <c r="G178" i="1"/>
  <c r="G130" i="1"/>
  <c r="G82" i="1"/>
  <c r="G34" i="1"/>
  <c r="G339" i="1"/>
  <c r="G315" i="1"/>
  <c r="G291" i="1"/>
  <c r="G267" i="1"/>
  <c r="G243" i="1"/>
  <c r="G219" i="1"/>
  <c r="G195" i="1"/>
  <c r="G171" i="1"/>
  <c r="G147" i="1"/>
  <c r="G123" i="1"/>
  <c r="G99" i="1"/>
  <c r="G75" i="1"/>
  <c r="G51" i="1"/>
  <c r="G356" i="1"/>
  <c r="G332" i="1"/>
  <c r="G308" i="1"/>
  <c r="G284" i="1"/>
  <c r="G260" i="1"/>
  <c r="G236" i="1"/>
  <c r="G212" i="1"/>
  <c r="G188" i="1"/>
  <c r="G164" i="1"/>
  <c r="G140" i="1"/>
  <c r="G116" i="1"/>
  <c r="G92" i="1"/>
  <c r="G68" i="1"/>
  <c r="G44" i="1"/>
  <c r="K916" i="1"/>
  <c r="K953" i="1"/>
  <c r="K551" i="1"/>
  <c r="K755" i="1"/>
  <c r="K753" i="1"/>
  <c r="K166" i="1"/>
  <c r="K986" i="1"/>
  <c r="K740" i="1"/>
  <c r="K892" i="1"/>
  <c r="K661" i="1"/>
  <c r="K974" i="1"/>
  <c r="K596" i="1"/>
  <c r="K720" i="1"/>
  <c r="K1008" i="1"/>
  <c r="K708" i="1"/>
  <c r="K352" i="1"/>
  <c r="K390" i="1"/>
  <c r="K973" i="1"/>
  <c r="K781" i="1"/>
  <c r="K626" i="1"/>
  <c r="K512" i="1"/>
  <c r="K298" i="1"/>
  <c r="K136" i="1"/>
  <c r="K915" i="1"/>
  <c r="K719" i="1"/>
  <c r="K576" i="1"/>
  <c r="K58" i="1"/>
  <c r="K972" i="1"/>
  <c r="K867" i="1"/>
  <c r="K806" i="1"/>
  <c r="K701" i="1"/>
  <c r="K624" i="1"/>
  <c r="K454" i="1"/>
  <c r="K296" i="1"/>
  <c r="K79" i="1"/>
  <c r="K890" i="1"/>
  <c r="K732" i="1"/>
  <c r="K607" i="1"/>
  <c r="K403" i="1"/>
  <c r="K990" i="1"/>
  <c r="K947" i="1"/>
  <c r="K801" i="1"/>
  <c r="K681" i="1"/>
  <c r="K543" i="1"/>
  <c r="K427" i="1"/>
  <c r="K340" i="1"/>
  <c r="K218" i="1"/>
  <c r="K889" i="1"/>
  <c r="K667" i="1"/>
  <c r="K555" i="1"/>
  <c r="K124" i="1"/>
  <c r="K989" i="1"/>
  <c r="K922" i="1"/>
  <c r="K851" i="1"/>
  <c r="K743" i="1"/>
  <c r="K634" i="1"/>
  <c r="K485" i="1"/>
  <c r="K359" i="1"/>
  <c r="K245" i="1"/>
  <c r="K563" i="1"/>
  <c r="K995" i="1"/>
  <c r="K688" i="1"/>
  <c r="K881" i="1"/>
  <c r="K742" i="1"/>
  <c r="K631" i="1"/>
  <c r="K554" i="1"/>
  <c r="K419" i="1"/>
  <c r="K64" i="1"/>
  <c r="K966" i="1"/>
  <c r="K921" i="1"/>
  <c r="K850" i="1"/>
  <c r="K784" i="1"/>
  <c r="K679" i="1"/>
  <c r="K520" i="1"/>
  <c r="K418" i="1"/>
  <c r="K281" i="1"/>
  <c r="K167" i="1"/>
  <c r="K770" i="1"/>
  <c r="K602" i="1"/>
  <c r="K1014" i="1"/>
  <c r="K871" i="1"/>
  <c r="K686" i="1"/>
  <c r="K449" i="1"/>
  <c r="K226" i="1"/>
  <c r="K115" i="1"/>
  <c r="K38" i="1"/>
  <c r="K902" i="1"/>
  <c r="K726" i="1"/>
  <c r="K610" i="1"/>
  <c r="K548" i="1"/>
  <c r="K476" i="1"/>
  <c r="K420" i="1"/>
  <c r="K72" i="1"/>
  <c r="K718" i="1"/>
  <c r="K561" i="1"/>
  <c r="K450" i="1"/>
  <c r="K1007" i="1"/>
  <c r="K956" i="1"/>
  <c r="K863" i="1"/>
  <c r="K787" i="1"/>
  <c r="K633" i="1"/>
  <c r="K380" i="1"/>
  <c r="K998" i="1"/>
  <c r="K962" i="1"/>
  <c r="K893" i="1"/>
  <c r="K837" i="1"/>
  <c r="K794" i="1"/>
  <c r="K716" i="1"/>
  <c r="K653" i="1"/>
  <c r="K590" i="1"/>
  <c r="K348" i="1"/>
  <c r="K269" i="1"/>
  <c r="K175" i="1"/>
  <c r="K114" i="1"/>
  <c r="K754" i="1"/>
  <c r="K707" i="1"/>
  <c r="K660" i="1"/>
  <c r="K597" i="1"/>
  <c r="K491" i="1"/>
  <c r="K388" i="1"/>
  <c r="K1018" i="1"/>
  <c r="K994" i="1"/>
  <c r="K970" i="1"/>
  <c r="K946" i="1"/>
  <c r="K887" i="1"/>
  <c r="K841" i="1"/>
  <c r="K805" i="1"/>
  <c r="K769" i="1"/>
  <c r="K699" i="1"/>
  <c r="K644" i="1"/>
  <c r="K581" i="1"/>
  <c r="K516" i="1"/>
  <c r="K443" i="1"/>
  <c r="K396" i="1"/>
  <c r="K316" i="1"/>
  <c r="K253" i="1"/>
  <c r="K202" i="1"/>
  <c r="K118" i="1"/>
  <c r="K56" i="1"/>
  <c r="K479" i="1"/>
  <c r="K376" i="1"/>
  <c r="K1011" i="1"/>
  <c r="K987" i="1"/>
  <c r="K963" i="1"/>
  <c r="K932" i="1"/>
  <c r="K873" i="1"/>
  <c r="K825" i="1"/>
  <c r="K789" i="1"/>
  <c r="K745" i="1"/>
  <c r="K713" i="1"/>
  <c r="K642" i="1"/>
  <c r="K580" i="1"/>
  <c r="K532" i="1"/>
  <c r="K498" i="1"/>
  <c r="K384" i="1"/>
  <c r="K324" i="1"/>
  <c r="K262" i="1"/>
  <c r="K200" i="1"/>
  <c r="K116" i="1"/>
  <c r="K65" i="1"/>
  <c r="K930" i="1"/>
  <c r="K906" i="1"/>
  <c r="K882" i="1"/>
  <c r="K858" i="1"/>
  <c r="K834" i="1"/>
  <c r="K810" i="1"/>
  <c r="K786" i="1"/>
  <c r="K762" i="1"/>
  <c r="K710" i="1"/>
  <c r="K664" i="1"/>
  <c r="K618" i="1"/>
  <c r="K566" i="1"/>
  <c r="K511" i="1"/>
  <c r="K457" i="1"/>
  <c r="K395" i="1"/>
  <c r="K346" i="1"/>
  <c r="K302" i="1"/>
  <c r="K259" i="1"/>
  <c r="K216" i="1"/>
  <c r="K173" i="1"/>
  <c r="K130" i="1"/>
  <c r="K86" i="1"/>
  <c r="K43" i="1"/>
  <c r="K833" i="1"/>
  <c r="K809" i="1"/>
  <c r="K785" i="1"/>
  <c r="K761" i="1"/>
  <c r="K709" i="1"/>
  <c r="K663" i="1"/>
  <c r="K617" i="1"/>
  <c r="K565" i="1"/>
  <c r="K517" i="1"/>
  <c r="K472" i="1"/>
  <c r="K409" i="1"/>
  <c r="K353" i="1"/>
  <c r="K310" i="1"/>
  <c r="K266" i="1"/>
  <c r="K223" i="1"/>
  <c r="K180" i="1"/>
  <c r="K137" i="1"/>
  <c r="K94" i="1"/>
  <c r="K50" i="1"/>
  <c r="K508" i="1"/>
  <c r="K473" i="1"/>
  <c r="K444" i="1"/>
  <c r="K415" i="1"/>
  <c r="K386" i="1"/>
  <c r="K358" i="1"/>
  <c r="K329" i="1"/>
  <c r="K300" i="1"/>
  <c r="K271" i="1"/>
  <c r="K242" i="1"/>
  <c r="K214" i="1"/>
  <c r="K185" i="1"/>
  <c r="K156" i="1"/>
  <c r="K127" i="1"/>
  <c r="K98" i="1"/>
  <c r="K70" i="1"/>
  <c r="K41" i="1"/>
  <c r="K349" i="1"/>
  <c r="K320" i="1"/>
  <c r="K292" i="1"/>
  <c r="K263" i="1"/>
  <c r="K234" i="1"/>
  <c r="K205" i="1"/>
  <c r="K176" i="1"/>
  <c r="K148" i="1"/>
  <c r="K119" i="1"/>
  <c r="K90" i="1"/>
  <c r="K61" i="1"/>
  <c r="K32" i="1"/>
  <c r="K477" i="1"/>
  <c r="K453" i="1"/>
  <c r="K429" i="1"/>
  <c r="K405" i="1"/>
  <c r="K381" i="1"/>
  <c r="K357" i="1"/>
  <c r="K333" i="1"/>
  <c r="K309" i="1"/>
  <c r="K285" i="1"/>
  <c r="K261" i="1"/>
  <c r="K237" i="1"/>
  <c r="K213" i="1"/>
  <c r="K189" i="1"/>
  <c r="K165" i="1"/>
  <c r="K141" i="1"/>
  <c r="K117" i="1"/>
  <c r="K93" i="1"/>
  <c r="K69" i="1"/>
  <c r="K45" i="1"/>
  <c r="O924" i="1"/>
  <c r="O910" i="1"/>
  <c r="O971" i="1"/>
  <c r="O884" i="1"/>
  <c r="O145" i="1"/>
  <c r="O995" i="1"/>
  <c r="O664" i="1"/>
  <c r="O972" i="1"/>
  <c r="O882" i="1"/>
  <c r="O125" i="1"/>
  <c r="O450" i="1"/>
  <c r="O707" i="1"/>
  <c r="O1005" i="1"/>
  <c r="O279" i="1"/>
  <c r="O433" i="1"/>
  <c r="O70" i="1"/>
  <c r="O867" i="1"/>
  <c r="O604" i="1"/>
  <c r="O318" i="1"/>
  <c r="O814" i="1"/>
  <c r="O502" i="1"/>
  <c r="O289" i="1"/>
  <c r="O906" i="1"/>
  <c r="O516" i="1"/>
  <c r="O63" i="1"/>
  <c r="O773" i="1"/>
  <c r="O630" i="1"/>
  <c r="O529" i="1"/>
  <c r="O430" i="1"/>
  <c r="O358" i="1"/>
  <c r="O257" i="1"/>
  <c r="O1011" i="1"/>
  <c r="O943" i="1"/>
  <c r="O865" i="1"/>
  <c r="O757" i="1"/>
  <c r="O586" i="1"/>
  <c r="O443" i="1"/>
  <c r="O329" i="1"/>
  <c r="O252" i="1"/>
  <c r="O82" i="1"/>
  <c r="O364" i="1"/>
  <c r="O106" i="1"/>
  <c r="O893" i="1"/>
  <c r="O775" i="1"/>
  <c r="O617" i="1"/>
  <c r="O347" i="1"/>
  <c r="O156" i="1"/>
  <c r="O1023" i="1"/>
  <c r="O702" i="1"/>
  <c r="O531" i="1"/>
  <c r="O375" i="1"/>
  <c r="O227" i="1"/>
  <c r="O1012" i="1"/>
  <c r="O892" i="1"/>
  <c r="O730" i="1"/>
  <c r="O545" i="1"/>
  <c r="O288" i="1"/>
  <c r="O979" i="1"/>
  <c r="O839" i="1"/>
  <c r="O989" i="1"/>
  <c r="O927" i="1"/>
  <c r="O796" i="1"/>
  <c r="O625" i="1"/>
  <c r="O528" i="1"/>
  <c r="O385" i="1"/>
  <c r="O220" i="1"/>
  <c r="O79" i="1"/>
  <c r="O988" i="1"/>
  <c r="O888" i="1"/>
  <c r="O809" i="1"/>
  <c r="O653" i="1"/>
  <c r="O411" i="1"/>
  <c r="O325" i="1"/>
  <c r="O251" i="1"/>
  <c r="O132" i="1"/>
  <c r="O1008" i="1"/>
  <c r="O900" i="1"/>
  <c r="O821" i="1"/>
  <c r="O696" i="1"/>
  <c r="O553" i="1"/>
  <c r="O453" i="1"/>
  <c r="O367" i="1"/>
  <c r="O147" i="1"/>
  <c r="O1006" i="1"/>
  <c r="O885" i="1"/>
  <c r="O709" i="1"/>
  <c r="O652" i="1"/>
  <c r="O509" i="1"/>
  <c r="O264" i="1"/>
  <c r="O93" i="1"/>
  <c r="O984" i="1"/>
  <c r="O937" i="1"/>
  <c r="O806" i="1"/>
  <c r="O750" i="1"/>
  <c r="O623" i="1"/>
  <c r="O493" i="1"/>
  <c r="O423" i="1"/>
  <c r="O293" i="1"/>
  <c r="O107" i="1"/>
  <c r="O957" i="1"/>
  <c r="O862" i="1"/>
  <c r="O828" i="1"/>
  <c r="O765" i="1"/>
  <c r="O697" i="1"/>
  <c r="O640" i="1"/>
  <c r="O574" i="1"/>
  <c r="O517" i="1"/>
  <c r="O394" i="1"/>
  <c r="O258" i="1"/>
  <c r="O195" i="1"/>
  <c r="O60" i="1"/>
  <c r="O162" i="1"/>
  <c r="O109" i="1"/>
  <c r="O1025" i="1"/>
  <c r="O939" i="1"/>
  <c r="O895" i="1"/>
  <c r="O790" i="1"/>
  <c r="O724" i="1"/>
  <c r="G629" i="1"/>
  <c r="G523" i="1"/>
  <c r="G411" i="1"/>
  <c r="G299" i="1"/>
  <c r="G222" i="1"/>
  <c r="G131" i="1"/>
  <c r="G902" i="1"/>
  <c r="G866" i="1"/>
  <c r="G776" i="1"/>
  <c r="G707" i="1"/>
  <c r="G582" i="1"/>
  <c r="G510" i="1"/>
  <c r="G448" i="1"/>
  <c r="G359" i="1"/>
  <c r="G362" i="1"/>
  <c r="G1011" i="1"/>
  <c r="G963" i="1"/>
  <c r="G909" i="1"/>
  <c r="G1028" i="1"/>
  <c r="G1004" i="1"/>
  <c r="G980" i="1"/>
  <c r="G956" i="1"/>
  <c r="G932" i="1"/>
  <c r="G908" i="1"/>
  <c r="G850" i="1"/>
  <c r="G802" i="1"/>
  <c r="G736" i="1"/>
  <c r="G638" i="1"/>
  <c r="G569" i="1"/>
  <c r="G484" i="1"/>
  <c r="G409" i="1"/>
  <c r="G312" i="1"/>
  <c r="G221" i="1"/>
  <c r="G157" i="1"/>
  <c r="G65" i="1"/>
  <c r="G784" i="1"/>
  <c r="G741" i="1"/>
  <c r="G669" i="1"/>
  <c r="G618" i="1"/>
  <c r="G566" i="1"/>
  <c r="G493" i="1"/>
  <c r="G349" i="1"/>
  <c r="G246" i="1"/>
  <c r="G119" i="1"/>
  <c r="G789" i="1"/>
  <c r="G746" i="1"/>
  <c r="G684" i="1"/>
  <c r="G632" i="1"/>
  <c r="G581" i="1"/>
  <c r="G490" i="1"/>
  <c r="G405" i="1"/>
  <c r="G347" i="1"/>
  <c r="G253" i="1"/>
  <c r="G150" i="1"/>
  <c r="G861" i="1"/>
  <c r="G837" i="1"/>
  <c r="G813" i="1"/>
  <c r="G774" i="1"/>
  <c r="G716" i="1"/>
  <c r="G614" i="1"/>
  <c r="G536" i="1"/>
  <c r="G498" i="1"/>
  <c r="G451" i="1"/>
  <c r="G385" i="1"/>
  <c r="G276" i="1"/>
  <c r="G173" i="1"/>
  <c r="G79" i="1"/>
  <c r="G787" i="1"/>
  <c r="G763" i="1"/>
  <c r="G739" i="1"/>
  <c r="G708" i="1"/>
  <c r="G673" i="1"/>
  <c r="G644" i="1"/>
  <c r="G615" i="1"/>
  <c r="G587" i="1"/>
  <c r="G558" i="1"/>
  <c r="G513" i="1"/>
  <c r="G465" i="1"/>
  <c r="G418" i="1"/>
  <c r="G371" i="1"/>
  <c r="G277" i="1"/>
  <c r="G181" i="1"/>
  <c r="G85" i="1"/>
  <c r="G533" i="1"/>
  <c r="G462" i="1"/>
  <c r="G399" i="1"/>
  <c r="G341" i="1"/>
  <c r="G245" i="1"/>
  <c r="G149" i="1"/>
  <c r="G53" i="1"/>
  <c r="G512" i="1"/>
  <c r="G460" i="1"/>
  <c r="G414" i="1"/>
  <c r="G368" i="1"/>
  <c r="G282" i="1"/>
  <c r="G186" i="1"/>
  <c r="G90" i="1"/>
  <c r="G712" i="1"/>
  <c r="G688" i="1"/>
  <c r="G664" i="1"/>
  <c r="G640" i="1"/>
  <c r="G616" i="1"/>
  <c r="G592" i="1"/>
  <c r="G568" i="1"/>
  <c r="G544" i="1"/>
  <c r="G505" i="1"/>
  <c r="G453" i="1"/>
  <c r="G407" i="1"/>
  <c r="G361" i="1"/>
  <c r="G313" i="1"/>
  <c r="G265" i="1"/>
  <c r="G217" i="1"/>
  <c r="G169" i="1"/>
  <c r="G121" i="1"/>
  <c r="G73" i="1"/>
  <c r="G357" i="1"/>
  <c r="G333" i="1"/>
  <c r="G309" i="1"/>
  <c r="G285" i="1"/>
  <c r="G261" i="1"/>
  <c r="G237" i="1"/>
  <c r="G213" i="1"/>
  <c r="G189" i="1"/>
  <c r="G165" i="1"/>
  <c r="G141" i="1"/>
  <c r="G117" i="1"/>
  <c r="G93" i="1"/>
  <c r="G69" i="1"/>
  <c r="G45" i="1"/>
  <c r="G350" i="1"/>
  <c r="G326" i="1"/>
  <c r="G302" i="1"/>
  <c r="G278" i="1"/>
  <c r="G254" i="1"/>
  <c r="G230" i="1"/>
  <c r="G206" i="1"/>
  <c r="G182" i="1"/>
  <c r="G158" i="1"/>
  <c r="G134" i="1"/>
  <c r="G110" i="1"/>
  <c r="G86" i="1"/>
  <c r="G62" i="1"/>
  <c r="G38" i="1"/>
  <c r="K567" i="1"/>
  <c r="K808" i="1"/>
  <c r="K535" i="1"/>
  <c r="K564" i="1"/>
  <c r="K552" i="1"/>
  <c r="K678" i="1"/>
  <c r="K943" i="1"/>
  <c r="K533" i="1"/>
  <c r="K672" i="1"/>
  <c r="K598" i="1"/>
  <c r="K883" i="1"/>
  <c r="K500" i="1"/>
  <c r="K658" i="1"/>
  <c r="K965" i="1"/>
  <c r="K646" i="1"/>
  <c r="K547" i="1"/>
  <c r="K1016" i="1"/>
  <c r="K939" i="1"/>
  <c r="K734" i="1"/>
  <c r="K594" i="1"/>
  <c r="K455" i="1"/>
  <c r="K229" i="1"/>
  <c r="K109" i="1"/>
  <c r="K891" i="1"/>
  <c r="K671" i="1"/>
  <c r="K562" i="1"/>
  <c r="K1025" i="1"/>
  <c r="K960" i="1"/>
  <c r="K843" i="1"/>
  <c r="K764" i="1"/>
  <c r="K687" i="1"/>
  <c r="K593" i="1"/>
  <c r="K428" i="1"/>
  <c r="K247" i="1"/>
  <c r="K937" i="1"/>
  <c r="K877" i="1"/>
  <c r="K682" i="1"/>
  <c r="K588" i="1"/>
  <c r="K125" i="1"/>
  <c r="K980" i="1"/>
  <c r="K923" i="1"/>
  <c r="K763" i="1"/>
  <c r="K619" i="1"/>
  <c r="K509" i="1"/>
  <c r="K402" i="1"/>
  <c r="K312" i="1"/>
  <c r="K174" i="1"/>
  <c r="K865" i="1"/>
  <c r="K649" i="1"/>
  <c r="K522" i="1"/>
  <c r="K1022" i="1"/>
  <c r="K979" i="1"/>
  <c r="K911" i="1"/>
  <c r="K814" i="1"/>
  <c r="K728" i="1"/>
  <c r="K586" i="1"/>
  <c r="K467" i="1"/>
  <c r="K338" i="1"/>
  <c r="K217" i="1"/>
  <c r="K531" i="1"/>
  <c r="K961" i="1"/>
  <c r="K640" i="1"/>
  <c r="K857" i="1"/>
  <c r="K725" i="1"/>
  <c r="K616" i="1"/>
  <c r="K536" i="1"/>
  <c r="K374" i="1"/>
  <c r="K1019" i="1"/>
  <c r="K954" i="1"/>
  <c r="K908" i="1"/>
  <c r="K836" i="1"/>
  <c r="K756" i="1"/>
  <c r="K647" i="1"/>
  <c r="K501" i="1"/>
  <c r="K398" i="1"/>
  <c r="K260" i="1"/>
  <c r="K143" i="1"/>
  <c r="K696" i="1"/>
  <c r="K570" i="1"/>
  <c r="K978" i="1"/>
  <c r="K830" i="1"/>
  <c r="K654" i="1"/>
  <c r="K332" i="1"/>
  <c r="K209" i="1"/>
  <c r="K101" i="1"/>
  <c r="K941" i="1"/>
  <c r="K878" i="1"/>
  <c r="K717" i="1"/>
  <c r="K601" i="1"/>
  <c r="K527" i="1"/>
  <c r="K463" i="1"/>
  <c r="K407" i="1"/>
  <c r="K903" i="1"/>
  <c r="K665" i="1"/>
  <c r="K539" i="1"/>
  <c r="K421" i="1"/>
  <c r="K992" i="1"/>
  <c r="K926" i="1"/>
  <c r="K838" i="1"/>
  <c r="K727" i="1"/>
  <c r="K612" i="1"/>
  <c r="K1027" i="1"/>
  <c r="K991" i="1"/>
  <c r="K955" i="1"/>
  <c r="K885" i="1"/>
  <c r="K829" i="1"/>
  <c r="K777" i="1"/>
  <c r="K694" i="1"/>
  <c r="K641" i="1"/>
  <c r="K559" i="1"/>
  <c r="K331" i="1"/>
  <c r="K254" i="1"/>
  <c r="K161" i="1"/>
  <c r="K100" i="1"/>
  <c r="K739" i="1"/>
  <c r="K692" i="1"/>
  <c r="K645" i="1"/>
  <c r="K574" i="1"/>
  <c r="K462" i="1"/>
  <c r="K377" i="1"/>
  <c r="K1012" i="1"/>
  <c r="K988" i="1"/>
  <c r="K964" i="1"/>
  <c r="K933" i="1"/>
  <c r="K874" i="1"/>
  <c r="K826" i="1"/>
  <c r="K790" i="1"/>
  <c r="K746" i="1"/>
  <c r="K683" i="1"/>
  <c r="K628" i="1"/>
  <c r="K557" i="1"/>
  <c r="K499" i="1"/>
  <c r="K433" i="1"/>
  <c r="K367" i="1"/>
  <c r="K305" i="1"/>
  <c r="K244" i="1"/>
  <c r="K160" i="1"/>
  <c r="K108" i="1"/>
  <c r="K46" i="1"/>
  <c r="K461" i="1"/>
  <c r="K1029" i="1"/>
  <c r="K1005" i="1"/>
  <c r="K981" i="1"/>
  <c r="K957" i="1"/>
  <c r="K919" i="1"/>
  <c r="K860" i="1"/>
  <c r="K818" i="1"/>
  <c r="K782" i="1"/>
  <c r="K737" i="1"/>
  <c r="K698" i="1"/>
  <c r="K627" i="1"/>
  <c r="K572" i="1"/>
  <c r="K523" i="1"/>
  <c r="K488" i="1"/>
  <c r="K366" i="1"/>
  <c r="K304" i="1"/>
  <c r="K252" i="1"/>
  <c r="K179" i="1"/>
  <c r="K107" i="1"/>
  <c r="K44" i="1"/>
  <c r="K924" i="1"/>
  <c r="K900" i="1"/>
  <c r="K876" i="1"/>
  <c r="K852" i="1"/>
  <c r="K828" i="1"/>
  <c r="K804" i="1"/>
  <c r="K780" i="1"/>
  <c r="K749" i="1"/>
  <c r="K697" i="1"/>
  <c r="K651" i="1"/>
  <c r="K605" i="1"/>
  <c r="K553" i="1"/>
  <c r="K504" i="1"/>
  <c r="K442" i="1"/>
  <c r="K371" i="1"/>
  <c r="K337" i="1"/>
  <c r="K294" i="1"/>
  <c r="K251" i="1"/>
  <c r="K208" i="1"/>
  <c r="K164" i="1"/>
  <c r="K121" i="1"/>
  <c r="K78" i="1"/>
  <c r="K35" i="1"/>
  <c r="K827" i="1"/>
  <c r="K803" i="1"/>
  <c r="K779" i="1"/>
  <c r="K748" i="1"/>
  <c r="K702" i="1"/>
  <c r="K650" i="1"/>
  <c r="K604" i="1"/>
  <c r="K558" i="1"/>
  <c r="K510" i="1"/>
  <c r="K456" i="1"/>
  <c r="K385" i="1"/>
  <c r="K344" i="1"/>
  <c r="K301" i="1"/>
  <c r="K258" i="1"/>
  <c r="K215" i="1"/>
  <c r="K172" i="1"/>
  <c r="K128" i="1"/>
  <c r="K85" i="1"/>
  <c r="K42" i="1"/>
  <c r="K494" i="1"/>
  <c r="K466" i="1"/>
  <c r="K437" i="1"/>
  <c r="K408" i="1"/>
  <c r="K379" i="1"/>
  <c r="K350" i="1"/>
  <c r="K322" i="1"/>
  <c r="K293" i="1"/>
  <c r="K264" i="1"/>
  <c r="K235" i="1"/>
  <c r="K206" i="1"/>
  <c r="K178" i="1"/>
  <c r="K149" i="1"/>
  <c r="K120" i="1"/>
  <c r="K91" i="1"/>
  <c r="K62" i="1"/>
  <c r="K34" i="1"/>
  <c r="K342" i="1"/>
  <c r="K313" i="1"/>
  <c r="K284" i="1"/>
  <c r="K256" i="1"/>
  <c r="K227" i="1"/>
  <c r="K198" i="1"/>
  <c r="K169" i="1"/>
  <c r="K140" i="1"/>
  <c r="K112" i="1"/>
  <c r="K83" i="1"/>
  <c r="K54" i="1"/>
  <c r="K495" i="1"/>
  <c r="K471" i="1"/>
  <c r="K447" i="1"/>
  <c r="K423" i="1"/>
  <c r="K399" i="1"/>
  <c r="K375" i="1"/>
  <c r="K351" i="1"/>
  <c r="K327" i="1"/>
  <c r="K303" i="1"/>
  <c r="K279" i="1"/>
  <c r="K255" i="1"/>
  <c r="K231" i="1"/>
  <c r="K207" i="1"/>
  <c r="K183" i="1"/>
  <c r="K159" i="1"/>
  <c r="K135" i="1"/>
  <c r="K111" i="1"/>
  <c r="K87" i="1"/>
  <c r="K63" i="1"/>
  <c r="K39" i="1"/>
  <c r="O593" i="1"/>
  <c r="O576" i="1"/>
  <c r="O897" i="1"/>
  <c r="O721" i="1"/>
  <c r="O996" i="1"/>
  <c r="O678" i="1"/>
  <c r="O908" i="1"/>
  <c r="O736" i="1"/>
  <c r="O803" i="1"/>
  <c r="O949" i="1"/>
  <c r="O1015" i="1"/>
  <c r="O621" i="1"/>
  <c r="O858" i="1"/>
  <c r="O934" i="1"/>
  <c r="O263" i="1"/>
  <c r="O1004" i="1"/>
  <c r="O841" i="1"/>
  <c r="O575" i="1"/>
  <c r="O259" i="1"/>
  <c r="O689" i="1"/>
  <c r="O445" i="1"/>
  <c r="O210" i="1"/>
  <c r="O840" i="1"/>
  <c r="O402" i="1"/>
  <c r="O1022" i="1"/>
  <c r="O744" i="1"/>
  <c r="O601" i="1"/>
  <c r="O501" i="1"/>
  <c r="O415" i="1"/>
  <c r="O316" i="1"/>
  <c r="O240" i="1"/>
  <c r="O999" i="1"/>
  <c r="O917" i="1"/>
  <c r="O849" i="1"/>
  <c r="O729" i="1"/>
  <c r="O540" i="1"/>
  <c r="O426" i="1"/>
  <c r="O300" i="1"/>
  <c r="O187" i="1"/>
  <c r="O43" i="1"/>
  <c r="O228" i="1"/>
  <c r="O992" i="1"/>
  <c r="O881" i="1"/>
  <c r="O747" i="1"/>
  <c r="O588" i="1"/>
  <c r="O331" i="1"/>
  <c r="O123" i="1"/>
  <c r="O933" i="1"/>
  <c r="O673" i="1"/>
  <c r="O489" i="1"/>
  <c r="O359" i="1"/>
  <c r="O189" i="1"/>
  <c r="O991" i="1"/>
  <c r="O866" i="1"/>
  <c r="O688" i="1"/>
  <c r="O473" i="1"/>
  <c r="O226" i="1"/>
  <c r="O956" i="1"/>
  <c r="O813" i="1"/>
  <c r="O976" i="1"/>
  <c r="O901" i="1"/>
  <c r="O768" i="1"/>
  <c r="O597" i="1"/>
  <c r="O511" i="1"/>
  <c r="O357" i="1"/>
  <c r="O168" i="1"/>
  <c r="O61" i="1"/>
  <c r="O964" i="1"/>
  <c r="O874" i="1"/>
  <c r="O754" i="1"/>
  <c r="O611" i="1"/>
  <c r="O396" i="1"/>
  <c r="O297" i="1"/>
  <c r="O201" i="1"/>
  <c r="O114" i="1"/>
  <c r="O975" i="1"/>
  <c r="O887" i="1"/>
  <c r="O795" i="1"/>
  <c r="O639" i="1"/>
  <c r="O525" i="1"/>
  <c r="O439" i="1"/>
  <c r="O310" i="1"/>
  <c r="O75" i="1"/>
  <c r="O997" i="1"/>
  <c r="O873" i="1"/>
  <c r="O694" i="1"/>
  <c r="O551" i="1"/>
  <c r="O408" i="1"/>
  <c r="O250" i="1"/>
  <c r="O54" i="1"/>
  <c r="O973" i="1"/>
  <c r="O925" i="1"/>
  <c r="O794" i="1"/>
  <c r="O737" i="1"/>
  <c r="O607" i="1"/>
  <c r="O480" i="1"/>
  <c r="O337" i="1"/>
  <c r="O280" i="1"/>
  <c r="O71" i="1"/>
  <c r="O898" i="1"/>
  <c r="O854" i="1"/>
  <c r="O810" i="1"/>
  <c r="O745" i="1"/>
  <c r="O679" i="1"/>
  <c r="O631" i="1"/>
  <c r="O565" i="1"/>
  <c r="O508" i="1"/>
  <c r="O383" i="1"/>
  <c r="O237" i="1"/>
  <c r="O154" i="1"/>
  <c r="O48" i="1"/>
  <c r="O153" i="1"/>
  <c r="O100" i="1"/>
  <c r="O1010" i="1"/>
  <c r="O931" i="1"/>
  <c r="O826" i="1"/>
  <c r="O781" i="1"/>
  <c r="O715" i="1"/>
  <c r="G605" i="1"/>
  <c r="G474" i="1"/>
  <c r="G360" i="1"/>
  <c r="G269" i="1"/>
  <c r="G205" i="1"/>
  <c r="G113" i="1"/>
  <c r="G895" i="1"/>
  <c r="G842" i="1"/>
  <c r="G747" i="1"/>
  <c r="G697" i="1"/>
  <c r="G570" i="1"/>
  <c r="G497" i="1"/>
  <c r="G397" i="1"/>
  <c r="G268" i="1"/>
  <c r="G270" i="1"/>
  <c r="G999" i="1"/>
  <c r="G951" i="1"/>
  <c r="G881" i="1"/>
  <c r="G1022" i="1"/>
  <c r="G998" i="1"/>
  <c r="G974" i="1"/>
  <c r="G950" i="1"/>
  <c r="G926" i="1"/>
  <c r="G887" i="1"/>
  <c r="G834" i="1"/>
  <c r="G785" i="1"/>
  <c r="G717" i="1"/>
  <c r="G627" i="1"/>
  <c r="G534" i="1"/>
  <c r="G458" i="1"/>
  <c r="G383" i="1"/>
  <c r="G295" i="1"/>
  <c r="G204" i="1"/>
  <c r="G127" i="1"/>
  <c r="G52" i="1"/>
  <c r="G777" i="1"/>
  <c r="G734" i="1"/>
  <c r="G661" i="1"/>
  <c r="G609" i="1"/>
  <c r="G540" i="1"/>
  <c r="G464" i="1"/>
  <c r="G316" i="1"/>
  <c r="G199" i="1"/>
  <c r="G108" i="1"/>
  <c r="G782" i="1"/>
  <c r="G724" i="1"/>
  <c r="G675" i="1"/>
  <c r="G624" i="1"/>
  <c r="G554" i="1"/>
  <c r="G471" i="1"/>
  <c r="G396" i="1"/>
  <c r="G311" i="1"/>
  <c r="G220" i="1"/>
  <c r="G103" i="1"/>
  <c r="G855" i="1"/>
  <c r="G831" i="1"/>
  <c r="G807" i="1"/>
  <c r="G767" i="1"/>
  <c r="G692" i="1"/>
  <c r="G606" i="1"/>
  <c r="G527" i="1"/>
  <c r="G480" i="1"/>
  <c r="G432" i="1"/>
  <c r="G366" i="1"/>
  <c r="G264" i="1"/>
  <c r="G137" i="1"/>
  <c r="G46" i="1"/>
  <c r="G781" i="1"/>
  <c r="G757" i="1"/>
  <c r="G733" i="1"/>
  <c r="G695" i="1"/>
  <c r="G666" i="1"/>
  <c r="G637" i="1"/>
  <c r="G608" i="1"/>
  <c r="G579" i="1"/>
  <c r="G551" i="1"/>
  <c r="G504" i="1"/>
  <c r="G457" i="1"/>
  <c r="G410" i="1"/>
  <c r="G335" i="1"/>
  <c r="G239" i="1"/>
  <c r="G143" i="1"/>
  <c r="G47" i="1"/>
  <c r="G524" i="1"/>
  <c r="G438" i="1"/>
  <c r="G391" i="1"/>
  <c r="G331" i="1"/>
  <c r="G235" i="1"/>
  <c r="G139" i="1"/>
  <c r="G43" i="1"/>
  <c r="G499" i="1"/>
  <c r="G447" i="1"/>
  <c r="G401" i="1"/>
  <c r="G354" i="1"/>
  <c r="G258" i="1"/>
  <c r="G162" i="1"/>
  <c r="G66" i="1"/>
  <c r="G706" i="1"/>
  <c r="G682" i="1"/>
  <c r="G658" i="1"/>
  <c r="G634" i="1"/>
  <c r="G610" i="1"/>
  <c r="G586" i="1"/>
  <c r="G562" i="1"/>
  <c r="G538" i="1"/>
  <c r="G492" i="1"/>
  <c r="G446" i="1"/>
  <c r="G394" i="1"/>
  <c r="G346" i="1"/>
  <c r="G298" i="1"/>
  <c r="G250" i="1"/>
  <c r="G202" i="1"/>
  <c r="G154" i="1"/>
  <c r="G106" i="1"/>
  <c r="G58" i="1"/>
  <c r="G351" i="1"/>
  <c r="G327" i="1"/>
  <c r="G303" i="1"/>
  <c r="G279" i="1"/>
  <c r="G255" i="1"/>
  <c r="G231" i="1"/>
  <c r="G207" i="1"/>
  <c r="G183" i="1"/>
  <c r="G159" i="1"/>
  <c r="G135" i="1"/>
  <c r="G111" i="1"/>
  <c r="G87" i="1"/>
  <c r="G63" i="1"/>
  <c r="G39" i="1"/>
  <c r="G344" i="1"/>
  <c r="G320" i="1"/>
  <c r="G296" i="1"/>
  <c r="G272" i="1"/>
  <c r="G248" i="1"/>
  <c r="G224" i="1"/>
  <c r="G200" i="1"/>
  <c r="G176" i="1"/>
  <c r="G152" i="1"/>
  <c r="G128" i="1"/>
  <c r="G104" i="1"/>
  <c r="G80" i="1"/>
  <c r="G56" i="1"/>
  <c r="G32" i="1"/>
  <c r="K629" i="1"/>
  <c r="K691" i="1"/>
  <c r="K869" i="1"/>
  <c r="K996" i="1"/>
  <c r="K752" i="1"/>
  <c r="K615" i="1"/>
  <c r="K896" i="1"/>
  <c r="K280" i="1"/>
  <c r="K609" i="1"/>
  <c r="K519" i="1"/>
  <c r="K835" i="1"/>
  <c r="K373" i="1"/>
  <c r="K595" i="1"/>
  <c r="K872" i="1"/>
  <c r="K583" i="1"/>
  <c r="K513" i="1"/>
  <c r="K1004" i="1"/>
  <c r="K844" i="1"/>
  <c r="K703" i="1"/>
  <c r="K577" i="1"/>
  <c r="K412" i="1"/>
  <c r="K204" i="1"/>
  <c r="K80" i="1"/>
  <c r="K868" i="1"/>
  <c r="K656" i="1"/>
  <c r="K474" i="1"/>
  <c r="K1015" i="1"/>
  <c r="K950" i="1"/>
  <c r="K831" i="1"/>
  <c r="K750" i="1"/>
  <c r="K670" i="1"/>
  <c r="K544" i="1"/>
  <c r="K368" i="1"/>
  <c r="K203" i="1"/>
  <c r="K914" i="1"/>
  <c r="K866" i="1"/>
  <c r="K669" i="1"/>
  <c r="K575" i="1"/>
  <c r="K49" i="1"/>
  <c r="K968" i="1"/>
  <c r="K913" i="1"/>
  <c r="K744" i="1"/>
  <c r="K606" i="1"/>
  <c r="K486" i="1"/>
  <c r="K383" i="1"/>
  <c r="K290" i="1"/>
  <c r="K152" i="1"/>
  <c r="K730" i="1"/>
  <c r="K635" i="1"/>
  <c r="K507" i="1"/>
  <c r="K1010" i="1"/>
  <c r="K967" i="1"/>
  <c r="K898" i="1"/>
  <c r="K800" i="1"/>
  <c r="K680" i="1"/>
  <c r="K571" i="1"/>
  <c r="K400" i="1"/>
  <c r="K289" i="1"/>
  <c r="K196" i="1"/>
  <c r="K431" i="1"/>
  <c r="K793" i="1"/>
  <c r="K928" i="1"/>
  <c r="K772" i="1"/>
  <c r="K711" i="1"/>
  <c r="K585" i="1"/>
  <c r="K502" i="1"/>
  <c r="K122" i="1"/>
  <c r="K1009" i="1"/>
  <c r="K944" i="1"/>
  <c r="K897" i="1"/>
  <c r="K824" i="1"/>
  <c r="K741" i="1"/>
  <c r="K599" i="1"/>
  <c r="K484" i="1"/>
  <c r="K330" i="1"/>
  <c r="K236" i="1"/>
  <c r="K927" i="1"/>
  <c r="K655" i="1"/>
  <c r="K505" i="1"/>
  <c r="K949" i="1"/>
  <c r="K778" i="1"/>
  <c r="K549" i="1"/>
  <c r="K288" i="1"/>
  <c r="K194" i="1"/>
  <c r="K71" i="1"/>
  <c r="K925" i="1"/>
  <c r="K855" i="1"/>
  <c r="K705" i="1"/>
  <c r="K569" i="1"/>
  <c r="K514" i="1"/>
  <c r="K448" i="1"/>
  <c r="K391" i="1"/>
  <c r="K879" i="1"/>
  <c r="K614" i="1"/>
  <c r="K493" i="1"/>
  <c r="K392" i="1"/>
  <c r="K985" i="1"/>
  <c r="K910" i="1"/>
  <c r="K813" i="1"/>
  <c r="K695" i="1"/>
  <c r="K538" i="1"/>
  <c r="K1020" i="1"/>
  <c r="K984" i="1"/>
  <c r="K948" i="1"/>
  <c r="K862" i="1"/>
  <c r="K820" i="1"/>
  <c r="K766" i="1"/>
  <c r="K685" i="1"/>
  <c r="K632" i="1"/>
  <c r="K537" i="1"/>
  <c r="K317" i="1"/>
  <c r="K238" i="1"/>
  <c r="K144" i="1"/>
  <c r="K82" i="1"/>
  <c r="K731" i="1"/>
  <c r="K684" i="1"/>
  <c r="K636" i="1"/>
  <c r="K550" i="1"/>
  <c r="K434" i="1"/>
  <c r="K1030" i="1"/>
  <c r="K1006" i="1"/>
  <c r="K982" i="1"/>
  <c r="K958" i="1"/>
  <c r="K920" i="1"/>
  <c r="K861" i="1"/>
  <c r="K819" i="1"/>
  <c r="K783" i="1"/>
  <c r="K738" i="1"/>
  <c r="K675" i="1"/>
  <c r="K613" i="1"/>
  <c r="K542" i="1"/>
  <c r="K470" i="1"/>
  <c r="K424" i="1"/>
  <c r="K347" i="1"/>
  <c r="K295" i="1"/>
  <c r="K222" i="1"/>
  <c r="K150" i="1"/>
  <c r="K88" i="1"/>
  <c r="K36" i="1"/>
  <c r="K432" i="1"/>
  <c r="K1023" i="1"/>
  <c r="K999" i="1"/>
  <c r="K975" i="1"/>
  <c r="K951" i="1"/>
  <c r="K899" i="1"/>
  <c r="K847" i="1"/>
  <c r="K811" i="1"/>
  <c r="K775" i="1"/>
  <c r="K729" i="1"/>
  <c r="K674" i="1"/>
  <c r="K611" i="1"/>
  <c r="K556" i="1"/>
  <c r="K515" i="1"/>
  <c r="K469" i="1"/>
  <c r="K355" i="1"/>
  <c r="K282" i="1"/>
  <c r="K230" i="1"/>
  <c r="K168" i="1"/>
  <c r="K96" i="1"/>
  <c r="K942" i="1"/>
  <c r="K918" i="1"/>
  <c r="K894" i="1"/>
  <c r="K870" i="1"/>
  <c r="K846" i="1"/>
  <c r="K822" i="1"/>
  <c r="K798" i="1"/>
  <c r="K774" i="1"/>
  <c r="K736" i="1"/>
  <c r="K690" i="1"/>
  <c r="K638" i="1"/>
  <c r="K592" i="1"/>
  <c r="K546" i="1"/>
  <c r="K497" i="1"/>
  <c r="K426" i="1"/>
  <c r="K362" i="1"/>
  <c r="K319" i="1"/>
  <c r="K276" i="1"/>
  <c r="K233" i="1"/>
  <c r="K190" i="1"/>
  <c r="K146" i="1"/>
  <c r="K103" i="1"/>
  <c r="K60" i="1"/>
  <c r="K845" i="1"/>
  <c r="K821" i="1"/>
  <c r="K797" i="1"/>
  <c r="K773" i="1"/>
  <c r="K735" i="1"/>
  <c r="K689" i="1"/>
  <c r="K637" i="1"/>
  <c r="K591" i="1"/>
  <c r="K545" i="1"/>
  <c r="K503" i="1"/>
  <c r="K440" i="1"/>
  <c r="K370" i="1"/>
  <c r="K326" i="1"/>
  <c r="K283" i="1"/>
  <c r="K240" i="1"/>
  <c r="K197" i="1"/>
  <c r="K154" i="1"/>
  <c r="K110" i="1"/>
  <c r="K67" i="1"/>
  <c r="K534" i="1"/>
  <c r="K487" i="1"/>
  <c r="K458" i="1"/>
  <c r="K430" i="1"/>
  <c r="K401" i="1"/>
  <c r="K372" i="1"/>
  <c r="K343" i="1"/>
  <c r="K314" i="1"/>
  <c r="K286" i="1"/>
  <c r="K257" i="1"/>
  <c r="K228" i="1"/>
  <c r="K199" i="1"/>
  <c r="K170" i="1"/>
  <c r="K142" i="1"/>
  <c r="K113" i="1"/>
  <c r="K84" i="1"/>
  <c r="K55" i="1"/>
  <c r="K364" i="1"/>
  <c r="K335" i="1"/>
  <c r="K306" i="1"/>
  <c r="K277" i="1"/>
  <c r="K248" i="1"/>
  <c r="K220" i="1"/>
  <c r="K191" i="1"/>
  <c r="K162" i="1"/>
  <c r="K133" i="1"/>
  <c r="K104" i="1"/>
  <c r="K76" i="1"/>
  <c r="K47" i="1"/>
  <c r="K489" i="1"/>
  <c r="K465" i="1"/>
  <c r="K441" i="1"/>
  <c r="K417" i="1"/>
  <c r="K393" i="1"/>
  <c r="K369" i="1"/>
  <c r="K345" i="1"/>
  <c r="K321" i="1"/>
  <c r="K297" i="1"/>
  <c r="K273" i="1"/>
  <c r="K249" i="1"/>
  <c r="K225" i="1"/>
  <c r="K201" i="1"/>
  <c r="K177" i="1"/>
  <c r="K153" i="1"/>
  <c r="K129" i="1"/>
  <c r="K105" i="1"/>
  <c r="K81" i="1"/>
  <c r="K57" i="1"/>
  <c r="K33" i="1"/>
  <c r="O923" i="1"/>
  <c r="O197" i="1"/>
  <c r="O564" i="1"/>
  <c r="O550" i="1"/>
  <c r="O845" i="1"/>
  <c r="O507" i="1"/>
  <c r="O490" i="1"/>
  <c r="O479" i="1"/>
  <c r="O633" i="1"/>
  <c r="O793" i="1"/>
  <c r="O947" i="1"/>
  <c r="O535" i="1"/>
  <c r="O778" i="1"/>
  <c r="O690" i="1"/>
  <c r="O53" i="1"/>
  <c r="O982" i="1"/>
  <c r="O760" i="1"/>
  <c r="O417" i="1"/>
  <c r="O51" i="1"/>
  <c r="O660" i="1"/>
  <c r="O388" i="1"/>
  <c r="O1003" i="1"/>
  <c r="O787" i="1"/>
  <c r="O330" i="1"/>
  <c r="O918" i="1"/>
  <c r="O701" i="1"/>
  <c r="O573" i="1"/>
  <c r="O487" i="1"/>
  <c r="O387" i="1"/>
  <c r="O301" i="1"/>
  <c r="O208" i="1"/>
  <c r="O990" i="1"/>
  <c r="O891" i="1"/>
  <c r="O823" i="1"/>
  <c r="O683" i="1"/>
  <c r="O483" i="1"/>
  <c r="O397" i="1"/>
  <c r="O283" i="1"/>
  <c r="O115" i="1"/>
  <c r="O421" i="1"/>
  <c r="O211" i="1"/>
  <c r="O969" i="1"/>
  <c r="O855" i="1"/>
  <c r="O718" i="1"/>
  <c r="O474" i="1"/>
  <c r="O303" i="1"/>
  <c r="O84" i="1"/>
  <c r="O907" i="1"/>
  <c r="O645" i="1"/>
  <c r="O432" i="1"/>
  <c r="O273" i="1"/>
  <c r="O138" i="1"/>
  <c r="O967" i="1"/>
  <c r="O827" i="1"/>
  <c r="O659" i="1"/>
  <c r="O444" i="1"/>
  <c r="O155" i="1"/>
  <c r="O905" i="1"/>
  <c r="O1030" i="1"/>
  <c r="O965" i="1"/>
  <c r="O838" i="1"/>
  <c r="O711" i="1"/>
  <c r="O568" i="1"/>
  <c r="O454" i="1"/>
  <c r="O311" i="1"/>
  <c r="O148" i="1"/>
  <c r="O1019" i="1"/>
  <c r="O940" i="1"/>
  <c r="O848" i="1"/>
  <c r="O725" i="1"/>
  <c r="O539" i="1"/>
  <c r="O354" i="1"/>
  <c r="O282" i="1"/>
  <c r="O186" i="1"/>
  <c r="O94" i="1"/>
  <c r="O951" i="1"/>
  <c r="O861" i="1"/>
  <c r="O767" i="1"/>
  <c r="O624" i="1"/>
  <c r="O496" i="1"/>
  <c r="O424" i="1"/>
  <c r="O219" i="1"/>
  <c r="O40" i="1"/>
  <c r="O911" i="1"/>
  <c r="O859" i="1"/>
  <c r="O681" i="1"/>
  <c r="O538" i="1"/>
  <c r="O395" i="1"/>
  <c r="O165" i="1"/>
  <c r="O1028" i="1"/>
  <c r="O960" i="1"/>
  <c r="O832" i="1"/>
  <c r="O779" i="1"/>
  <c r="O693" i="1"/>
  <c r="O594" i="1"/>
  <c r="O465" i="1"/>
  <c r="O322" i="1"/>
  <c r="O232" i="1"/>
  <c r="O37" i="1"/>
  <c r="O880" i="1"/>
  <c r="O846" i="1"/>
  <c r="O783" i="1"/>
  <c r="O717" i="1"/>
  <c r="O669" i="1"/>
  <c r="O603" i="1"/>
  <c r="O537" i="1"/>
  <c r="O460" i="1"/>
  <c r="O365" i="1"/>
  <c r="O217" i="1"/>
  <c r="O142" i="1"/>
  <c r="O215" i="1"/>
  <c r="O141" i="1"/>
  <c r="O58" i="1"/>
  <c r="O986" i="1"/>
  <c r="O921" i="1"/>
  <c r="O808" i="1"/>
  <c r="O753" i="1"/>
  <c r="O676" i="1"/>
  <c r="O658" i="1"/>
  <c r="O544" i="1"/>
  <c r="O419" i="1"/>
  <c r="O333" i="1"/>
  <c r="O225" i="1"/>
  <c r="O172" i="1"/>
  <c r="O36" i="1"/>
  <c r="O978" i="1"/>
  <c r="O904" i="1"/>
  <c r="O860" i="1"/>
  <c r="O816" i="1"/>
  <c r="O695" i="1"/>
  <c r="O600" i="1"/>
  <c r="O495" i="1"/>
  <c r="O447" i="1"/>
  <c r="O381" i="1"/>
  <c r="O315" i="1"/>
  <c r="O265" i="1"/>
  <c r="O161" i="1"/>
  <c r="O87" i="1"/>
  <c r="O1024" i="1"/>
  <c r="O977" i="1"/>
  <c r="O930" i="1"/>
  <c r="O851" i="1"/>
  <c r="O807" i="1"/>
  <c r="O771" i="1"/>
  <c r="O703" i="1"/>
  <c r="O646" i="1"/>
  <c r="O580" i="1"/>
  <c r="O503" i="1"/>
  <c r="O389" i="1"/>
  <c r="O233" i="1"/>
  <c r="O139" i="1"/>
  <c r="O76" i="1"/>
  <c r="O916" i="1"/>
  <c r="O864" i="1"/>
  <c r="O818" i="1"/>
  <c r="O756" i="1"/>
  <c r="O706" i="1"/>
  <c r="O635" i="1"/>
  <c r="O592" i="1"/>
  <c r="O492" i="1"/>
  <c r="O456" i="1"/>
  <c r="O349" i="1"/>
  <c r="O321" i="1"/>
  <c r="O292" i="1"/>
  <c r="O231" i="1"/>
  <c r="O184" i="1"/>
  <c r="O113" i="1"/>
  <c r="O1027" i="1"/>
  <c r="O981" i="1"/>
  <c r="O935" i="1"/>
  <c r="O883" i="1"/>
  <c r="O837" i="1"/>
  <c r="O791" i="1"/>
  <c r="O720" i="1"/>
  <c r="O670" i="1"/>
  <c r="O577" i="1"/>
  <c r="O534" i="1"/>
  <c r="O477" i="1"/>
  <c r="O406" i="1"/>
  <c r="O370" i="1"/>
  <c r="O253" i="1"/>
  <c r="O167" i="1"/>
  <c r="O81" i="1"/>
  <c r="O34" i="1"/>
  <c r="O987" i="1"/>
  <c r="O941" i="1"/>
  <c r="O889" i="1"/>
  <c r="O843" i="1"/>
  <c r="O797" i="1"/>
  <c r="O748" i="1"/>
  <c r="O705" i="1"/>
  <c r="O612" i="1"/>
  <c r="O562" i="1"/>
  <c r="O491" i="1"/>
  <c r="O448" i="1"/>
  <c r="O348" i="1"/>
  <c r="O312" i="1"/>
  <c r="O269" i="1"/>
  <c r="O174" i="1"/>
  <c r="O127" i="1"/>
  <c r="O64" i="1"/>
  <c r="O249" i="1"/>
  <c r="O190" i="1"/>
  <c r="O131" i="1"/>
  <c r="O72" i="1"/>
  <c r="O785" i="1"/>
  <c r="O726" i="1"/>
  <c r="O667" i="1"/>
  <c r="O615" i="1"/>
  <c r="O556" i="1"/>
  <c r="O497" i="1"/>
  <c r="O438" i="1"/>
  <c r="O379" i="1"/>
  <c r="O327" i="1"/>
  <c r="O268" i="1"/>
  <c r="O209" i="1"/>
  <c r="O150" i="1"/>
  <c r="O91" i="1"/>
  <c r="O39" i="1"/>
  <c r="O770" i="1"/>
  <c r="O746" i="1"/>
  <c r="O722" i="1"/>
  <c r="O698" i="1"/>
  <c r="O674" i="1"/>
  <c r="O650" i="1"/>
  <c r="O626" i="1"/>
  <c r="O602" i="1"/>
  <c r="O578" i="1"/>
  <c r="O554" i="1"/>
  <c r="O530" i="1"/>
  <c r="O506" i="1"/>
  <c r="O482" i="1"/>
  <c r="O458" i="1"/>
  <c r="O434" i="1"/>
  <c r="O410" i="1"/>
  <c r="O386" i="1"/>
  <c r="O362" i="1"/>
  <c r="O338" i="1"/>
  <c r="O314" i="1"/>
  <c r="O290" i="1"/>
  <c r="O266" i="1"/>
  <c r="O242" i="1"/>
  <c r="O218" i="1"/>
  <c r="O194" i="1"/>
  <c r="O170" i="1"/>
  <c r="O146" i="1"/>
  <c r="O122" i="1"/>
  <c r="O98" i="1"/>
  <c r="O74" i="1"/>
  <c r="O50" i="1"/>
  <c r="D31" i="1"/>
  <c r="D699" i="1"/>
  <c r="D755" i="1"/>
  <c r="D192" i="1"/>
  <c r="D745" i="1"/>
  <c r="D595" i="1"/>
  <c r="D913" i="1"/>
  <c r="D412" i="1"/>
  <c r="D629" i="1"/>
  <c r="D616" i="1"/>
  <c r="D535" i="1"/>
  <c r="D157" i="1"/>
  <c r="D663" i="1"/>
  <c r="D855" i="1"/>
  <c r="D1019" i="1"/>
  <c r="D779" i="1"/>
  <c r="D261" i="1"/>
  <c r="D171" i="1"/>
  <c r="D941" i="1"/>
  <c r="D790" i="1"/>
  <c r="D533" i="1"/>
  <c r="D960" i="1"/>
  <c r="D788" i="1"/>
  <c r="D590" i="1"/>
  <c r="D360" i="1"/>
  <c r="D222" i="1"/>
  <c r="D84" i="1"/>
  <c r="D940" i="1"/>
  <c r="D753" i="1"/>
  <c r="D530" i="1"/>
  <c r="D977" i="1"/>
  <c r="D872" i="1"/>
  <c r="D728" i="1"/>
  <c r="D487" i="1"/>
  <c r="D287" i="1"/>
  <c r="D149" i="1"/>
  <c r="D1025" i="1"/>
  <c r="D899" i="1"/>
  <c r="D716" i="1"/>
  <c r="D577" i="1"/>
  <c r="D889" i="1"/>
  <c r="D727" i="1"/>
  <c r="D512" i="1"/>
  <c r="D269" i="1"/>
  <c r="D1024" i="1"/>
  <c r="D898" i="1"/>
  <c r="D751" i="1"/>
  <c r="D597" i="1"/>
  <c r="D352" i="1"/>
  <c r="D214" i="1"/>
  <c r="D75" i="1"/>
  <c r="D964" i="1"/>
  <c r="D837" i="1"/>
  <c r="D585" i="1"/>
  <c r="D983" i="1"/>
  <c r="D794" i="1"/>
  <c r="D676" i="1"/>
  <c r="D495" i="1"/>
  <c r="D401" i="1"/>
  <c r="D331" i="1"/>
  <c r="D262" i="1"/>
  <c r="D193" i="1"/>
  <c r="D124" i="1"/>
  <c r="D55" i="1"/>
  <c r="D136" i="1"/>
  <c r="D970" i="1"/>
  <c r="D865" i="1"/>
  <c r="D733" i="1"/>
  <c r="D1007" i="1"/>
  <c r="D902" i="1"/>
  <c r="D742" i="1"/>
  <c r="D531" i="1"/>
  <c r="D341" i="1"/>
  <c r="D203" i="1"/>
  <c r="D49" i="1"/>
  <c r="D811" i="1"/>
  <c r="D578" i="1"/>
  <c r="D425" i="1"/>
  <c r="D930" i="1"/>
  <c r="D777" i="1"/>
  <c r="D623" i="1"/>
  <c r="D375" i="1"/>
  <c r="D237" i="1"/>
  <c r="D99" i="1"/>
  <c r="D956" i="1"/>
  <c r="D860" i="1"/>
  <c r="D703" i="1"/>
  <c r="D513" i="1"/>
  <c r="D838" i="1"/>
  <c r="D526" i="1"/>
  <c r="D373" i="1"/>
  <c r="D96" i="1"/>
  <c r="D937" i="1"/>
  <c r="D827" i="1"/>
  <c r="D646" i="1"/>
  <c r="D402" i="1"/>
  <c r="D264" i="1"/>
  <c r="D125" i="1"/>
  <c r="D974" i="1"/>
  <c r="D760" i="1"/>
  <c r="D572" i="1"/>
  <c r="D1012" i="1"/>
  <c r="D805" i="1"/>
  <c r="D550" i="1"/>
  <c r="D973" i="1"/>
  <c r="D916" i="1"/>
  <c r="D857" i="1"/>
  <c r="D746" i="1"/>
  <c r="D607" i="1"/>
  <c r="D522" i="1"/>
  <c r="D383" i="1"/>
  <c r="D107" i="1"/>
  <c r="D688" i="1"/>
  <c r="D557" i="1"/>
  <c r="D324" i="1"/>
  <c r="D1022" i="1"/>
  <c r="D965" i="1"/>
  <c r="D922" i="1"/>
  <c r="D856" i="1"/>
  <c r="D722" i="1"/>
  <c r="D617" i="1"/>
  <c r="D565" i="1"/>
  <c r="D485" i="1"/>
  <c r="O647" i="1"/>
  <c r="O533" i="1"/>
  <c r="O401" i="1"/>
  <c r="O324" i="1"/>
  <c r="O213" i="1"/>
  <c r="O130" i="1"/>
  <c r="O1017" i="1"/>
  <c r="O970" i="1"/>
  <c r="O886" i="1"/>
  <c r="O852" i="1"/>
  <c r="O761" i="1"/>
  <c r="O666" i="1"/>
  <c r="O561" i="1"/>
  <c r="O486" i="1"/>
  <c r="O429" i="1"/>
  <c r="O361" i="1"/>
  <c r="O304" i="1"/>
  <c r="O256" i="1"/>
  <c r="O149" i="1"/>
  <c r="O67" i="1"/>
  <c r="O1009" i="1"/>
  <c r="O962" i="1"/>
  <c r="O920" i="1"/>
  <c r="O833" i="1"/>
  <c r="O799" i="1"/>
  <c r="O751" i="1"/>
  <c r="O685" i="1"/>
  <c r="O637" i="1"/>
  <c r="O571" i="1"/>
  <c r="O466" i="1"/>
  <c r="O371" i="1"/>
  <c r="O192" i="1"/>
  <c r="O129" i="1"/>
  <c r="O35" i="1"/>
  <c r="O903" i="1"/>
  <c r="O857" i="1"/>
  <c r="O805" i="1"/>
  <c r="O749" i="1"/>
  <c r="O699" i="1"/>
  <c r="O613" i="1"/>
  <c r="O585" i="1"/>
  <c r="O485" i="1"/>
  <c r="O449" i="1"/>
  <c r="O342" i="1"/>
  <c r="O313" i="1"/>
  <c r="O285" i="1"/>
  <c r="O223" i="1"/>
  <c r="O175" i="1"/>
  <c r="O89" i="1"/>
  <c r="O1014" i="1"/>
  <c r="O968" i="1"/>
  <c r="O922" i="1"/>
  <c r="O870" i="1"/>
  <c r="O824" i="1"/>
  <c r="O784" i="1"/>
  <c r="O691" i="1"/>
  <c r="O663" i="1"/>
  <c r="O570" i="1"/>
  <c r="O527" i="1"/>
  <c r="O427" i="1"/>
  <c r="O391" i="1"/>
  <c r="O363" i="1"/>
  <c r="O238" i="1"/>
  <c r="O143" i="1"/>
  <c r="O73" i="1"/>
  <c r="O1020" i="1"/>
  <c r="O974" i="1"/>
  <c r="O928" i="1"/>
  <c r="O876" i="1"/>
  <c r="O830" i="1"/>
  <c r="O769" i="1"/>
  <c r="O741" i="1"/>
  <c r="O655" i="1"/>
  <c r="O605" i="1"/>
  <c r="O555" i="1"/>
  <c r="O469" i="1"/>
  <c r="O441" i="1"/>
  <c r="O341" i="1"/>
  <c r="O305" i="1"/>
  <c r="O245" i="1"/>
  <c r="O159" i="1"/>
  <c r="O112" i="1"/>
  <c r="O41" i="1"/>
  <c r="O229" i="1"/>
  <c r="O177" i="1"/>
  <c r="O118" i="1"/>
  <c r="O59" i="1"/>
  <c r="O772" i="1"/>
  <c r="O713" i="1"/>
  <c r="O654" i="1"/>
  <c r="O595" i="1"/>
  <c r="O543" i="1"/>
  <c r="O484" i="1"/>
  <c r="O425" i="1"/>
  <c r="O366" i="1"/>
  <c r="O307" i="1"/>
  <c r="O255" i="1"/>
  <c r="O196" i="1"/>
  <c r="O137" i="1"/>
  <c r="O78" i="1"/>
  <c r="O788" i="1"/>
  <c r="O764" i="1"/>
  <c r="O740" i="1"/>
  <c r="O716" i="1"/>
  <c r="O692" i="1"/>
  <c r="O668" i="1"/>
  <c r="O644" i="1"/>
  <c r="O620" i="1"/>
  <c r="O596" i="1"/>
  <c r="O572" i="1"/>
  <c r="O548" i="1"/>
  <c r="O524" i="1"/>
  <c r="O500" i="1"/>
  <c r="O476" i="1"/>
  <c r="O452" i="1"/>
  <c r="O428" i="1"/>
  <c r="O404" i="1"/>
  <c r="O380" i="1"/>
  <c r="O356" i="1"/>
  <c r="O332" i="1"/>
  <c r="O308" i="1"/>
  <c r="O284" i="1"/>
  <c r="O260" i="1"/>
  <c r="O236" i="1"/>
  <c r="O212" i="1"/>
  <c r="O188" i="1"/>
  <c r="O164" i="1"/>
  <c r="O140" i="1"/>
  <c r="O116" i="1"/>
  <c r="O92" i="1"/>
  <c r="O68" i="1"/>
  <c r="O44" i="1"/>
  <c r="D1010" i="1"/>
  <c r="D477" i="1"/>
  <c r="D365" i="1"/>
  <c r="D675" i="1"/>
  <c r="D343" i="1"/>
  <c r="D803" i="1"/>
  <c r="D791" i="1"/>
  <c r="D295" i="1"/>
  <c r="D377" i="1"/>
  <c r="D686" i="1"/>
  <c r="D990" i="1"/>
  <c r="D924" i="1"/>
  <c r="D430" i="1"/>
  <c r="D721" i="1"/>
  <c r="D961" i="1"/>
  <c r="D709" i="1"/>
  <c r="D53" i="1"/>
  <c r="D101" i="1"/>
  <c r="D923" i="1"/>
  <c r="D754" i="1"/>
  <c r="D444" i="1"/>
  <c r="D920" i="1"/>
  <c r="D765" i="1"/>
  <c r="D544" i="1"/>
  <c r="D325" i="1"/>
  <c r="D187" i="1"/>
  <c r="D65" i="1"/>
  <c r="D862" i="1"/>
  <c r="D694" i="1"/>
  <c r="D503" i="1"/>
  <c r="D959" i="1"/>
  <c r="D842" i="1"/>
  <c r="D659" i="1"/>
  <c r="D390" i="1"/>
  <c r="D252" i="1"/>
  <c r="D114" i="1"/>
  <c r="D985" i="1"/>
  <c r="D870" i="1"/>
  <c r="D693" i="1"/>
  <c r="D437" i="1"/>
  <c r="D850" i="1"/>
  <c r="D681" i="1"/>
  <c r="D481" i="1"/>
  <c r="D201" i="1"/>
  <c r="D984" i="1"/>
  <c r="D869" i="1"/>
  <c r="D715" i="1"/>
  <c r="D551" i="1"/>
  <c r="D317" i="1"/>
  <c r="D179" i="1"/>
  <c r="D57" i="1"/>
  <c r="D935" i="1"/>
  <c r="D747" i="1"/>
  <c r="D562" i="1"/>
  <c r="D925" i="1"/>
  <c r="D771" i="1"/>
  <c r="D655" i="1"/>
  <c r="D463" i="1"/>
  <c r="D384" i="1"/>
  <c r="D316" i="1"/>
  <c r="D246" i="1"/>
  <c r="D178" i="1"/>
  <c r="D108" i="1"/>
  <c r="D39" i="1"/>
  <c r="D66" i="1"/>
  <c r="D952" i="1"/>
  <c r="D833" i="1"/>
  <c r="D615" i="1"/>
  <c r="D989" i="1"/>
  <c r="D874" i="1"/>
  <c r="D719" i="1"/>
  <c r="D471" i="1"/>
  <c r="D307" i="1"/>
  <c r="D168" i="1"/>
  <c r="D968" i="1"/>
  <c r="D707" i="1"/>
  <c r="D555" i="1"/>
  <c r="D1006" i="1"/>
  <c r="D890" i="1"/>
  <c r="D741" i="1"/>
  <c r="D602" i="1"/>
  <c r="D340" i="1"/>
  <c r="D202" i="1"/>
  <c r="D45" i="1"/>
  <c r="D938" i="1"/>
  <c r="D819" i="1"/>
  <c r="D657" i="1"/>
  <c r="D454" i="1"/>
  <c r="D761" i="1"/>
  <c r="D498" i="1"/>
  <c r="D304" i="1"/>
  <c r="D1013" i="1"/>
  <c r="D908" i="1"/>
  <c r="D806" i="1"/>
  <c r="D610" i="1"/>
  <c r="D367" i="1"/>
  <c r="D229" i="1"/>
  <c r="D91" i="1"/>
  <c r="D946" i="1"/>
  <c r="D667" i="1"/>
  <c r="D537" i="1"/>
  <c r="D954" i="1"/>
  <c r="D781" i="1"/>
  <c r="D1020" i="1"/>
  <c r="D962" i="1"/>
  <c r="D905" i="1"/>
  <c r="D845" i="1"/>
  <c r="D700" i="1"/>
  <c r="D584" i="1"/>
  <c r="D510" i="1"/>
  <c r="D315" i="1"/>
  <c r="D72" i="1"/>
  <c r="D670" i="1"/>
  <c r="D519" i="1"/>
  <c r="D255" i="1"/>
  <c r="D1008" i="1"/>
  <c r="D950" i="1"/>
  <c r="D907" i="1"/>
  <c r="D809" i="1"/>
  <c r="D653" i="1"/>
  <c r="D609" i="1"/>
  <c r="D538" i="1"/>
  <c r="D473" i="1"/>
  <c r="O610" i="1"/>
  <c r="O515" i="1"/>
  <c r="O390" i="1"/>
  <c r="O276" i="1"/>
  <c r="O193" i="1"/>
  <c r="O119" i="1"/>
  <c r="O1002" i="1"/>
  <c r="O954" i="1"/>
  <c r="O878" i="1"/>
  <c r="O842" i="1"/>
  <c r="O743" i="1"/>
  <c r="O629" i="1"/>
  <c r="O552" i="1"/>
  <c r="O475" i="1"/>
  <c r="O418" i="1"/>
  <c r="O352" i="1"/>
  <c r="O295" i="1"/>
  <c r="O244" i="1"/>
  <c r="O108" i="1"/>
  <c r="O55" i="1"/>
  <c r="O1001" i="1"/>
  <c r="O953" i="1"/>
  <c r="O912" i="1"/>
  <c r="O825" i="1"/>
  <c r="O789" i="1"/>
  <c r="O723" i="1"/>
  <c r="O675" i="1"/>
  <c r="O609" i="1"/>
  <c r="O532" i="1"/>
  <c r="O437" i="1"/>
  <c r="O323" i="1"/>
  <c r="O180" i="1"/>
  <c r="O117" i="1"/>
  <c r="O936" i="1"/>
  <c r="O890" i="1"/>
  <c r="O844" i="1"/>
  <c r="O792" i="1"/>
  <c r="O742" i="1"/>
  <c r="O649" i="1"/>
  <c r="O606" i="1"/>
  <c r="O549" i="1"/>
  <c r="O478" i="1"/>
  <c r="O442" i="1"/>
  <c r="O335" i="1"/>
  <c r="O306" i="1"/>
  <c r="O270" i="1"/>
  <c r="O207" i="1"/>
  <c r="O160" i="1"/>
  <c r="O66" i="1"/>
  <c r="O1007" i="1"/>
  <c r="O955" i="1"/>
  <c r="O909" i="1"/>
  <c r="O863" i="1"/>
  <c r="O811" i="1"/>
  <c r="O777" i="1"/>
  <c r="O684" i="1"/>
  <c r="O634" i="1"/>
  <c r="O563" i="1"/>
  <c r="O520" i="1"/>
  <c r="O420" i="1"/>
  <c r="O384" i="1"/>
  <c r="O277" i="1"/>
  <c r="O214" i="1"/>
  <c r="O120" i="1"/>
  <c r="O57" i="1"/>
  <c r="O1013" i="1"/>
  <c r="O961" i="1"/>
  <c r="O915" i="1"/>
  <c r="O869" i="1"/>
  <c r="O817" i="1"/>
  <c r="O762" i="1"/>
  <c r="O719" i="1"/>
  <c r="O648" i="1"/>
  <c r="O598" i="1"/>
  <c r="O505" i="1"/>
  <c r="O462" i="1"/>
  <c r="O405" i="1"/>
  <c r="O334" i="1"/>
  <c r="O298" i="1"/>
  <c r="O221" i="1"/>
  <c r="O151" i="1"/>
  <c r="O103" i="1"/>
  <c r="O275" i="1"/>
  <c r="O216" i="1"/>
  <c r="O157" i="1"/>
  <c r="O105" i="1"/>
  <c r="O46" i="1"/>
  <c r="O759" i="1"/>
  <c r="O700" i="1"/>
  <c r="O641" i="1"/>
  <c r="O582" i="1"/>
  <c r="O523" i="1"/>
  <c r="O471" i="1"/>
  <c r="O412" i="1"/>
  <c r="O353" i="1"/>
  <c r="O294" i="1"/>
  <c r="O235" i="1"/>
  <c r="O183" i="1"/>
  <c r="O124" i="1"/>
  <c r="O65" i="1"/>
  <c r="O782" i="1"/>
  <c r="O758" i="1"/>
  <c r="O734" i="1"/>
  <c r="O710" i="1"/>
  <c r="O686" i="1"/>
  <c r="O662" i="1"/>
  <c r="O638" i="1"/>
  <c r="O614" i="1"/>
  <c r="O590" i="1"/>
  <c r="O566" i="1"/>
  <c r="O542" i="1"/>
  <c r="O518" i="1"/>
  <c r="O494" i="1"/>
  <c r="O470" i="1"/>
  <c r="O446" i="1"/>
  <c r="O422" i="1"/>
  <c r="O398" i="1"/>
  <c r="O374" i="1"/>
  <c r="O350" i="1"/>
  <c r="O326" i="1"/>
  <c r="O302" i="1"/>
  <c r="O278" i="1"/>
  <c r="O254" i="1"/>
  <c r="O230" i="1"/>
  <c r="O206" i="1"/>
  <c r="O182" i="1"/>
  <c r="O158" i="1"/>
  <c r="O134" i="1"/>
  <c r="O110" i="1"/>
  <c r="O86" i="1"/>
  <c r="O62" i="1"/>
  <c r="O38" i="1"/>
  <c r="D953" i="1"/>
  <c r="D226" i="1"/>
  <c r="D823" i="1"/>
  <c r="D445" i="1"/>
  <c r="D982" i="1"/>
  <c r="D520" i="1"/>
  <c r="D505" i="1"/>
  <c r="D399" i="1"/>
  <c r="D1000" i="1"/>
  <c r="D460" i="1"/>
  <c r="D875" i="1"/>
  <c r="D734" i="1"/>
  <c r="D123" i="1"/>
  <c r="D581" i="1"/>
  <c r="D904" i="1"/>
  <c r="D640" i="1"/>
  <c r="D309" i="1"/>
  <c r="D998" i="1"/>
  <c r="D883" i="1"/>
  <c r="D674" i="1"/>
  <c r="D1018" i="1"/>
  <c r="D892" i="1"/>
  <c r="D729" i="1"/>
  <c r="D489" i="1"/>
  <c r="D291" i="1"/>
  <c r="D153" i="1"/>
  <c r="D1026" i="1"/>
  <c r="D820" i="1"/>
  <c r="D637" i="1"/>
  <c r="D442" i="1"/>
  <c r="D919" i="1"/>
  <c r="D787" i="1"/>
  <c r="D589" i="1"/>
  <c r="D355" i="1"/>
  <c r="D217" i="1"/>
  <c r="D79" i="1"/>
  <c r="D967" i="1"/>
  <c r="D807" i="1"/>
  <c r="D647" i="1"/>
  <c r="D1004" i="1"/>
  <c r="D829" i="1"/>
  <c r="D563" i="1"/>
  <c r="D408" i="1"/>
  <c r="D131" i="1"/>
  <c r="D966" i="1"/>
  <c r="D818" i="1"/>
  <c r="D656" i="1"/>
  <c r="D453" i="1"/>
  <c r="D282" i="1"/>
  <c r="D144" i="1"/>
  <c r="D1021" i="1"/>
  <c r="D917" i="1"/>
  <c r="D701" i="1"/>
  <c r="D523" i="1"/>
  <c r="D896" i="1"/>
  <c r="D735" i="1"/>
  <c r="D596" i="1"/>
  <c r="D447" i="1"/>
  <c r="D366" i="1"/>
  <c r="D297" i="1"/>
  <c r="D228" i="1"/>
  <c r="D159" i="1"/>
  <c r="D89" i="1"/>
  <c r="D274" i="1"/>
  <c r="D1027" i="1"/>
  <c r="D912" i="1"/>
  <c r="D812" i="1"/>
  <c r="D569" i="1"/>
  <c r="D949" i="1"/>
  <c r="D831" i="1"/>
  <c r="D649" i="1"/>
  <c r="D411" i="1"/>
  <c r="D273" i="1"/>
  <c r="D135" i="1"/>
  <c r="D911" i="1"/>
  <c r="D673" i="1"/>
  <c r="D515" i="1"/>
  <c r="D988" i="1"/>
  <c r="D851" i="1"/>
  <c r="D718" i="1"/>
  <c r="D469" i="1"/>
  <c r="D305" i="1"/>
  <c r="D167" i="1"/>
  <c r="D1014" i="1"/>
  <c r="D910" i="1"/>
  <c r="D773" i="1"/>
  <c r="D634" i="1"/>
  <c r="D947" i="1"/>
  <c r="D668" i="1"/>
  <c r="D468" i="1"/>
  <c r="D235" i="1"/>
  <c r="D995" i="1"/>
  <c r="D880" i="1"/>
  <c r="D772" i="1"/>
  <c r="D587" i="1"/>
  <c r="D333" i="1"/>
  <c r="D195" i="1"/>
  <c r="D41" i="1"/>
  <c r="D906" i="1"/>
  <c r="D631" i="1"/>
  <c r="D511" i="1"/>
  <c r="D868" i="1"/>
  <c r="D725" i="1"/>
  <c r="D1002" i="1"/>
  <c r="D944" i="1"/>
  <c r="D887" i="1"/>
  <c r="D836" i="1"/>
  <c r="D641" i="1"/>
  <c r="D571" i="1"/>
  <c r="D478" i="1"/>
  <c r="D245" i="1"/>
  <c r="D825" i="1"/>
  <c r="D644" i="1"/>
  <c r="D497" i="1"/>
  <c r="D151" i="1"/>
  <c r="D994" i="1"/>
  <c r="D943" i="1"/>
  <c r="D893" i="1"/>
  <c r="D766" i="1"/>
  <c r="D635" i="1"/>
  <c r="D601" i="1"/>
  <c r="D518" i="1"/>
  <c r="D451" i="1"/>
  <c r="O581" i="1"/>
  <c r="O467" i="1"/>
  <c r="O372" i="1"/>
  <c r="O234" i="1"/>
  <c r="O181" i="1"/>
  <c r="O77" i="1"/>
  <c r="O993" i="1"/>
  <c r="O946" i="1"/>
  <c r="O868" i="1"/>
  <c r="O834" i="1"/>
  <c r="O732" i="1"/>
  <c r="O618" i="1"/>
  <c r="O504" i="1"/>
  <c r="O457" i="1"/>
  <c r="O409" i="1"/>
  <c r="O343" i="1"/>
  <c r="O286" i="1"/>
  <c r="O202" i="1"/>
  <c r="O99" i="1"/>
  <c r="O45" i="1"/>
  <c r="O985" i="1"/>
  <c r="O938" i="1"/>
  <c r="O894" i="1"/>
  <c r="O815" i="1"/>
  <c r="O780" i="1"/>
  <c r="O714" i="1"/>
  <c r="O657" i="1"/>
  <c r="O589" i="1"/>
  <c r="O514" i="1"/>
  <c r="O400" i="1"/>
  <c r="O274" i="1"/>
  <c r="O171" i="1"/>
  <c r="O97" i="1"/>
  <c r="O929" i="1"/>
  <c r="O877" i="1"/>
  <c r="O831" i="1"/>
  <c r="O763" i="1"/>
  <c r="O735" i="1"/>
  <c r="O642" i="1"/>
  <c r="O599" i="1"/>
  <c r="O499" i="1"/>
  <c r="O463" i="1"/>
  <c r="O435" i="1"/>
  <c r="O328" i="1"/>
  <c r="O299" i="1"/>
  <c r="O246" i="1"/>
  <c r="O199" i="1"/>
  <c r="O136" i="1"/>
  <c r="O42" i="1"/>
  <c r="O994" i="1"/>
  <c r="O942" i="1"/>
  <c r="O896" i="1"/>
  <c r="O850" i="1"/>
  <c r="O798" i="1"/>
  <c r="O727" i="1"/>
  <c r="O677" i="1"/>
  <c r="O627" i="1"/>
  <c r="O541" i="1"/>
  <c r="O513" i="1"/>
  <c r="O413" i="1"/>
  <c r="O377" i="1"/>
  <c r="O261" i="1"/>
  <c r="O191" i="1"/>
  <c r="O96" i="1"/>
  <c r="O49" i="1"/>
  <c r="O1000" i="1"/>
  <c r="O948" i="1"/>
  <c r="O902" i="1"/>
  <c r="O856" i="1"/>
  <c r="O804" i="1"/>
  <c r="O755" i="1"/>
  <c r="O712" i="1"/>
  <c r="O619" i="1"/>
  <c r="O591" i="1"/>
  <c r="O498" i="1"/>
  <c r="O455" i="1"/>
  <c r="O355" i="1"/>
  <c r="O319" i="1"/>
  <c r="O291" i="1"/>
  <c r="O198" i="1"/>
  <c r="O135" i="1"/>
  <c r="O88" i="1"/>
  <c r="O262" i="1"/>
  <c r="O203" i="1"/>
  <c r="O144" i="1"/>
  <c r="O85" i="1"/>
  <c r="O33" i="1"/>
  <c r="O739" i="1"/>
  <c r="O687" i="1"/>
  <c r="O628" i="1"/>
  <c r="O569" i="1"/>
  <c r="O510" i="1"/>
  <c r="O451" i="1"/>
  <c r="O399" i="1"/>
  <c r="O340" i="1"/>
  <c r="O281" i="1"/>
  <c r="O222" i="1"/>
  <c r="O163" i="1"/>
  <c r="O111" i="1"/>
  <c r="O52" i="1"/>
  <c r="O776" i="1"/>
  <c r="O752" i="1"/>
  <c r="O728" i="1"/>
  <c r="O704" i="1"/>
  <c r="O680" i="1"/>
  <c r="O656" i="1"/>
  <c r="O632" i="1"/>
  <c r="O608" i="1"/>
  <c r="O584" i="1"/>
  <c r="O560" i="1"/>
  <c r="O536" i="1"/>
  <c r="O512" i="1"/>
  <c r="O488" i="1"/>
  <c r="O464" i="1"/>
  <c r="O440" i="1"/>
  <c r="O416" i="1"/>
  <c r="O392" i="1"/>
  <c r="O368" i="1"/>
  <c r="O344" i="1"/>
  <c r="O320" i="1"/>
  <c r="O296" i="1"/>
  <c r="O272" i="1"/>
  <c r="O248" i="1"/>
  <c r="O224" i="1"/>
  <c r="O200" i="1"/>
  <c r="O176" i="1"/>
  <c r="O152" i="1"/>
  <c r="O128" i="1"/>
  <c r="O104" i="1"/>
  <c r="O80" i="1"/>
  <c r="O56" i="1"/>
  <c r="O32" i="1"/>
  <c r="D559" i="1"/>
  <c r="D942" i="1"/>
  <c r="D545" i="1"/>
  <c r="D932" i="1"/>
  <c r="D866" i="1"/>
  <c r="D1028" i="1"/>
  <c r="D650" i="1"/>
  <c r="D895" i="1"/>
  <c r="D884" i="1"/>
  <c r="D813" i="1"/>
  <c r="D604" i="1"/>
  <c r="D330" i="1"/>
  <c r="D971" i="1"/>
  <c r="D88" i="1"/>
  <c r="D844" i="1"/>
  <c r="D490" i="1"/>
  <c r="D239" i="1"/>
  <c r="D980" i="1"/>
  <c r="D853" i="1"/>
  <c r="D628" i="1"/>
  <c r="D978" i="1"/>
  <c r="D843" i="1"/>
  <c r="D683" i="1"/>
  <c r="D395" i="1"/>
  <c r="D257" i="1"/>
  <c r="D118" i="1"/>
  <c r="D997" i="1"/>
  <c r="D799" i="1"/>
  <c r="D568" i="1"/>
  <c r="D1016" i="1"/>
  <c r="D901" i="1"/>
  <c r="D764" i="1"/>
  <c r="D543" i="1"/>
  <c r="D322" i="1"/>
  <c r="D183" i="1"/>
  <c r="D64" i="1"/>
  <c r="D928" i="1"/>
  <c r="D752" i="1"/>
  <c r="D611" i="1"/>
  <c r="D976" i="1"/>
  <c r="D797" i="1"/>
  <c r="D542" i="1"/>
  <c r="D339" i="1"/>
  <c r="D63" i="1"/>
  <c r="D926" i="1"/>
  <c r="D785" i="1"/>
  <c r="D633" i="1"/>
  <c r="D387" i="1"/>
  <c r="D247" i="1"/>
  <c r="D109" i="1"/>
  <c r="D1003" i="1"/>
  <c r="D877" i="1"/>
  <c r="D621" i="1"/>
  <c r="D480" i="1"/>
  <c r="D814" i="1"/>
  <c r="D712" i="1"/>
  <c r="D536" i="1"/>
  <c r="D433" i="1"/>
  <c r="D351" i="1"/>
  <c r="D281" i="1"/>
  <c r="D211" i="1"/>
  <c r="D143" i="1"/>
  <c r="D73" i="1"/>
  <c r="D204" i="1"/>
  <c r="D1009" i="1"/>
  <c r="D894" i="1"/>
  <c r="D767" i="1"/>
  <c r="D504" i="1"/>
  <c r="D931" i="1"/>
  <c r="D778" i="1"/>
  <c r="D603" i="1"/>
  <c r="D376" i="1"/>
  <c r="D238" i="1"/>
  <c r="D100" i="1"/>
  <c r="D882" i="1"/>
  <c r="D614" i="1"/>
  <c r="D455" i="1"/>
  <c r="D948" i="1"/>
  <c r="D830" i="1"/>
  <c r="D682" i="1"/>
  <c r="D409" i="1"/>
  <c r="D271" i="1"/>
  <c r="D132" i="1"/>
  <c r="D996" i="1"/>
  <c r="D881" i="1"/>
  <c r="D739" i="1"/>
  <c r="D598" i="1"/>
  <c r="D918" i="1"/>
  <c r="D622" i="1"/>
  <c r="D420" i="1"/>
  <c r="D166" i="1"/>
  <c r="D955" i="1"/>
  <c r="D859" i="1"/>
  <c r="D692" i="1"/>
  <c r="D435" i="1"/>
  <c r="D298" i="1"/>
  <c r="D160" i="1"/>
  <c r="D992" i="1"/>
  <c r="D888" i="1"/>
  <c r="D608" i="1"/>
  <c r="D419" i="1"/>
  <c r="D826" i="1"/>
  <c r="D689" i="1"/>
  <c r="D991" i="1"/>
  <c r="D934" i="1"/>
  <c r="D876" i="1"/>
  <c r="D759" i="1"/>
  <c r="D620" i="1"/>
  <c r="D561" i="1"/>
  <c r="D418" i="1"/>
  <c r="D175" i="1"/>
  <c r="D793" i="1"/>
  <c r="D575" i="1"/>
  <c r="D394" i="1"/>
  <c r="D117" i="1"/>
  <c r="D979" i="1"/>
  <c r="D929" i="1"/>
  <c r="D878" i="1"/>
  <c r="D748" i="1"/>
  <c r="D627" i="1"/>
  <c r="D583" i="1"/>
  <c r="D506" i="1"/>
  <c r="D438" i="1"/>
  <c r="D417" i="1"/>
  <c r="D347" i="1"/>
  <c r="D279" i="1"/>
  <c r="D209" i="1"/>
  <c r="D139" i="1"/>
  <c r="D71" i="1"/>
  <c r="D280" i="1"/>
  <c r="D849" i="1"/>
  <c r="D680" i="1"/>
  <c r="D507" i="1"/>
  <c r="D289" i="1"/>
  <c r="D48" i="1"/>
  <c r="D986" i="1"/>
  <c r="D914" i="1"/>
  <c r="D832" i="1"/>
  <c r="D740" i="1"/>
  <c r="D839" i="1"/>
  <c r="D713" i="1"/>
  <c r="D679" i="1"/>
  <c r="D574" i="1"/>
  <c r="D496" i="1"/>
  <c r="D358" i="1"/>
  <c r="D219" i="1"/>
  <c r="D81" i="1"/>
  <c r="D724" i="1"/>
  <c r="D626" i="1"/>
  <c r="D525" i="1"/>
  <c r="D449" i="1"/>
  <c r="D381" i="1"/>
  <c r="D311" i="1"/>
  <c r="D251" i="1"/>
  <c r="D199" i="1"/>
  <c r="D165" i="1"/>
  <c r="D130" i="1"/>
  <c r="D95" i="1"/>
  <c r="D60" i="1"/>
  <c r="D848" i="1"/>
  <c r="D789" i="1"/>
  <c r="D730" i="1"/>
  <c r="D671" i="1"/>
  <c r="D619" i="1"/>
  <c r="D560" i="1"/>
  <c r="D509" i="1"/>
  <c r="D711" i="1"/>
  <c r="D567" i="1"/>
  <c r="D475" i="1"/>
  <c r="D406" i="1"/>
  <c r="D337" i="1"/>
  <c r="D259" i="1"/>
  <c r="D1029" i="1"/>
  <c r="D1005" i="1"/>
  <c r="D981" i="1"/>
  <c r="D957" i="1"/>
  <c r="D933" i="1"/>
  <c r="D909" i="1"/>
  <c r="D885" i="1"/>
  <c r="D854" i="1"/>
  <c r="D795" i="1"/>
  <c r="D736" i="1"/>
  <c r="D677" i="1"/>
  <c r="D625" i="1"/>
  <c r="D566" i="1"/>
  <c r="D499" i="1"/>
  <c r="D466" i="1"/>
  <c r="D431" i="1"/>
  <c r="D396" i="1"/>
  <c r="D361" i="1"/>
  <c r="D327" i="1"/>
  <c r="D293" i="1"/>
  <c r="D258" i="1"/>
  <c r="D223" i="1"/>
  <c r="D189" i="1"/>
  <c r="D154" i="1"/>
  <c r="D120" i="1"/>
  <c r="D85" i="1"/>
  <c r="D51" i="1"/>
  <c r="D521" i="1"/>
  <c r="D852" i="1"/>
  <c r="D828" i="1"/>
  <c r="D804" i="1"/>
  <c r="D780" i="1"/>
  <c r="D756" i="1"/>
  <c r="D732" i="1"/>
  <c r="D708" i="1"/>
  <c r="D684" i="1"/>
  <c r="D660" i="1"/>
  <c r="D636" i="1"/>
  <c r="D612" i="1"/>
  <c r="D588" i="1"/>
  <c r="D564" i="1"/>
  <c r="D540" i="1"/>
  <c r="D493" i="1"/>
  <c r="D465" i="1"/>
  <c r="D436" i="1"/>
  <c r="D407" i="1"/>
  <c r="D378" i="1"/>
  <c r="D349" i="1"/>
  <c r="D321" i="1"/>
  <c r="D292" i="1"/>
  <c r="D263" i="1"/>
  <c r="D234" i="1"/>
  <c r="D205" i="1"/>
  <c r="D177" i="1"/>
  <c r="D148" i="1"/>
  <c r="D119" i="1"/>
  <c r="D90" i="1"/>
  <c r="D61" i="1"/>
  <c r="D33" i="1"/>
  <c r="D482" i="1"/>
  <c r="D458" i="1"/>
  <c r="D434" i="1"/>
  <c r="D410" i="1"/>
  <c r="D386" i="1"/>
  <c r="D362" i="1"/>
  <c r="D338" i="1"/>
  <c r="D314" i="1"/>
  <c r="D290" i="1"/>
  <c r="D266" i="1"/>
  <c r="D242" i="1"/>
  <c r="D218" i="1"/>
  <c r="D194" i="1"/>
  <c r="D170" i="1"/>
  <c r="D146" i="1"/>
  <c r="D122" i="1"/>
  <c r="D98" i="1"/>
  <c r="D74" i="1"/>
  <c r="D50" i="1"/>
  <c r="D403" i="1"/>
  <c r="D334" i="1"/>
  <c r="D265" i="1"/>
  <c r="D196" i="1"/>
  <c r="D127" i="1"/>
  <c r="D58" i="1"/>
  <c r="D210" i="1"/>
  <c r="D801" i="1"/>
  <c r="D662" i="1"/>
  <c r="D462" i="1"/>
  <c r="D221" i="1"/>
  <c r="D1030" i="1"/>
  <c r="D972" i="1"/>
  <c r="D900" i="1"/>
  <c r="D817" i="1"/>
  <c r="D591" i="1"/>
  <c r="D824" i="1"/>
  <c r="D705" i="1"/>
  <c r="D669" i="1"/>
  <c r="D556" i="1"/>
  <c r="D461" i="1"/>
  <c r="D323" i="1"/>
  <c r="D185" i="1"/>
  <c r="D46" i="1"/>
  <c r="D698" i="1"/>
  <c r="D593" i="1"/>
  <c r="D502" i="1"/>
  <c r="D432" i="1"/>
  <c r="D363" i="1"/>
  <c r="D294" i="1"/>
  <c r="D233" i="1"/>
  <c r="D190" i="1"/>
  <c r="D156" i="1"/>
  <c r="D121" i="1"/>
  <c r="D87" i="1"/>
  <c r="D43" i="1"/>
  <c r="D835" i="1"/>
  <c r="D776" i="1"/>
  <c r="D717" i="1"/>
  <c r="D658" i="1"/>
  <c r="D599" i="1"/>
  <c r="D547" i="1"/>
  <c r="D796" i="1"/>
  <c r="D685" i="1"/>
  <c r="D554" i="1"/>
  <c r="D459" i="1"/>
  <c r="D389" i="1"/>
  <c r="D319" i="1"/>
  <c r="D243" i="1"/>
  <c r="D1023" i="1"/>
  <c r="D999" i="1"/>
  <c r="D975" i="1"/>
  <c r="D951" i="1"/>
  <c r="D927" i="1"/>
  <c r="D903" i="1"/>
  <c r="D879" i="1"/>
  <c r="D841" i="1"/>
  <c r="D782" i="1"/>
  <c r="D723" i="1"/>
  <c r="D664" i="1"/>
  <c r="D605" i="1"/>
  <c r="D553" i="1"/>
  <c r="D491" i="1"/>
  <c r="D456" i="1"/>
  <c r="D423" i="1"/>
  <c r="D388" i="1"/>
  <c r="D353" i="1"/>
  <c r="D318" i="1"/>
  <c r="D283" i="1"/>
  <c r="D250" i="1"/>
  <c r="D215" i="1"/>
  <c r="D180" i="1"/>
  <c r="D145" i="1"/>
  <c r="D111" i="1"/>
  <c r="D77" i="1"/>
  <c r="D42" i="1"/>
  <c r="D508" i="1"/>
  <c r="D846" i="1"/>
  <c r="D822" i="1"/>
  <c r="D798" i="1"/>
  <c r="D774" i="1"/>
  <c r="D750" i="1"/>
  <c r="D726" i="1"/>
  <c r="D702" i="1"/>
  <c r="D678" i="1"/>
  <c r="D654" i="1"/>
  <c r="D630" i="1"/>
  <c r="D606" i="1"/>
  <c r="D582" i="1"/>
  <c r="D558" i="1"/>
  <c r="D527" i="1"/>
  <c r="D486" i="1"/>
  <c r="D457" i="1"/>
  <c r="D429" i="1"/>
  <c r="D400" i="1"/>
  <c r="D371" i="1"/>
  <c r="D342" i="1"/>
  <c r="D313" i="1"/>
  <c r="D285" i="1"/>
  <c r="D256" i="1"/>
  <c r="D227" i="1"/>
  <c r="D198" i="1"/>
  <c r="D169" i="1"/>
  <c r="D141" i="1"/>
  <c r="D112" i="1"/>
  <c r="D83" i="1"/>
  <c r="D54" i="1"/>
  <c r="D500" i="1"/>
  <c r="D476" i="1"/>
  <c r="D452" i="1"/>
  <c r="D428" i="1"/>
  <c r="D404" i="1"/>
  <c r="D380" i="1"/>
  <c r="D356" i="1"/>
  <c r="D332" i="1"/>
  <c r="D308" i="1"/>
  <c r="D284" i="1"/>
  <c r="D260" i="1"/>
  <c r="D236" i="1"/>
  <c r="D212" i="1"/>
  <c r="D188" i="1"/>
  <c r="D164" i="1"/>
  <c r="D140" i="1"/>
  <c r="D116" i="1"/>
  <c r="D92" i="1"/>
  <c r="D68" i="1"/>
  <c r="D44" i="1"/>
  <c r="D382" i="1"/>
  <c r="D312" i="1"/>
  <c r="D244" i="1"/>
  <c r="D174" i="1"/>
  <c r="D106" i="1"/>
  <c r="D36" i="1"/>
  <c r="D142" i="1"/>
  <c r="D775" i="1"/>
  <c r="D549" i="1"/>
  <c r="D427" i="1"/>
  <c r="D186" i="1"/>
  <c r="D1015" i="1"/>
  <c r="D958" i="1"/>
  <c r="D886" i="1"/>
  <c r="D784" i="1"/>
  <c r="D863" i="1"/>
  <c r="D800" i="1"/>
  <c r="D695" i="1"/>
  <c r="D661" i="1"/>
  <c r="D548" i="1"/>
  <c r="D426" i="1"/>
  <c r="D288" i="1"/>
  <c r="D150" i="1"/>
  <c r="D783" i="1"/>
  <c r="D665" i="1"/>
  <c r="D580" i="1"/>
  <c r="D484" i="1"/>
  <c r="D415" i="1"/>
  <c r="D346" i="1"/>
  <c r="D286" i="1"/>
  <c r="D225" i="1"/>
  <c r="D181" i="1"/>
  <c r="D147" i="1"/>
  <c r="D113" i="1"/>
  <c r="D78" i="1"/>
  <c r="D35" i="1"/>
  <c r="D815" i="1"/>
  <c r="D763" i="1"/>
  <c r="D704" i="1"/>
  <c r="D645" i="1"/>
  <c r="D586" i="1"/>
  <c r="D532" i="1"/>
  <c r="D757" i="1"/>
  <c r="D652" i="1"/>
  <c r="D517" i="1"/>
  <c r="D441" i="1"/>
  <c r="D372" i="1"/>
  <c r="D303" i="1"/>
  <c r="D216" i="1"/>
  <c r="D1017" i="1"/>
  <c r="D993" i="1"/>
  <c r="D969" i="1"/>
  <c r="D945" i="1"/>
  <c r="D921" i="1"/>
  <c r="D897" i="1"/>
  <c r="D873" i="1"/>
  <c r="D821" i="1"/>
  <c r="D769" i="1"/>
  <c r="D710" i="1"/>
  <c r="D651" i="1"/>
  <c r="D592" i="1"/>
  <c r="D539" i="1"/>
  <c r="D483" i="1"/>
  <c r="D448" i="1"/>
  <c r="D413" i="1"/>
  <c r="D379" i="1"/>
  <c r="D345" i="1"/>
  <c r="D310" i="1"/>
  <c r="D275" i="1"/>
  <c r="D240" i="1"/>
  <c r="D207" i="1"/>
  <c r="D172" i="1"/>
  <c r="D137" i="1"/>
  <c r="D102" i="1"/>
  <c r="D67" i="1"/>
  <c r="D34" i="1"/>
  <c r="D864" i="1"/>
  <c r="D840" i="1"/>
  <c r="D816" i="1"/>
  <c r="D792" i="1"/>
  <c r="D768" i="1"/>
  <c r="D744" i="1"/>
  <c r="D720" i="1"/>
  <c r="D696" i="1"/>
  <c r="D672" i="1"/>
  <c r="D648" i="1"/>
  <c r="D624" i="1"/>
  <c r="D600" i="1"/>
  <c r="D576" i="1"/>
  <c r="D552" i="1"/>
  <c r="D514" i="1"/>
  <c r="D479" i="1"/>
  <c r="D450" i="1"/>
  <c r="D421" i="1"/>
  <c r="D393" i="1"/>
  <c r="D364" i="1"/>
  <c r="D335" i="1"/>
  <c r="D306" i="1"/>
  <c r="D277" i="1"/>
  <c r="D249" i="1"/>
  <c r="D220" i="1"/>
  <c r="D191" i="1"/>
  <c r="D162" i="1"/>
  <c r="D133" i="1"/>
  <c r="D105" i="1"/>
  <c r="D76" i="1"/>
  <c r="D47" i="1"/>
  <c r="D494" i="1"/>
  <c r="D470" i="1"/>
  <c r="D446" i="1"/>
  <c r="D422" i="1"/>
  <c r="D398" i="1"/>
  <c r="D374" i="1"/>
  <c r="D350" i="1"/>
  <c r="D326" i="1"/>
  <c r="D302" i="1"/>
  <c r="D278" i="1"/>
  <c r="D254" i="1"/>
  <c r="D230" i="1"/>
  <c r="D206" i="1"/>
  <c r="D182" i="1"/>
  <c r="D158" i="1"/>
  <c r="D134" i="1"/>
  <c r="D110" i="1"/>
  <c r="D86" i="1"/>
  <c r="D62" i="1"/>
  <c r="D38" i="1"/>
  <c r="D369" i="1"/>
  <c r="D300" i="1"/>
  <c r="D231" i="1"/>
  <c r="D161" i="1"/>
  <c r="D93" i="1"/>
  <c r="D348" i="1"/>
  <c r="D37" i="1"/>
  <c r="D706" i="1"/>
  <c r="D529" i="1"/>
  <c r="D359" i="1"/>
  <c r="D82" i="1"/>
  <c r="D1001" i="1"/>
  <c r="D936" i="1"/>
  <c r="D871" i="1"/>
  <c r="D758" i="1"/>
  <c r="D847" i="1"/>
  <c r="D731" i="1"/>
  <c r="D687" i="1"/>
  <c r="D643" i="1"/>
  <c r="D528" i="1"/>
  <c r="D391" i="1"/>
  <c r="D253" i="1"/>
  <c r="D115" i="1"/>
  <c r="D770" i="1"/>
  <c r="D639" i="1"/>
  <c r="D541" i="1"/>
  <c r="D467" i="1"/>
  <c r="D397" i="1"/>
  <c r="D329" i="1"/>
  <c r="D268" i="1"/>
  <c r="D208" i="1"/>
  <c r="D173" i="1"/>
  <c r="D138" i="1"/>
  <c r="D103" i="1"/>
  <c r="D70" i="1"/>
  <c r="D861" i="1"/>
  <c r="D802" i="1"/>
  <c r="D743" i="1"/>
  <c r="D691" i="1"/>
  <c r="D632" i="1"/>
  <c r="D573" i="1"/>
  <c r="D524" i="1"/>
  <c r="D737" i="1"/>
  <c r="D613" i="1"/>
  <c r="D492" i="1"/>
  <c r="D424" i="1"/>
  <c r="D354" i="1"/>
  <c r="D276" i="1"/>
  <c r="D52" i="1"/>
  <c r="D1011" i="1"/>
  <c r="D987" i="1"/>
  <c r="D963" i="1"/>
  <c r="D939" i="1"/>
  <c r="D915" i="1"/>
  <c r="D891" i="1"/>
  <c r="D867" i="1"/>
  <c r="D808" i="1"/>
  <c r="D749" i="1"/>
  <c r="D697" i="1"/>
  <c r="D638" i="1"/>
  <c r="D579" i="1"/>
  <c r="D516" i="1"/>
  <c r="D474" i="1"/>
  <c r="D439" i="1"/>
  <c r="D405" i="1"/>
  <c r="D370" i="1"/>
  <c r="D336" i="1"/>
  <c r="D301" i="1"/>
  <c r="D267" i="1"/>
  <c r="D232" i="1"/>
  <c r="D197" i="1"/>
  <c r="D163" i="1"/>
  <c r="D129" i="1"/>
  <c r="D94" i="1"/>
  <c r="D59" i="1"/>
  <c r="D534" i="1"/>
  <c r="D858" i="1"/>
  <c r="D834" i="1"/>
  <c r="D810" i="1"/>
  <c r="D786" i="1"/>
  <c r="D762" i="1"/>
  <c r="D738" i="1"/>
  <c r="D714" i="1"/>
  <c r="D690" i="1"/>
  <c r="D666" i="1"/>
  <c r="D642" i="1"/>
  <c r="D618" i="1"/>
  <c r="D594" i="1"/>
  <c r="D570" i="1"/>
  <c r="D546" i="1"/>
  <c r="D501" i="1"/>
  <c r="D472" i="1"/>
  <c r="D443" i="1"/>
  <c r="D414" i="1"/>
  <c r="D385" i="1"/>
  <c r="D357" i="1"/>
  <c r="D328" i="1"/>
  <c r="D299" i="1"/>
  <c r="D270" i="1"/>
  <c r="D241" i="1"/>
  <c r="D213" i="1"/>
  <c r="D184" i="1"/>
  <c r="D155" i="1"/>
  <c r="D126" i="1"/>
  <c r="D97" i="1"/>
  <c r="D69" i="1"/>
  <c r="D40" i="1"/>
  <c r="D488" i="1"/>
  <c r="D464" i="1"/>
  <c r="D440" i="1"/>
  <c r="D416" i="1"/>
  <c r="D392" i="1"/>
  <c r="D368" i="1"/>
  <c r="D344" i="1"/>
  <c r="D320" i="1"/>
  <c r="D296" i="1"/>
  <c r="D272" i="1"/>
  <c r="D248" i="1"/>
  <c r="D224" i="1"/>
  <c r="D200" i="1"/>
  <c r="D176" i="1"/>
  <c r="D152" i="1"/>
  <c r="D128" i="1"/>
  <c r="D104" i="1"/>
  <c r="D80" i="1"/>
  <c r="D56" i="1"/>
  <c r="D3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<sst xmlns="http://schemas.openxmlformats.org/spreadsheetml/2006/main" count="34" uniqueCount="14">
  <si>
    <t>N</t>
  </si>
  <si>
    <t>Metoda MC</t>
  </si>
  <si>
    <t>Metoda Haltona</t>
  </si>
  <si>
    <t>blad MC</t>
  </si>
  <si>
    <t>blad H</t>
  </si>
  <si>
    <t>metoda MC</t>
  </si>
  <si>
    <t>funkcja 1</t>
  </si>
  <si>
    <t>funkcja 2</t>
  </si>
  <si>
    <t>funkcja 3</t>
  </si>
  <si>
    <t>funkcja 4</t>
  </si>
  <si>
    <t>&lt;3</t>
  </si>
  <si>
    <t>N=100</t>
  </si>
  <si>
    <t>N=500</t>
  </si>
  <si>
    <t>N=1000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</si>
</sst>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exp(x * sin(y))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blad MC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Arkusz1!$A$5:$A$8</c:f>
              <c:numCache>
                <c:formatCode>General</c:formatCode>
                <c:ptCount val="4"/>
                <c:pt idx="0">
                  <c:v>1000</c:v>
                </c:pt>
                <c:pt idx="1">
                  <c:v>3000</c:v>
                </c:pt>
                <c:pt idx="2">
                  <c:v>10000</c:v>
                </c:pt>
                <c:pt idx="3">
                  <c:v>100000</c:v>
                </c:pt>
              </c:numCache>
            </c:numRef>
          </c:xVal>
          <c:yVal>
            <c:numRef>
              <c:f>Arkusz1!$K$5:$K$8</c:f>
              <c:numCache>
                <c:formatCode>General</c:formatCode>
                <c:ptCount val="4"/>
                <c:pt idx="0">
                  <c:v>0.50620330280478321</c:v>
                </c:pt>
                <c:pt idx="1">
                  <c:v>0.29438887508145051</c:v>
                </c:pt>
                <c:pt idx="2">
                  <c:v>4.3909837611711744E-2</c:v>
                </c:pt>
                <c:pt idx="3">
                  <c:v>7.5879427355976858E-2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10-46E9-923F-F84EB3CDF21A}"/>
            </c:ext>
          </c:extLst>
        </c:ser>
        <c:ser>
          <c:idx val="1"/>
          <c:order val="1"/>
          <c:tx>
            <c:v>blad 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Arkusz1!$A$5:$A$8</c:f>
              <c:numCache>
                <c:formatCode>General</c:formatCode>
                <c:ptCount val="4"/>
                <c:pt idx="0">
                  <c:v>1000</c:v>
                </c:pt>
                <c:pt idx="1">
                  <c:v>3000</c:v>
                </c:pt>
                <c:pt idx="2">
                  <c:v>10000</c:v>
                </c:pt>
                <c:pt idx="3">
                  <c:v>100000</c:v>
                </c:pt>
              </c:numCache>
            </c:numRef>
          </c:xVal>
          <c:yVal>
            <c:numRef>
              <c:f>Arkusz1!$L$5:$L$8</c:f>
              <c:numCache>
                <c:formatCode>General</c:formatCode>
                <c:ptCount val="4"/>
                <c:pt idx="0">
                  <c:v>7.0054804816907179E-2</c:v>
                </c:pt>
                <c:pt idx="1">
                  <c:v>2.8319346245315735E-2</c:v>
                </c:pt>
                <c:pt idx="2">
                  <c:v>1.1296220417901459E-2</c:v>
                </c:pt>
                <c:pt idx="3">
                  <c:v>1.3140108194011901E-3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10-46E9-923F-F84EB3CDF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458384"/>
        <c:axId val="1183457424"/>
      </c:scatterChart>
      <c:valAx>
        <c:axId val="1183458384"/>
        <c:scaling>
          <c:logBase val="10"/>
          <c:orientation val="minMax"/>
          <c:min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83457424"/>
        <c:crosses val="autoZero"/>
        <c:crossBetween val="midCat"/>
      </c:valAx>
      <c:valAx>
        <c:axId val="11834574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blad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83458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ln(exp(x*y))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Arkusz1!$Q$3</c:f>
              <c:strCache>
                <c:ptCount val="1"/>
                <c:pt idx="0">
                  <c:v>blad MC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Arkusz1!$A$4:$A$8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3000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Arkusz1!$Q$4:$Q$8</c:f>
              <c:numCache>
                <c:formatCode>General</c:formatCode>
                <c:ptCount val="5"/>
                <c:pt idx="0">
                  <c:v>5.9712209845074062E-2</c:v>
                </c:pt>
                <c:pt idx="1">
                  <c:v>3.3018968822553119E-2</c:v>
                </c:pt>
                <c:pt idx="2">
                  <c:v>4.9469663934142314E-3</c:v>
                </c:pt>
                <c:pt idx="3">
                  <c:v>3.2857594640866958E-3</c:v>
                </c:pt>
                <c:pt idx="4">
                  <c:v>1.2063452072092289E-3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E8-4C25-B657-87432E8783E2}"/>
            </c:ext>
          </c:extLst>
        </c:ser>
        <c:ser>
          <c:idx val="1"/>
          <c:order val="1"/>
          <c:tx>
            <c:strRef>
              <c:f>Arkusz1!$R$3</c:f>
              <c:strCache>
                <c:ptCount val="1"/>
                <c:pt idx="0">
                  <c:v>blad 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Arkusz1!$A$4:$A$8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3000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Arkusz1!$R$4:$R$8</c:f>
              <c:numCache>
                <c:formatCode>General</c:formatCode>
                <c:ptCount val="5"/>
                <c:pt idx="0">
                  <c:v>3.109477505416524E-2</c:v>
                </c:pt>
                <c:pt idx="1">
                  <c:v>3.6213048432418835E-3</c:v>
                </c:pt>
                <c:pt idx="2">
                  <c:v>2.2532005116416552E-3</c:v>
                </c:pt>
                <c:pt idx="3">
                  <c:v>8.404376717332481E-4</c:v>
                </c:pt>
                <c:pt idx="4">
                  <c:v>9.6345224448908501E-5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E8-4C25-B657-87432E878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1894607"/>
        <c:axId val="1381894127"/>
      </c:scatterChart>
      <c:valAx>
        <c:axId val="1381894607"/>
        <c:scaling>
          <c:logBase val="10"/>
          <c:orientation val="minMax"/>
          <c:min val="7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8162379702537184"/>
              <c:y val="0.772777048702245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81894127"/>
        <c:crosses val="autoZero"/>
        <c:crossBetween val="midCat"/>
      </c:valAx>
      <c:valAx>
        <c:axId val="138189412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blad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818946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sin(cos(x+y))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Arkusz1!$W$3</c:f>
              <c:strCache>
                <c:ptCount val="1"/>
                <c:pt idx="0">
                  <c:v>blad MC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Arkusz1!$A$4:$A$8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3000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Arkusz1!$W$4:$W$8</c:f>
              <c:numCache>
                <c:formatCode>General</c:formatCode>
                <c:ptCount val="5"/>
                <c:pt idx="0">
                  <c:v>0.12117828334098046</c:v>
                </c:pt>
                <c:pt idx="1">
                  <c:v>7.6812738304088413E-3</c:v>
                </c:pt>
                <c:pt idx="2">
                  <c:v>1.1796538968381842E-2</c:v>
                </c:pt>
                <c:pt idx="3">
                  <c:v>8.2136869101945287E-3</c:v>
                </c:pt>
                <c:pt idx="4">
                  <c:v>4.0550105484560284E-4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95-4DD7-BE56-F02FE7D2F158}"/>
            </c:ext>
          </c:extLst>
        </c:ser>
        <c:ser>
          <c:idx val="1"/>
          <c:order val="1"/>
          <c:tx>
            <c:strRef>
              <c:f>Arkusz1!$X$3</c:f>
              <c:strCache>
                <c:ptCount val="1"/>
                <c:pt idx="0">
                  <c:v>blad 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Arkusz1!$A$4:$A$8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3000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Arkusz1!$X$4:$X$8</c:f>
              <c:numCache>
                <c:formatCode>General</c:formatCode>
                <c:ptCount val="5"/>
                <c:pt idx="0">
                  <c:v>6.4689162630457986E-2</c:v>
                </c:pt>
                <c:pt idx="1">
                  <c:v>7.1143204669099624E-3</c:v>
                </c:pt>
                <c:pt idx="2">
                  <c:v>2.5104369262789472E-3</c:v>
                </c:pt>
                <c:pt idx="3">
                  <c:v>8.5884336318020615E-4</c:v>
                </c:pt>
                <c:pt idx="4">
                  <c:v>9.6375556204009172E-5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95-4DD7-BE56-F02FE7D2F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9073424"/>
        <c:axId val="1163462016"/>
      </c:scatterChart>
      <c:valAx>
        <c:axId val="1179073424"/>
        <c:scaling>
          <c:logBase val="10"/>
          <c:orientation val="minMax"/>
          <c:min val="7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63462016"/>
        <c:crosses val="autoZero"/>
        <c:crossBetween val="midCat"/>
      </c:valAx>
      <c:valAx>
        <c:axId val="116346201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Blad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79073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x^2 + y^2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Arkusz1!$D$3</c:f>
              <c:strCache>
                <c:ptCount val="1"/>
                <c:pt idx="0">
                  <c:v>blad MC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Arkusz1!$A$4:$A$8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3000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Arkusz1!$D$4:$D$8</c:f>
              <c:numCache>
                <c:formatCode>General</c:formatCode>
                <c:ptCount val="5"/>
                <c:pt idx="0">
                  <c:v>0.4264318916039791</c:v>
                </c:pt>
                <c:pt idx="1">
                  <c:v>0.34140095208534049</c:v>
                </c:pt>
                <c:pt idx="2">
                  <c:v>3.1083016387380979E-2</c:v>
                </c:pt>
                <c:pt idx="3">
                  <c:v>0.20354935560281362</c:v>
                </c:pt>
                <c:pt idx="4">
                  <c:v>0.10181610269074071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B0-423B-B2CE-8E0B0233AE8B}"/>
            </c:ext>
          </c:extLst>
        </c:ser>
        <c:ser>
          <c:idx val="1"/>
          <c:order val="1"/>
          <c:tx>
            <c:strRef>
              <c:f>Arkusz1!$E$3</c:f>
              <c:strCache>
                <c:ptCount val="1"/>
                <c:pt idx="0">
                  <c:v>blad 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Arkusz1!$A$4:$A$8</c:f>
              <c:numCache>
                <c:formatCode>General</c:formatCode>
                <c:ptCount val="5"/>
                <c:pt idx="0">
                  <c:v>100</c:v>
                </c:pt>
                <c:pt idx="1">
                  <c:v>1000</c:v>
                </c:pt>
                <c:pt idx="2">
                  <c:v>3000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Arkusz1!$E$4:$E$8</c:f>
              <c:numCache>
                <c:formatCode>General</c:formatCode>
                <c:ptCount val="5"/>
                <c:pt idx="0">
                  <c:v>0.8497889198748183</c:v>
                </c:pt>
                <c:pt idx="1">
                  <c:v>9.6690115447273683E-2</c:v>
                </c:pt>
                <c:pt idx="2">
                  <c:v>4.213746957854525E-2</c:v>
                </c:pt>
                <c:pt idx="3">
                  <c:v>1.4166730064079758E-2</c:v>
                </c:pt>
                <c:pt idx="4">
                  <c:v>2.0052837330730711E-3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B0-423B-B2CE-8E0B0233A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852128"/>
        <c:axId val="1817852608"/>
      </c:scatterChart>
      <c:valAx>
        <c:axId val="1817852128"/>
        <c:scaling>
          <c:logBase val="10"/>
          <c:orientation val="minMax"/>
          <c:min val="7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17852608"/>
        <c:crosses val="autoZero"/>
        <c:crossBetween val="midCat"/>
      </c:valAx>
      <c:valAx>
        <c:axId val="1817852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17852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  <cx:data id="1">
      <cx:numDim type="val">
        <cx:f>_xlchart.v1.9</cx:f>
      </cx:numDim>
    </cx:data>
    <cx:data id="2">
      <cx:numDim type="val">
        <cx:f>_xlchart.v1.11</cx:f>
      </cx:numDim>
    </cx:data>
  </cx:chartData>
  <cx:chart>
    <cx:title pos="t" align="ctr" overlay="0">
      <cx:tx>
        <cx:txData>
          <cx:v>F1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l-PL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F1</a:t>
          </a:r>
        </a:p>
      </cx:txPr>
    </cx:title>
    <cx:plotArea>
      <cx:plotAreaRegion>
        <cx:series layoutId="boxWhisker" uniqueId="{F31236DB-9F08-42C8-8398-5B44ED1D44E0}">
          <cx:tx>
            <cx:txData>
              <cx:f>_xlchart.v1.6</cx:f>
              <cx:v>N=100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46CA0337-11BC-4925-8BAB-081EAC8BC77A}">
          <cx:tx>
            <cx:txData>
              <cx:f>_xlchart.v1.8</cx:f>
              <cx:v>N=500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48C06FE3-30A3-4910-BCAD-663EF7411468}">
          <cx:tx>
            <cx:txData>
              <cx:f>_xlchart.v1.10</cx:f>
              <cx:v>N=1000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  <cx:legend pos="t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  <cx:data id="2">
      <cx:numDim type="val">
        <cx:f>_xlchart.v1.5</cx:f>
      </cx:numDim>
    </cx:data>
  </cx:chartData>
  <cx:chart>
    <cx:title pos="t" align="ctr" overlay="0">
      <cx:tx>
        <cx:txData>
          <cx:v>F3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l-PL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F3</a:t>
          </a:r>
        </a:p>
      </cx:txPr>
    </cx:title>
    <cx:plotArea>
      <cx:plotAreaRegion>
        <cx:series layoutId="boxWhisker" uniqueId="{073D5B08-9D86-409C-8A9F-3F66F3CAE09E}">
          <cx:tx>
            <cx:txData>
              <cx:f>_xlchart.v1.0</cx:f>
              <cx:v>N=100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72918650-B43F-4D45-8E0B-D86C6041DA99}">
          <cx:tx>
            <cx:txData>
              <cx:f>_xlchart.v1.2</cx:f>
              <cx:v>N=500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CF61EA5D-41E1-472A-9DF4-5BC5D3D673C2}">
          <cx:tx>
            <cx:txData>
              <cx:f>_xlchart.v1.4</cx:f>
              <cx:v>N=1000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  <cx:legend pos="t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_xlchart.v1.19</cx:f>
      </cx:numDim>
    </cx:data>
    <cx:data id="1">
      <cx:numDim type="val">
        <cx:f>_xlchart.v1.21</cx:f>
      </cx:numDim>
    </cx:data>
    <cx:data id="2">
      <cx:numDim type="val">
        <cx:f>_xlchart.v1.23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pl-PL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</a:rPr>
              <a:t>F2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rich>
      </cx:tx>
    </cx:title>
    <cx:plotArea>
      <cx:plotAreaRegion>
        <cx:series layoutId="boxWhisker" uniqueId="{13B11DC9-A5C8-41F7-8570-387C9497574F}">
          <cx:tx>
            <cx:txData>
              <cx:f>_xlchart.v1.18</cx:f>
              <cx:v>N=100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FA3F7544-B37D-4BFF-B32C-781FD2DE18BC}">
          <cx:tx>
            <cx:txData>
              <cx:f>_xlchart.v1.20</cx:f>
              <cx:v>N=500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73E7FCD7-9CCD-4E79-9305-BB8A66FE207A}">
          <cx:tx>
            <cx:txData>
              <cx:f>_xlchart.v1.22</cx:f>
              <cx:v>N=1000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  <cx:legend pos="t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_xlchart.v1.13</cx:f>
      </cx:numDim>
    </cx:data>
    <cx:data id="1">
      <cx:numDim type="val">
        <cx:f>_xlchart.v1.15</cx:f>
      </cx:numDim>
    </cx:data>
    <cx:data id="2">
      <cx:numDim type="val">
        <cx:f>_xlchart.v1.17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pl-PL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ptos Narrow" panose="02110004020202020204"/>
              </a:rPr>
              <a:t>F4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rich>
      </cx:tx>
    </cx:title>
    <cx:plotArea>
      <cx:plotAreaRegion>
        <cx:series layoutId="boxWhisker" uniqueId="{98A59DB3-AA86-4FEF-9741-7B446BBCE8CC}">
          <cx:tx>
            <cx:txData>
              <cx:f>_xlchart.v1.12</cx:f>
              <cx:v>N=100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1B5C8AD4-ED62-4A27-A92A-0922E1850ED5}">
          <cx:tx>
            <cx:txData>
              <cx:f>_xlchart.v1.14</cx:f>
              <cx:v>N=500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662EE0DA-5ACF-415E-8775-81940543BA3C}">
          <cx:tx>
            <cx:txData>
              <cx:f>_xlchart.v1.16</cx:f>
              <cx:v>N=1000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/>
          </a:p>
        </cx:txPr>
      </cx:axis>
    </cx:plotArea>
    <cx:legend pos="t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/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chart" Target="../charts/chart3.xml"/><Relationship Id="rId7" Type="http://schemas.microsoft.com/office/2014/relationships/chartEx" Target="../charts/chartEx4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3.xml"/><Relationship Id="rId5" Type="http://schemas.microsoft.com/office/2014/relationships/chartEx" Target="../charts/chartEx2.xml"/><Relationship Id="rId4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140970</xdr:rowOff>
    </xdr:from>
    <xdr:to>
      <xdr:col>14</xdr:col>
      <xdr:colOff>236220</xdr:colOff>
      <xdr:row>23</xdr:row>
      <xdr:rowOff>140970</xdr:rowOff>
    </xdr:to>
    <xdr:graphicFrame macro="">
      <xdr:nvGraphicFramePr>
        <xdr:cNvPr id="22" name="Wykres 5">
          <a:extLst>
            <a:ext uri="{FF2B5EF4-FFF2-40B4-BE49-F238E27FC236}">
              <a16:creationId xmlns:a16="http://schemas.microsoft.com/office/drawing/2014/main" id="{363F7020-8570-6941-4F55-B5560B219A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434340</xdr:colOff>
      <xdr:row>9</xdr:row>
      <xdr:rowOff>156210</xdr:rowOff>
    </xdr:from>
    <xdr:to>
      <xdr:col>21</xdr:col>
      <xdr:colOff>320040</xdr:colOff>
      <xdr:row>24</xdr:row>
      <xdr:rowOff>156210</xdr:rowOff>
    </xdr:to>
    <xdr:graphicFrame macro="">
      <xdr:nvGraphicFramePr>
        <xdr:cNvPr id="26" name="Wykres 6">
          <a:extLst>
            <a:ext uri="{FF2B5EF4-FFF2-40B4-BE49-F238E27FC236}">
              <a16:creationId xmlns:a16="http://schemas.microsoft.com/office/drawing/2014/main" id="{9201E6A2-0BF6-D4D2-3E4C-EBBD58C295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495300</xdr:colOff>
      <xdr:row>9</xdr:row>
      <xdr:rowOff>34290</xdr:rowOff>
    </xdr:from>
    <xdr:to>
      <xdr:col>28</xdr:col>
      <xdr:colOff>464820</xdr:colOff>
      <xdr:row>24</xdr:row>
      <xdr:rowOff>34290</xdr:rowOff>
    </xdr:to>
    <xdr:graphicFrame macro="">
      <xdr:nvGraphicFramePr>
        <xdr:cNvPr id="29" name="Wykres 7">
          <a:extLst>
            <a:ext uri="{FF2B5EF4-FFF2-40B4-BE49-F238E27FC236}">
              <a16:creationId xmlns:a16="http://schemas.microsoft.com/office/drawing/2014/main" id="{726FF66D-59D2-9CF2-4BF0-D50205099F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30</xdr:row>
      <xdr:rowOff>0</xdr:rowOff>
    </xdr:from>
    <xdr:to>
      <xdr:col>23</xdr:col>
      <xdr:colOff>195943</xdr:colOff>
      <xdr:row>44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2">
              <a:extLst>
                <a:ext uri="{FF2B5EF4-FFF2-40B4-BE49-F238E27FC236}">
                  <a16:creationId xmlns:a16="http://schemas.microsoft.com/office/drawing/2014/main" id="{D2689396-6CA6-4F21-BEB5-2A0C573901C5}"/>
                </a:ext>
                <a:ext uri="{147F2762-F138-4A5C-976F-8EAC2B608ADB}">
                  <a16:predDERef xmlns:a16="http://schemas.microsoft.com/office/drawing/2014/main" pred="{726FF66D-59D2-9CF2-4BF0-D50205099F0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96800" y="5486400"/>
              <a:ext cx="4554583" cy="27127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24</xdr:col>
      <xdr:colOff>10885</xdr:colOff>
      <xdr:row>29</xdr:row>
      <xdr:rowOff>179614</xdr:rowOff>
    </xdr:from>
    <xdr:to>
      <xdr:col>31</xdr:col>
      <xdr:colOff>315685</xdr:colOff>
      <xdr:row>44</xdr:row>
      <xdr:rowOff>146957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Chart 8">
              <a:extLst>
                <a:ext uri="{FF2B5EF4-FFF2-40B4-BE49-F238E27FC236}">
                  <a16:creationId xmlns:a16="http://schemas.microsoft.com/office/drawing/2014/main" id="{B4507E0B-728C-B2ED-DB37-4FAD511F1D52}"/>
                </a:ext>
                <a:ext uri="{147F2762-F138-4A5C-976F-8EAC2B608ADB}">
                  <a16:predDERef xmlns:a16="http://schemas.microsoft.com/office/drawing/2014/main" pred="{D2689396-6CA6-4F21-BEB5-2A0C573901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475925" y="5483134"/>
              <a:ext cx="4572000" cy="27105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16</xdr:col>
      <xdr:colOff>566057</xdr:colOff>
      <xdr:row>45</xdr:row>
      <xdr:rowOff>179615</xdr:rowOff>
    </xdr:from>
    <xdr:to>
      <xdr:col>23</xdr:col>
      <xdr:colOff>152400</xdr:colOff>
      <xdr:row>60</xdr:row>
      <xdr:rowOff>146957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Chart 4">
              <a:extLst>
                <a:ext uri="{FF2B5EF4-FFF2-40B4-BE49-F238E27FC236}">
                  <a16:creationId xmlns:a16="http://schemas.microsoft.com/office/drawing/2014/main" id="{B0925B3D-35BC-4B0A-FE68-BAC9C52F43DF}"/>
                </a:ext>
                <a:ext uri="{147F2762-F138-4A5C-976F-8EAC2B608ADB}">
                  <a16:predDERef xmlns:a16="http://schemas.microsoft.com/office/drawing/2014/main" pred="{B4507E0B-728C-B2ED-DB37-4FAD511F1D5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53257" y="8409215"/>
              <a:ext cx="4554583" cy="27105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23</xdr:col>
      <xdr:colOff>576943</xdr:colOff>
      <xdr:row>45</xdr:row>
      <xdr:rowOff>179615</xdr:rowOff>
    </xdr:from>
    <xdr:to>
      <xdr:col>31</xdr:col>
      <xdr:colOff>272143</xdr:colOff>
      <xdr:row>60</xdr:row>
      <xdr:rowOff>146957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Chart 9">
              <a:extLst>
                <a:ext uri="{FF2B5EF4-FFF2-40B4-BE49-F238E27FC236}">
                  <a16:creationId xmlns:a16="http://schemas.microsoft.com/office/drawing/2014/main" id="{94DA7CE5-AD29-1223-344B-405A034DEBDB}"/>
                </a:ext>
                <a:ext uri="{147F2762-F138-4A5C-976F-8EAC2B608ADB}">
                  <a16:predDERef xmlns:a16="http://schemas.microsoft.com/office/drawing/2014/main" pred="{B0925B3D-35BC-4B0A-FE68-BAC9C52F43D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432383" y="8409215"/>
              <a:ext cx="4572000" cy="27105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8</xdr:row>
      <xdr:rowOff>88339</xdr:rowOff>
    </xdr:from>
    <xdr:to>
      <xdr:col>6</xdr:col>
      <xdr:colOff>40460</xdr:colOff>
      <xdr:row>23</xdr:row>
      <xdr:rowOff>100477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D89D477-927F-DB98-0527-85B09F7824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B4A84-7AC7-4EE8-A767-5E4318098C71}">
  <sheetPr codeName="Arkusz1"/>
  <dimension ref="A3:X1030"/>
  <sheetViews>
    <sheetView tabSelected="1" zoomScale="65" zoomScaleNormal="128" workbookViewId="0">
      <selection activeCell="G10" sqref="G10"/>
    </sheetView>
  </sheetViews>
  <sheetFormatPr defaultRowHeight="14.4" x14ac:dyDescent="0.3"/>
  <cols>
    <col min="1" max="1" width="13.6640625" bestFit="1" customWidth="1"/>
    <col min="2" max="2" width="10" bestFit="1" customWidth="1"/>
    <col min="3" max="3" width="13.6640625" bestFit="1" customWidth="1"/>
    <col min="4" max="4" width="11" bestFit="1" customWidth="1"/>
    <col min="9" max="9" width="10.109375" bestFit="1" customWidth="1"/>
    <col min="10" max="10" width="13.6640625" bestFit="1" customWidth="1"/>
    <col min="11" max="11" width="12.6640625" bestFit="1" customWidth="1"/>
    <col min="15" max="15" width="12.6640625" bestFit="1" customWidth="1"/>
    <col min="16" max="16" width="13.6640625" bestFit="1" customWidth="1"/>
    <col min="20" max="20" width="13.109375" bestFit="1" customWidth="1"/>
    <col min="21" max="21" width="10.109375" bestFit="1" customWidth="1"/>
    <col min="22" max="22" width="13.6640625" bestFit="1" customWidth="1"/>
  </cols>
  <sheetData>
    <row r="3" spans="1:24" x14ac:dyDescent="0.3">
      <c r="A3" t="s">
        <v>0</v>
      </c>
      <c r="B3" t="s">
        <v>1</v>
      </c>
      <c r="C3" t="s">
        <v>2</v>
      </c>
      <c r="D3" t="s">
        <v>3</v>
      </c>
      <c r="E3" t="s">
        <v>4</v>
      </c>
      <c r="I3" t="s">
        <v>5</v>
      </c>
      <c r="J3" t="s">
        <v>2</v>
      </c>
      <c r="K3" t="s">
        <v>3</v>
      </c>
      <c r="L3" t="s">
        <v>4</v>
      </c>
      <c r="O3" t="s">
        <v>5</v>
      </c>
      <c r="P3" t="s">
        <v>2</v>
      </c>
      <c r="Q3" t="s">
        <v>3</v>
      </c>
      <c r="R3" t="s">
        <v>4</v>
      </c>
      <c r="U3" t="s">
        <v>5</v>
      </c>
      <c r="V3" t="s">
        <v>2</v>
      </c>
      <c r="W3" t="s">
        <v>3</v>
      </c>
      <c r="X3" t="s">
        <v>4</v>
      </c>
    </row>
    <row r="4" spans="1:24" x14ac:dyDescent="0.3">
      <c r="A4">
        <v>100</v>
      </c>
      <c r="B4" cm="1">
        <f t="array" ref="B4" xml:space="preserve"> mc(A4, 0, 4, 1, 2, "x^2+y^2")</f>
        <v>30.240568108396022</v>
      </c>
      <c r="C4" cm="1">
        <f t="array" ref="C4" xml:space="preserve"> MCHalton(A4, 0, 4, 1, 2, "x^2+y^2")</f>
        <v>29.817211080125183</v>
      </c>
      <c r="D4">
        <f t="shared" ref="D4:D8" si="0">ABS(30.667 - B4)</f>
        <v>0.4264318916039791</v>
      </c>
      <c r="E4">
        <f t="shared" ref="E4:E8" si="1">ABS(30.667 - C4)</f>
        <v>0.8497889198748183</v>
      </c>
      <c r="I4" cm="1">
        <f t="array" ref="I4" xml:space="preserve"> mc(A4, 3, 4, -1, 1, "EXP(x * sin(y))")</f>
        <v>6.4915222773532788</v>
      </c>
      <c r="J4" cm="1">
        <f t="array" ref="J4" xml:space="preserve"> MCHalton(A4, 3, 4, -1, 1, "EXP(x * sin(y))")</f>
        <v>6.8029141612929172</v>
      </c>
      <c r="K4">
        <f t="shared" ref="K4:L8" si="2" xml:space="preserve"> ABS(7.39981 - I4)</f>
        <v>0.90828772264672164</v>
      </c>
      <c r="L4">
        <f t="shared" si="2"/>
        <v>0.59689583870708329</v>
      </c>
      <c r="O4" cm="1">
        <f t="array" ref="O4" xml:space="preserve"> mc(A4, -PI()/2,0,-1, 1, "ln(EXP(x * y))")</f>
        <v>-5.9712209845074062E-2</v>
      </c>
      <c r="P4" cm="1">
        <f t="array" ref="P4" xml:space="preserve"> MCHalton(A4, -PI()/2,0,-1, 1, "ln(EXP(x * y))")</f>
        <v>3.109477505416524E-2</v>
      </c>
      <c r="Q4">
        <f t="shared" ref="Q4:R7" si="3" xml:space="preserve"> ABS(O4)</f>
        <v>5.9712209845074062E-2</v>
      </c>
      <c r="R4">
        <f t="shared" si="3"/>
        <v>3.109477505416524E-2</v>
      </c>
      <c r="U4" cm="1">
        <f t="array" ref="U4" xml:space="preserve"> mc(A4, -PI()/2,PI()/2, 0, 1, "sin(cos(x + y))")</f>
        <v>1.6035282833409805</v>
      </c>
      <c r="V4" cm="1">
        <f t="array" ref="V4" xml:space="preserve"> MCHalton(A4, -PI()/2,PI()/2, 0, 1, "sin(cos(x + y))")</f>
        <v>1.547039162630458</v>
      </c>
      <c r="W4">
        <f t="shared" ref="W4:X8" si="4" xml:space="preserve"> ABS(1.48235 - U4)</f>
        <v>0.12117828334098046</v>
      </c>
      <c r="X4">
        <f t="shared" si="4"/>
        <v>6.4689162630457986E-2</v>
      </c>
    </row>
    <row r="5" spans="1:24" x14ac:dyDescent="0.3">
      <c r="A5">
        <v>1000</v>
      </c>
      <c r="B5" cm="1">
        <f t="array" ref="B5" xml:space="preserve"> mc(A5, 0, 4, 1, 2, "x^2+y^2")</f>
        <v>30.325599047914661</v>
      </c>
      <c r="C5" cm="1">
        <f t="array" ref="C5" xml:space="preserve"> MCHalton(A5, 0, 4, 1, 2, "x^2+y^2")</f>
        <v>30.570309884552728</v>
      </c>
      <c r="D5">
        <f t="shared" si="0"/>
        <v>0.34140095208534049</v>
      </c>
      <c r="E5">
        <f t="shared" si="1"/>
        <v>9.6690115447273683E-2</v>
      </c>
      <c r="I5" cm="1">
        <f t="array" ref="I5" xml:space="preserve"> mc(A5, 3, 4, -1, 1, "EXP(x * sin(y))")</f>
        <v>6.8936066971952172</v>
      </c>
      <c r="J5" cm="1">
        <f t="array" ref="J5" xml:space="preserve"> MCHalton(A5, 3, 4, -1, 1, "EXP(x * sin(y))")</f>
        <v>7.3297551951830933</v>
      </c>
      <c r="K5">
        <f t="shared" si="2"/>
        <v>0.50620330280478321</v>
      </c>
      <c r="L5">
        <f t="shared" si="2"/>
        <v>7.0054804816907179E-2</v>
      </c>
      <c r="O5" cm="1">
        <f t="array" ref="O5" xml:space="preserve"> mc(A5, -PI()/2,0,-1, 1, "ln(EXP(x * y))")</f>
        <v>-3.3018968822553119E-2</v>
      </c>
      <c r="P5" cm="1">
        <f t="array" ref="P5" xml:space="preserve"> MCHalton(A5, -PI()/2,0,-1, 1, "ln(EXP(x * y))")</f>
        <v>3.6213048432418835E-3</v>
      </c>
      <c r="Q5">
        <f t="shared" si="3"/>
        <v>3.3018968822553119E-2</v>
      </c>
      <c r="R5">
        <f t="shared" si="3"/>
        <v>3.6213048432418835E-3</v>
      </c>
      <c r="U5" cm="1">
        <f t="array" ref="U5" xml:space="preserve"> mc(A5, -PI()/2,PI()/2, 0, 1, "sin(cos(x + y))")</f>
        <v>1.4746687261695912</v>
      </c>
      <c r="V5" cm="1">
        <f t="array" ref="V5" xml:space="preserve"> MCHalton(A5, -PI()/2,PI()/2, 0, 1, "sin(cos(x + y))")</f>
        <v>1.48946432046691</v>
      </c>
      <c r="W5">
        <f t="shared" si="4"/>
        <v>7.6812738304088413E-3</v>
      </c>
      <c r="X5">
        <f t="shared" si="4"/>
        <v>7.1143204669099624E-3</v>
      </c>
    </row>
    <row r="6" spans="1:24" x14ac:dyDescent="0.3">
      <c r="A6">
        <v>3000</v>
      </c>
      <c r="B6" cm="1">
        <f t="array" ref="B6" xml:space="preserve"> mc(A6, 0, 4, 1, 2, "x^2+y^2")</f>
        <v>30.698083016387383</v>
      </c>
      <c r="C6" cm="1">
        <f t="array" ref="C6" xml:space="preserve"> MCHalton(A6, 0, 4, 1, 2, "x^2+y^2")</f>
        <v>30.624862530421456</v>
      </c>
      <c r="D6">
        <f t="shared" si="0"/>
        <v>3.1083016387380979E-2</v>
      </c>
      <c r="E6">
        <f t="shared" si="1"/>
        <v>4.213746957854525E-2</v>
      </c>
      <c r="I6" cm="1">
        <f t="array" ref="I6" xml:space="preserve"> mc(A6, 3, 4, -1, 1, "EXP(x * sin(y))")</f>
        <v>7.1054211249185499</v>
      </c>
      <c r="J6" cm="1">
        <f t="array" ref="J6" xml:space="preserve"> MCHalton(A6, 3, 4, -1, 1, "EXP(x * sin(y))")</f>
        <v>7.3714906537546847</v>
      </c>
      <c r="K6">
        <f t="shared" si="2"/>
        <v>0.29438887508145051</v>
      </c>
      <c r="L6">
        <f t="shared" si="2"/>
        <v>2.8319346245315735E-2</v>
      </c>
      <c r="O6" cm="1">
        <f t="array" ref="O6" xml:space="preserve"> mc(A6, -PI()/2,0,-1, 1, "ln(EXP(x * y))")</f>
        <v>4.9469663934142314E-3</v>
      </c>
      <c r="P6" cm="1">
        <f t="array" ref="P6" xml:space="preserve"> MCHalton(A6, -PI()/2,0,-1, 1, "ln(EXP(x * y))")</f>
        <v>2.2532005116416552E-3</v>
      </c>
      <c r="Q6">
        <f t="shared" si="3"/>
        <v>4.9469663934142314E-3</v>
      </c>
      <c r="R6">
        <f t="shared" si="3"/>
        <v>2.2532005116416552E-3</v>
      </c>
      <c r="U6" cm="1">
        <f t="array" ref="U6" xml:space="preserve"> mc(A6, -PI()/2,PI()/2, 0, 1, "sin(cos(x + y))")</f>
        <v>1.4941465389683819</v>
      </c>
      <c r="V6" cm="1">
        <f t="array" ref="V6" xml:space="preserve"> MCHalton(A6, -PI()/2,PI()/2, 0, 1, "sin(cos(x + y))")</f>
        <v>1.484860436926279</v>
      </c>
      <c r="W6">
        <f t="shared" si="4"/>
        <v>1.1796538968381842E-2</v>
      </c>
      <c r="X6">
        <f t="shared" si="4"/>
        <v>2.5104369262789472E-3</v>
      </c>
    </row>
    <row r="7" spans="1:24" x14ac:dyDescent="0.3">
      <c r="A7">
        <v>10000</v>
      </c>
      <c r="B7" cm="1">
        <f t="array" ref="B7" xml:space="preserve"> mc(A7, 0, 4, 1, 2, "x^2+y^2")</f>
        <v>30.463450644397188</v>
      </c>
      <c r="C7" cm="1">
        <f t="array" ref="C7" xml:space="preserve"> MCHalton(A7, 0, 4, 1, 2, "x^2+y^2")</f>
        <v>30.652833269935922</v>
      </c>
      <c r="D7">
        <f t="shared" si="0"/>
        <v>0.20354935560281362</v>
      </c>
      <c r="E7">
        <f t="shared" si="1"/>
        <v>1.4166730064079758E-2</v>
      </c>
      <c r="I7" cm="1">
        <f t="array" ref="I7" xml:space="preserve"> mc(A7, 3, 4, -1, 1, "EXP(x * sin(y))")</f>
        <v>7.3559001623882887</v>
      </c>
      <c r="J7" cm="1">
        <f t="array" ref="J7" xml:space="preserve"> MCHalton(A7, 3, 4, -1, 1, "EXP(x * sin(y))")</f>
        <v>7.388513779582099</v>
      </c>
      <c r="K7">
        <f t="shared" si="2"/>
        <v>4.3909837611711744E-2</v>
      </c>
      <c r="L7">
        <f t="shared" si="2"/>
        <v>1.1296220417901459E-2</v>
      </c>
      <c r="O7" cm="1">
        <f t="array" ref="O7" xml:space="preserve"> mc(A7, -PI()/2,0,-1, 1, "ln(EXP(x * y))")</f>
        <v>3.2857594640866958E-3</v>
      </c>
      <c r="P7" cm="1">
        <f t="array" ref="P7" xml:space="preserve"> MCHalton(A7, -PI()/2,0,-1, 1, "ln(EXP(x * y))")</f>
        <v>8.404376717332481E-4</v>
      </c>
      <c r="Q7">
        <f t="shared" si="3"/>
        <v>3.2857594640866958E-3</v>
      </c>
      <c r="R7">
        <f t="shared" si="3"/>
        <v>8.404376717332481E-4</v>
      </c>
      <c r="U7" cm="1">
        <f t="array" ref="U7" xml:space="preserve"> mc(A7, -PI()/2,PI()/2, 0, 1, "sin(cos(x + y))")</f>
        <v>1.4905636869101946</v>
      </c>
      <c r="V7" cm="1">
        <f t="array" ref="V7" xml:space="preserve"> MCHalton(A7, -PI()/2,PI()/2, 0, 1, "sin(cos(x + y))")</f>
        <v>1.4832088433631803</v>
      </c>
      <c r="W7">
        <f t="shared" si="4"/>
        <v>8.2136869101945287E-3</v>
      </c>
      <c r="X7">
        <f t="shared" si="4"/>
        <v>8.5884336318020615E-4</v>
      </c>
    </row>
    <row r="8" spans="1:24" x14ac:dyDescent="0.3">
      <c r="A8">
        <v>100000</v>
      </c>
      <c r="B8" cm="1">
        <f t="array" ref="B8" xml:space="preserve"> mc(A8, 0, 4, 1, 2, "x^2+y^2")</f>
        <v>30.565183897309261</v>
      </c>
      <c r="C8" cm="1">
        <f t="array" ref="C8" xml:space="preserve"> MCHalton(A8, 0, 4, 1, 2, "x^2+y^2")</f>
        <v>30.664994716266929</v>
      </c>
      <c r="D8">
        <f t="shared" si="0"/>
        <v>0.10181610269074071</v>
      </c>
      <c r="E8">
        <f t="shared" si="1"/>
        <v>2.0052837330730711E-3</v>
      </c>
      <c r="I8" cm="1">
        <f t="array" ref="I8" xml:space="preserve"> mc(A8, 3, 4, -1, 1, "EXP(x * sin(y))")</f>
        <v>7.4756894273559773</v>
      </c>
      <c r="J8" cm="1">
        <f t="array" ref="J8" xml:space="preserve"> MCHalton(A8, 3, 4, -1, 1, "EXP(x * sin(y))")</f>
        <v>7.3984959891805993</v>
      </c>
      <c r="K8">
        <f t="shared" si="2"/>
        <v>7.5879427355976858E-2</v>
      </c>
      <c r="L8">
        <f t="shared" si="2"/>
        <v>1.3140108194011901E-3</v>
      </c>
      <c r="O8" cm="1">
        <f t="array" ref="O8" xml:space="preserve"> mc(A8, -PI()/2,0,-1, 1, "ln(EXP(x * y))")</f>
        <v>1.2063452072092289E-3</v>
      </c>
      <c r="P8" cm="1">
        <f t="array" ref="P8" xml:space="preserve"> MCHalton(A8, -PI()/2,0,-1, 1, "ln(EXP(x * y))")</f>
        <v>9.6345224448908501E-5</v>
      </c>
      <c r="Q8">
        <f xml:space="preserve"> ABS(O8)</f>
        <v>1.2063452072092289E-3</v>
      </c>
      <c r="R8">
        <f xml:space="preserve"> ABS(P8)</f>
        <v>9.6345224448908501E-5</v>
      </c>
      <c r="U8" cm="1">
        <f t="array" ref="U8" xml:space="preserve"> mc(A8, -PI()/2,PI()/2, 0, 1, "sin(cos(x + y))")</f>
        <v>1.4819444989451545</v>
      </c>
      <c r="V8" cm="1">
        <f t="array" ref="V8" xml:space="preserve"> MCHalton(A8, -PI()/2,PI()/2, 0, 1, "sin(cos(x + y))")</f>
        <v>1.4824463755562041</v>
      </c>
      <c r="W8">
        <f t="shared" si="4"/>
        <v>4.0550105484560284E-4</v>
      </c>
      <c r="X8">
        <f t="shared" si="4"/>
        <v>9.6375556204009172E-5</v>
      </c>
    </row>
    <row r="28" spans="1:21" x14ac:dyDescent="0.3">
      <c r="B28" t="s">
        <v>6</v>
      </c>
      <c r="F28" t="s">
        <v>7</v>
      </c>
      <c r="J28" t="s">
        <v>8</v>
      </c>
      <c r="N28" t="s">
        <v>9</v>
      </c>
      <c r="U28" t="s">
        <v>10</v>
      </c>
    </row>
    <row r="30" spans="1:21" x14ac:dyDescent="0.3">
      <c r="B30" t="s">
        <v>11</v>
      </c>
      <c r="C30" t="s">
        <v>12</v>
      </c>
      <c r="D30" t="s">
        <v>13</v>
      </c>
      <c r="F30" t="s">
        <v>11</v>
      </c>
      <c r="G30" t="s">
        <v>12</v>
      </c>
      <c r="H30" t="s">
        <v>13</v>
      </c>
      <c r="J30" t="s">
        <v>11</v>
      </c>
      <c r="K30" t="s">
        <v>12</v>
      </c>
      <c r="L30" t="s">
        <v>13</v>
      </c>
      <c r="N30" t="s">
        <v>11</v>
      </c>
      <c r="O30" t="s">
        <v>12</v>
      </c>
      <c r="P30" t="s">
        <v>13</v>
      </c>
    </row>
    <row r="31" spans="1:21" x14ac:dyDescent="0.3">
      <c r="A31">
        <v>1</v>
      </c>
      <c r="B31" cm="1">
        <f t="array" ref="B31" xml:space="preserve"> mc(100, 0, 4, 1, 2, "x^2+y^2")-92/3</f>
        <v>1.3552235514143796</v>
      </c>
      <c r="C31" cm="1">
        <f t="array" ref="C31" xml:space="preserve"> mc(500, 0, 4, 1, 2, "x^2+y^2")-92/3</f>
        <v>-1.1983256304775054</v>
      </c>
      <c r="D31" cm="1">
        <f t="array" ref="D31" xml:space="preserve"> mc(1000, 0, 4, 1, 2, "x^2+y^2")-92/3</f>
        <v>0.44984442040367512</v>
      </c>
      <c r="F31" cm="1">
        <f t="array" ref="F31" xml:space="preserve"> ( mc(100, 3, 4, -1, 1, "EXP(x * sin(y))") ) - 7.39981</f>
        <v>-1.0951974862948628</v>
      </c>
      <c r="G31" cm="1">
        <f t="array" ref="G31" xml:space="preserve"> ( mc(500, 3, 4, -1, 1, "EXP(x * sin(y))") ) - 7.39981</f>
        <v>7.7114457801030767E-3</v>
      </c>
      <c r="H31" cm="1">
        <f t="array" ref="H31" xml:space="preserve"> ( mc(1000, 3, 4, -1, 1, "EXP(x * sin(y))") ) - 7.39981</f>
        <v>-0.66067399592192899</v>
      </c>
      <c r="J31" cm="1">
        <f t="array" ref="J31" xml:space="preserve"> mc(100, -PI()/2,0,-1, 1, "ln(EXP(x * y))")</f>
        <v>-0.31053122817367751</v>
      </c>
      <c r="K31" cm="1">
        <f t="array" ref="K31" xml:space="preserve"> mc(500, -PI()/2,0,-1, 1, "ln(EXP(x * y))")</f>
        <v>2.37709368547185E-2</v>
      </c>
      <c r="L31" cm="1">
        <f t="array" ref="L31" xml:space="preserve"> mc(1000, -PI()/2,0,-1, 1, "ln(EXP(x * y))")</f>
        <v>-1.537469854108162E-2</v>
      </c>
      <c r="N31" cm="1">
        <f t="array" ref="N31" xml:space="preserve"> mc(100, -PI()/2,PI()/2, 0, 1, "sin(cos(x + y))")-1.48235</f>
        <v>-9.7049013382421556E-2</v>
      </c>
      <c r="O31" cm="1">
        <f t="array" ref="O31" xml:space="preserve"> mc(500, -PI()/2,PI()/2, 0, 1, "sin(cos(x + y))")-1.48235</f>
        <v>8.7935434255814737E-3</v>
      </c>
      <c r="P31" cm="1">
        <f t="array" ref="P31" xml:space="preserve"> mc(1000, -PI()/2,PI()/2, 0, 1, "sin(cos(x + y))")-1.48235</f>
        <v>-6.9200910102680258E-2</v>
      </c>
    </row>
    <row r="32" spans="1:21" x14ac:dyDescent="0.3">
      <c r="A32">
        <v>2</v>
      </c>
      <c r="B32" cm="1">
        <f t="array" ref="B32" xml:space="preserve"> mc(100, 0, 4, 1, 2, "x^2+y^2")-92/3</f>
        <v>2.916211329856413</v>
      </c>
      <c r="C32" cm="1">
        <f t="array" ref="C32" xml:space="preserve"> mc(500, 0, 4, 1, 2, "x^2+y^2")-92/3</f>
        <v>0.85006921140143632</v>
      </c>
      <c r="D32" cm="1">
        <f t="array" ref="D32" xml:space="preserve"> mc(1000, 0, 4, 1, 2, "x^2+y^2")-92/3</f>
        <v>7.3641815726176674E-2</v>
      </c>
      <c r="F32" cm="1">
        <f t="array" ref="F32" xml:space="preserve"> ( mc(100, 3, 4, -1, 1, "EXP(x * sin(y))") ) - 7.39981</f>
        <v>2.0580315671319696</v>
      </c>
      <c r="G32" cm="1">
        <f t="array" ref="G32" xml:space="preserve"> ( mc(500, 3, 4, -1, 1, "EXP(x * sin(y))") ) - 7.39981</f>
        <v>-9.3295967635048882E-2</v>
      </c>
      <c r="H32" cm="1">
        <f t="array" ref="H32" xml:space="preserve"> ( mc(1000, 3, 4, -1, 1, "EXP(x * sin(y))") ) - 7.39981</f>
        <v>-0.11210183292952536</v>
      </c>
      <c r="J32" cm="1">
        <f t="array" ref="J32" xml:space="preserve"> mc(100, -PI()/2,0,-1, 1, "ln(EXP(x * y))")</f>
        <v>-0.16112987423281352</v>
      </c>
      <c r="K32" cm="1">
        <f t="array" ref="K32" xml:space="preserve"> mc(500, -PI()/2,0,-1, 1, "ln(EXP(x * y))")</f>
        <v>7.3251302066548896E-2</v>
      </c>
      <c r="L32" cm="1">
        <f t="array" ref="L32" xml:space="preserve"> mc(1000, -PI()/2,0,-1, 1, "ln(EXP(x * y))")</f>
        <v>2.4419386499513709E-2</v>
      </c>
      <c r="N32" cm="1">
        <f t="array" ref="N32" xml:space="preserve"> mc(100, -PI()/2,PI()/2, 0, 1, "sin(cos(x + y))")-1.48235</f>
        <v>-0.14051736296402084</v>
      </c>
      <c r="O32" cm="1">
        <f t="array" ref="O32" xml:space="preserve"> mc(500, -PI()/2,PI()/2, 0, 1, "sin(cos(x + y))")-1.48235</f>
        <v>4.3378064418910567E-2</v>
      </c>
      <c r="P32" cm="1">
        <f t="array" ref="P32" xml:space="preserve"> mc(1000, -PI()/2,PI()/2, 0, 1, "sin(cos(x + y))")-1.48235</f>
        <v>8.5394885224487238E-2</v>
      </c>
    </row>
    <row r="33" spans="1:16" x14ac:dyDescent="0.3">
      <c r="A33">
        <v>3</v>
      </c>
      <c r="B33" cm="1">
        <f t="array" ref="B33" xml:space="preserve"> mc(100, 0, 4, 1, 2, "x^2+y^2")-92/3</f>
        <v>0.53857647445583723</v>
      </c>
      <c r="C33" cm="1">
        <f t="array" ref="C33" xml:space="preserve"> mc(500, 0, 4, 1, 2, "x^2+y^2")-92/3</f>
        <v>-0.68427389967010654</v>
      </c>
      <c r="D33" cm="1">
        <f t="array" ref="D33" xml:space="preserve"> mc(1000, 0, 4, 1, 2, "x^2+y^2")-92/3</f>
        <v>0.8346063915511408</v>
      </c>
      <c r="F33" cm="1">
        <f t="array" ref="F33" xml:space="preserve"> ( mc(100, 3, 4, -1, 1, "EXP(x * sin(y))") ) - 7.39981</f>
        <v>-0.37772076482328032</v>
      </c>
      <c r="G33" cm="1">
        <f t="array" ref="G33" xml:space="preserve"> ( mc(500, 3, 4, -1, 1, "EXP(x * sin(y))") ) - 7.39981</f>
        <v>-0.50507616062511929</v>
      </c>
      <c r="H33" cm="1">
        <f t="array" ref="H33" xml:space="preserve"> ( mc(1000, 3, 4, -1, 1, "EXP(x * sin(y))") ) - 7.39981</f>
        <v>0.36687978871984406</v>
      </c>
      <c r="J33" cm="1">
        <f t="array" ref="J33" xml:space="preserve"> mc(100, -PI()/2,0,-1, 1, "ln(EXP(x * y))")</f>
        <v>0.23278785568665628</v>
      </c>
      <c r="K33" cm="1">
        <f t="array" ref="K33" xml:space="preserve"> mc(500, -PI()/2,0,-1, 1, "ln(EXP(x * y))")</f>
        <v>1.7268574176800625E-2</v>
      </c>
      <c r="L33" cm="1">
        <f t="array" ref="L33" xml:space="preserve"> mc(1000, -PI()/2,0,-1, 1, "ln(EXP(x * y))")</f>
        <v>8.193059536357046E-2</v>
      </c>
      <c r="N33" cm="1">
        <f t="array" ref="N33" xml:space="preserve"> mc(100, -PI()/2,PI()/2, 0, 1, "sin(cos(x + y))")-1.48235</f>
        <v>0.1093444559110246</v>
      </c>
      <c r="O33" cm="1">
        <f t="array" ref="O33" xml:space="preserve"> mc(500, -PI()/2,PI()/2, 0, 1, "sin(cos(x + y))")-1.48235</f>
        <v>6.0130148028835428E-2</v>
      </c>
      <c r="P33" cm="1">
        <f t="array" ref="P33" xml:space="preserve"> mc(1000, -PI()/2,PI()/2, 0, 1, "sin(cos(x + y))")-1.48235</f>
        <v>5.0599432633052999E-2</v>
      </c>
    </row>
    <row r="34" spans="1:16" x14ac:dyDescent="0.3">
      <c r="A34">
        <v>4</v>
      </c>
      <c r="B34" cm="1">
        <f t="array" ref="B34" xml:space="preserve"> mc(100, 0, 4, 1, 2, "x^2+y^2")-92/3</f>
        <v>0.81974724189006665</v>
      </c>
      <c r="C34" cm="1">
        <f t="array" ref="C34" xml:space="preserve"> mc(500, 0, 4, 1, 2, "x^2+y^2")-92/3</f>
        <v>-0.5566299015553362</v>
      </c>
      <c r="D34" cm="1">
        <f t="array" ref="D34" xml:space="preserve"> mc(1000, 0, 4, 1, 2, "x^2+y^2")-92/3</f>
        <v>-0.97563709457815051</v>
      </c>
      <c r="F34" cm="1">
        <f t="array" ref="F34" xml:space="preserve"> ( mc(100, 3, 4, -1, 1, "EXP(x * sin(y))") ) - 7.39981</f>
        <v>-1.5573014326012373</v>
      </c>
      <c r="G34" cm="1">
        <f t="array" ref="G34" xml:space="preserve"> ( mc(500, 3, 4, -1, 1, "EXP(x * sin(y))") ) - 7.39981</f>
        <v>-0.60723152465055552</v>
      </c>
      <c r="H34" cm="1">
        <f t="array" ref="H34" xml:space="preserve"> ( mc(1000, 3, 4, -1, 1, "EXP(x * sin(y))") ) - 7.39981</f>
        <v>0.20410644536325684</v>
      </c>
      <c r="J34" cm="1">
        <f t="array" ref="J34" xml:space="preserve"> mc(100, -PI()/2,0,-1, 1, "ln(EXP(x * y))")</f>
        <v>-7.083437920661903E-2</v>
      </c>
      <c r="K34" cm="1">
        <f t="array" ref="K34" xml:space="preserve"> mc(500, -PI()/2,0,-1, 1, "ln(EXP(x * y))")</f>
        <v>-3.8932847379530448E-2</v>
      </c>
      <c r="L34" cm="1">
        <f t="array" ref="L34" xml:space="preserve"> mc(1000, -PI()/2,0,-1, 1, "ln(EXP(x * y))")</f>
        <v>-6.4872720066516038E-2</v>
      </c>
      <c r="N34" cm="1">
        <f t="array" ref="N34" xml:space="preserve"> mc(100, -PI()/2,PI()/2, 0, 1, "sin(cos(x + y))")-1.48235</f>
        <v>5.6465699070152642E-2</v>
      </c>
      <c r="O34" cm="1">
        <f t="array" ref="O34" xml:space="preserve"> mc(500, -PI()/2,PI()/2, 0, 1, "sin(cos(x + y))")-1.48235</f>
        <v>-1.1273691995298929E-2</v>
      </c>
      <c r="P34" cm="1">
        <f t="array" ref="P34" xml:space="preserve"> mc(1000, -PI()/2,PI()/2, 0, 1, "sin(cos(x + y))")-1.48235</f>
        <v>3.3085276316381362E-2</v>
      </c>
    </row>
    <row r="35" spans="1:16" x14ac:dyDescent="0.3">
      <c r="A35">
        <v>5</v>
      </c>
      <c r="B35" cm="1">
        <f t="array" ref="B35" xml:space="preserve"> mc(100, 0, 4, 1, 2, "x^2+y^2")-92/3</f>
        <v>-3.3616942178172842</v>
      </c>
      <c r="C35" cm="1">
        <f t="array" ref="C35" xml:space="preserve"> mc(500, 0, 4, 1, 2, "x^2+y^2")-92/3</f>
        <v>-0.70041884615032046</v>
      </c>
      <c r="D35" cm="1">
        <f t="array" ref="D35" xml:space="preserve"> mc(1000, 0, 4, 1, 2, "x^2+y^2")-92/3</f>
        <v>0.67382915560331114</v>
      </c>
      <c r="F35" cm="1">
        <f t="array" ref="F35" xml:space="preserve"> ( mc(100, 3, 4, -1, 1, "EXP(x * sin(y))") ) - 7.39981</f>
        <v>0.6384836988693241</v>
      </c>
      <c r="G35" cm="1">
        <f t="array" ref="G35" xml:space="preserve"> ( mc(500, 3, 4, -1, 1, "EXP(x * sin(y))") ) - 7.39981</f>
        <v>-0.48069566421374432</v>
      </c>
      <c r="H35" cm="1">
        <f t="array" ref="H35" xml:space="preserve"> ( mc(1000, 3, 4, -1, 1, "EXP(x * sin(y))") ) - 7.39981</f>
        <v>-0.24128175248350647</v>
      </c>
      <c r="J35" cm="1">
        <f t="array" ref="J35" xml:space="preserve"> mc(100, -PI()/2,0,-1, 1, "ln(EXP(x * y))")</f>
        <v>-0.16794643018483227</v>
      </c>
      <c r="K35" cm="1">
        <f t="array" ref="K35" xml:space="preserve"> mc(500, -PI()/2,0,-1, 1, "ln(EXP(x * y))")</f>
        <v>4.1102916780663808E-2</v>
      </c>
      <c r="L35" cm="1">
        <f t="array" ref="L35" xml:space="preserve"> mc(1000, -PI()/2,0,-1, 1, "ln(EXP(x * y))")</f>
        <v>2.2022913549818574E-2</v>
      </c>
      <c r="N35" cm="1">
        <f t="array" ref="N35" xml:space="preserve"> mc(100, -PI()/2,PI()/2, 0, 1, "sin(cos(x + y))")-1.48235</f>
        <v>-9.3129989216328646E-2</v>
      </c>
      <c r="O35" cm="1">
        <f t="array" ref="O35" xml:space="preserve"> mc(500, -PI()/2,PI()/2, 0, 1, "sin(cos(x + y))")-1.48235</f>
        <v>3.5641618259349972E-2</v>
      </c>
      <c r="P35" cm="1">
        <f t="array" ref="P35" xml:space="preserve"> mc(1000, -PI()/2,PI()/2, 0, 1, "sin(cos(x + y))")-1.48235</f>
        <v>-2.9165840496200746E-2</v>
      </c>
    </row>
    <row r="36" spans="1:16" x14ac:dyDescent="0.3">
      <c r="A36">
        <v>6</v>
      </c>
      <c r="B36" cm="1">
        <f t="array" ref="B36" xml:space="preserve"> mc(100, 0, 4, 1, 2, "x^2+y^2")-92/3</f>
        <v>2.5975947325820066</v>
      </c>
      <c r="C36" cm="1">
        <f t="array" ref="C36" xml:space="preserve"> mc(500, 0, 4, 1, 2, "x^2+y^2")-92/3</f>
        <v>0.7819694404908013</v>
      </c>
      <c r="D36" cm="1">
        <f t="array" ref="D36" xml:space="preserve"> mc(1000, 0, 4, 1, 2, "x^2+y^2")-92/3</f>
        <v>8.9161925225607064E-2</v>
      </c>
      <c r="F36" cm="1">
        <f t="array" ref="F36" xml:space="preserve"> ( mc(100, 3, 4, -1, 1, "EXP(x * sin(y))") ) - 7.39981</f>
        <v>-0.77113760126334974</v>
      </c>
      <c r="G36" cm="1">
        <f t="array" ref="G36" xml:space="preserve"> ( mc(500, 3, 4, -1, 1, "EXP(x * sin(y))") ) - 7.39981</f>
        <v>0.45689239836819606</v>
      </c>
      <c r="H36" cm="1">
        <f t="array" ref="H36" xml:space="preserve"> ( mc(1000, 3, 4, -1, 1, "EXP(x * sin(y))") ) - 7.39981</f>
        <v>0.32619523211972812</v>
      </c>
      <c r="J36" cm="1">
        <f t="array" ref="J36" xml:space="preserve"> mc(100, -PI()/2,0,-1, 1, "ln(EXP(x * y))")</f>
        <v>-3.6884770921541299E-2</v>
      </c>
      <c r="K36" cm="1">
        <f t="array" ref="K36" xml:space="preserve"> mc(500, -PI()/2,0,-1, 1, "ln(EXP(x * y))")</f>
        <v>-6.5085528479819577E-2</v>
      </c>
      <c r="L36" cm="1">
        <f t="array" ref="L36" xml:space="preserve"> mc(1000, -PI()/2,0,-1, 1, "ln(EXP(x * y))")</f>
        <v>9.3548763344286009E-2</v>
      </c>
      <c r="N36" cm="1">
        <f t="array" ref="N36" xml:space="preserve"> mc(100, -PI()/2,PI()/2, 0, 1, "sin(cos(x + y))")-1.48235</f>
        <v>-0.11287938314139168</v>
      </c>
      <c r="O36" cm="1">
        <f t="array" ref="O36" xml:space="preserve"> mc(500, -PI()/2,PI()/2, 0, 1, "sin(cos(x + y))")-1.48235</f>
        <v>7.1268100406500556E-2</v>
      </c>
      <c r="P36" cm="1">
        <f t="array" ref="P36" xml:space="preserve"> mc(1000, -PI()/2,PI()/2, 0, 1, "sin(cos(x + y))")-1.48235</f>
        <v>-3.3201235880786717E-2</v>
      </c>
    </row>
    <row r="37" spans="1:16" x14ac:dyDescent="0.3">
      <c r="A37">
        <v>7</v>
      </c>
      <c r="B37" cm="1">
        <f t="array" ref="B37" xml:space="preserve"> mc(100, 0, 4, 1, 2, "x^2+y^2")-92/3</f>
        <v>-0.63561659669668913</v>
      </c>
      <c r="C37" cm="1">
        <f t="array" ref="C37" xml:space="preserve"> mc(500, 0, 4, 1, 2, "x^2+y^2")-92/3</f>
        <v>-0.42198489832173536</v>
      </c>
      <c r="D37" cm="1">
        <f t="array" ref="D37" xml:space="preserve"> mc(1000, 0, 4, 1, 2, "x^2+y^2")-92/3</f>
        <v>-0.98038356709599483</v>
      </c>
      <c r="F37" cm="1">
        <f t="array" ref="F37" xml:space="preserve"> ( mc(100, 3, 4, -1, 1, "EXP(x * sin(y))") ) - 7.39981</f>
        <v>0.48351184136897807</v>
      </c>
      <c r="G37" cm="1">
        <f t="array" ref="G37" xml:space="preserve"> ( mc(500, 3, 4, -1, 1, "EXP(x * sin(y))") ) - 7.39981</f>
        <v>0.39886984357366906</v>
      </c>
      <c r="H37" cm="1">
        <f t="array" ref="H37" xml:space="preserve"> ( mc(1000, 3, 4, -1, 1, "EXP(x * sin(y))") ) - 7.39981</f>
        <v>5.7961140034917591E-2</v>
      </c>
      <c r="J37" cm="1">
        <f t="array" ref="J37" xml:space="preserve"> mc(100, -PI()/2,0,-1, 1, "ln(EXP(x * y))")</f>
        <v>4.5328203437949403E-2</v>
      </c>
      <c r="K37" cm="1">
        <f t="array" ref="K37" xml:space="preserve"> mc(500, -PI()/2,0,-1, 1, "ln(EXP(x * y))")</f>
        <v>3.4255429027361027E-2</v>
      </c>
      <c r="L37" cm="1">
        <f t="array" ref="L37" xml:space="preserve"> mc(1000, -PI()/2,0,-1, 1, "ln(EXP(x * y))")</f>
        <v>3.794808872991335E-2</v>
      </c>
      <c r="N37" cm="1">
        <f t="array" ref="N37" xml:space="preserve"> mc(100, -PI()/2,PI()/2, 0, 1, "sin(cos(x + y))")-1.48235</f>
        <v>9.1418014052600194E-2</v>
      </c>
      <c r="O37" cm="1">
        <f t="array" ref="O37" xml:space="preserve"> mc(500, -PI()/2,PI()/2, 0, 1, "sin(cos(x + y))")-1.48235</f>
        <v>-5.7537394593886404E-2</v>
      </c>
      <c r="P37" cm="1">
        <f t="array" ref="P37" xml:space="preserve"> mc(1000, -PI()/2,PI()/2, 0, 1, "sin(cos(x + y))")-1.48235</f>
        <v>-2.4244593524685554E-2</v>
      </c>
    </row>
    <row r="38" spans="1:16" x14ac:dyDescent="0.3">
      <c r="A38">
        <v>8</v>
      </c>
      <c r="B38" cm="1">
        <f t="array" ref="B38" xml:space="preserve"> mc(100, 0, 4, 1, 2, "x^2+y^2")-92/3</f>
        <v>0.8496932754679456</v>
      </c>
      <c r="C38" cm="1">
        <f t="array" ref="C38" xml:space="preserve"> mc(500, 0, 4, 1, 2, "x^2+y^2")-92/3</f>
        <v>-0.49957652763503191</v>
      </c>
      <c r="D38" cm="1">
        <f t="array" ref="D38" xml:space="preserve"> mc(1000, 0, 4, 1, 2, "x^2+y^2")-92/3</f>
        <v>-1.1204912458811194</v>
      </c>
      <c r="F38" cm="1">
        <f t="array" ref="F38" xml:space="preserve"> ( mc(100, 3, 4, -1, 1, "EXP(x * sin(y))") ) - 7.39981</f>
        <v>-0.81180757540509241</v>
      </c>
      <c r="G38" cm="1">
        <f t="array" ref="G38" xml:space="preserve"> ( mc(500, 3, 4, -1, 1, "EXP(x * sin(y))") ) - 7.39981</f>
        <v>-0.33504998109645623</v>
      </c>
      <c r="H38" cm="1">
        <f t="array" ref="H38" xml:space="preserve"> ( mc(1000, 3, 4, -1, 1, "EXP(x * sin(y))") ) - 7.39981</f>
        <v>-0.32384524748792742</v>
      </c>
      <c r="J38" cm="1">
        <f t="array" ref="J38" xml:space="preserve"> mc(100, -PI()/2,0,-1, 1, "ln(EXP(x * y))")</f>
        <v>4.097710330011127E-3</v>
      </c>
      <c r="K38" cm="1">
        <f t="array" ref="K38" xml:space="preserve"> mc(500, -PI()/2,0,-1, 1, "ln(EXP(x * y))")</f>
        <v>-6.8311020724616839E-2</v>
      </c>
      <c r="L38" cm="1">
        <f t="array" ref="L38" xml:space="preserve"> mc(1000, -PI()/2,0,-1, 1, "ln(EXP(x * y))")</f>
        <v>1.8353286033582772E-2</v>
      </c>
      <c r="N38" cm="1">
        <f t="array" ref="N38" xml:space="preserve"> mc(100, -PI()/2,PI()/2, 0, 1, "sin(cos(x + y))")-1.48235</f>
        <v>0.1282045795993989</v>
      </c>
      <c r="O38" cm="1">
        <f t="array" ref="O38" xml:space="preserve"> mc(500, -PI()/2,PI()/2, 0, 1, "sin(cos(x + y))")-1.48235</f>
        <v>-1.8510469722771372E-2</v>
      </c>
      <c r="P38" cm="1">
        <f t="array" ref="P38" xml:space="preserve"> mc(1000, -PI()/2,PI()/2, 0, 1, "sin(cos(x + y))")-1.48235</f>
        <v>3.2429477461979994E-2</v>
      </c>
    </row>
    <row r="39" spans="1:16" x14ac:dyDescent="0.3">
      <c r="A39">
        <v>9</v>
      </c>
      <c r="B39" cm="1">
        <f t="array" ref="B39" xml:space="preserve"> mc(100, 0, 4, 1, 2, "x^2+y^2")-92/3</f>
        <v>0.45272321455717091</v>
      </c>
      <c r="C39" cm="1">
        <f t="array" ref="C39" xml:space="preserve"> mc(500, 0, 4, 1, 2, "x^2+y^2")-92/3</f>
        <v>1.0279644473503993</v>
      </c>
      <c r="D39" cm="1">
        <f t="array" ref="D39" xml:space="preserve"> mc(1000, 0, 4, 1, 2, "x^2+y^2")-92/3</f>
        <v>-0.60248793310131887</v>
      </c>
      <c r="F39" cm="1">
        <f t="array" ref="F39" xml:space="preserve"> ( mc(100, 3, 4, -1, 1, "EXP(x * sin(y))") ) - 7.39981</f>
        <v>0.31586218749676309</v>
      </c>
      <c r="G39" cm="1">
        <f t="array" ref="G39" xml:space="preserve"> ( mc(500, 3, 4, -1, 1, "EXP(x * sin(y))") ) - 7.39981</f>
        <v>-0.41270026805974069</v>
      </c>
      <c r="H39" cm="1">
        <f t="array" ref="H39" xml:space="preserve"> ( mc(1000, 3, 4, -1, 1, "EXP(x * sin(y))") ) - 7.39981</f>
        <v>-0.25613736122161779</v>
      </c>
      <c r="J39" cm="1">
        <f t="array" ref="J39" xml:space="preserve"> mc(100, -PI()/2,0,-1, 1, "ln(EXP(x * y))")</f>
        <v>-9.8875401979240163E-2</v>
      </c>
      <c r="K39" cm="1">
        <f t="array" ref="K39" xml:space="preserve"> mc(500, -PI()/2,0,-1, 1, "ln(EXP(x * y))")</f>
        <v>-0.14259027335674412</v>
      </c>
      <c r="L39" cm="1">
        <f t="array" ref="L39" xml:space="preserve"> mc(1000, -PI()/2,0,-1, 1, "ln(EXP(x * y))")</f>
        <v>-7.0291471071188272E-2</v>
      </c>
      <c r="N39" cm="1">
        <f t="array" ref="N39" xml:space="preserve"> mc(100, -PI()/2,PI()/2, 0, 1, "sin(cos(x + y))")-1.48235</f>
        <v>-9.2763788289075499E-2</v>
      </c>
      <c r="O39" cm="1">
        <f t="array" ref="O39" xml:space="preserve"> mc(500, -PI()/2,PI()/2, 0, 1, "sin(cos(x + y))")-1.48235</f>
        <v>-6.132574001350144E-2</v>
      </c>
      <c r="P39" cm="1">
        <f t="array" ref="P39" xml:space="preserve"> mc(1000, -PI()/2,PI()/2, 0, 1, "sin(cos(x + y))")-1.48235</f>
        <v>3.996783342558774E-2</v>
      </c>
    </row>
    <row r="40" spans="1:16" x14ac:dyDescent="0.3">
      <c r="A40">
        <v>10</v>
      </c>
      <c r="B40" cm="1">
        <f t="array" ref="B40" xml:space="preserve"> mc(100, 0, 4, 1, 2, "x^2+y^2")-92/3</f>
        <v>3.7126894009148721</v>
      </c>
      <c r="C40" cm="1">
        <f t="array" ref="C40" xml:space="preserve"> mc(500, 0, 4, 1, 2, "x^2+y^2")-92/3</f>
        <v>-0.97456977348478091</v>
      </c>
      <c r="D40" cm="1">
        <f t="array" ref="D40" xml:space="preserve"> mc(1000, 0, 4, 1, 2, "x^2+y^2")-92/3</f>
        <v>-0.35295788058689581</v>
      </c>
      <c r="F40" cm="1">
        <f t="array" ref="F40" xml:space="preserve"> ( mc(100, 3, 4, -1, 1, "EXP(x * sin(y))") ) - 7.39981</f>
        <v>1.0736603791186567</v>
      </c>
      <c r="G40" cm="1">
        <f t="array" ref="G40" xml:space="preserve"> ( mc(500, 3, 4, -1, 1, "EXP(x * sin(y))") ) - 7.39981</f>
        <v>0.20770353386442597</v>
      </c>
      <c r="H40" cm="1">
        <f t="array" ref="H40" xml:space="preserve"> ( mc(1000, 3, 4, -1, 1, "EXP(x * sin(y))") ) - 7.39981</f>
        <v>3.7644633162640773E-2</v>
      </c>
      <c r="J40" cm="1">
        <f t="array" ref="J40" xml:space="preserve"> mc(100, -PI()/2,0,-1, 1, "ln(EXP(x * y))")</f>
        <v>0.26634201778197508</v>
      </c>
      <c r="K40" cm="1">
        <f t="array" ref="K40" xml:space="preserve"> mc(500, -PI()/2,0,-1, 1, "ln(EXP(x * y))")</f>
        <v>-0.10942453240789805</v>
      </c>
      <c r="L40" cm="1">
        <f t="array" ref="L40" xml:space="preserve"> mc(1000, -PI()/2,0,-1, 1, "ln(EXP(x * y))")</f>
        <v>4.69214199772722E-2</v>
      </c>
      <c r="N40" cm="1">
        <f t="array" ref="N40" xml:space="preserve"> mc(100, -PI()/2,PI()/2, 0, 1, "sin(cos(x + y))")-1.48235</f>
        <v>9.9147742401058725E-2</v>
      </c>
      <c r="O40" cm="1">
        <f t="array" ref="O40" xml:space="preserve"> mc(500, -PI()/2,PI()/2, 0, 1, "sin(cos(x + y))")-1.48235</f>
        <v>-0.10467344408669454</v>
      </c>
      <c r="P40" cm="1">
        <f t="array" ref="P40" xml:space="preserve"> mc(1000, -PI()/2,PI()/2, 0, 1, "sin(cos(x + y))")-1.48235</f>
        <v>2.5701488627821512E-2</v>
      </c>
    </row>
    <row r="41" spans="1:16" x14ac:dyDescent="0.3">
      <c r="A41">
        <v>11</v>
      </c>
      <c r="B41" cm="1">
        <f t="array" ref="B41" xml:space="preserve"> mc(100, 0, 4, 1, 2, "x^2+y^2")-92/3</f>
        <v>-0.40772251090025691</v>
      </c>
      <c r="C41" cm="1">
        <f t="array" ref="C41" xml:space="preserve"> mc(500, 0, 4, 1, 2, "x^2+y^2")-92/3</f>
        <v>1.0564213241994622</v>
      </c>
      <c r="D41" cm="1">
        <f t="array" ref="D41" xml:space="preserve"> mc(1000, 0, 4, 1, 2, "x^2+y^2")-92/3</f>
        <v>0.2192343548333433</v>
      </c>
      <c r="F41" cm="1">
        <f t="array" ref="F41" xml:space="preserve"> ( mc(100, 3, 4, -1, 1, "EXP(x * sin(y))") ) - 7.39981</f>
        <v>-1.7476203924528466</v>
      </c>
      <c r="G41" cm="1">
        <f t="array" ref="G41" xml:space="preserve"> ( mc(500, 3, 4, -1, 1, "EXP(x * sin(y))") ) - 7.39981</f>
        <v>0.65275804043148256</v>
      </c>
      <c r="H41" cm="1">
        <f t="array" ref="H41" xml:space="preserve"> ( mc(1000, 3, 4, -1, 1, "EXP(x * sin(y))") ) - 7.39981</f>
        <v>-0.17683580108793429</v>
      </c>
      <c r="J41" cm="1">
        <f t="array" ref="J41" xml:space="preserve"> mc(100, -PI()/2,0,-1, 1, "ln(EXP(x * y))")</f>
        <v>-0.26640297408535796</v>
      </c>
      <c r="K41" cm="1">
        <f t="array" ref="K41" xml:space="preserve"> mc(500, -PI()/2,0,-1, 1, "ln(EXP(x * y))")</f>
        <v>4.2675512737659488E-3</v>
      </c>
      <c r="L41" cm="1">
        <f t="array" ref="L41" xml:space="preserve"> mc(1000, -PI()/2,0,-1, 1, "ln(EXP(x * y))")</f>
        <v>-7.0967651477367957E-2</v>
      </c>
      <c r="N41" cm="1">
        <f t="array" ref="N41" xml:space="preserve"> mc(100, -PI()/2,PI()/2, 0, 1, "sin(cos(x + y))")-1.48235</f>
        <v>-0.1403386437163614</v>
      </c>
      <c r="O41" cm="1">
        <f t="array" ref="O41" xml:space="preserve"> mc(500, -PI()/2,PI()/2, 0, 1, "sin(cos(x + y))")-1.48235</f>
        <v>-3.2668885935747793E-2</v>
      </c>
      <c r="P41" cm="1">
        <f t="array" ref="P41" xml:space="preserve"> mc(1000, -PI()/2,PI()/2, 0, 1, "sin(cos(x + y))")-1.48235</f>
        <v>-2.1032279176939284E-2</v>
      </c>
    </row>
    <row r="42" spans="1:16" x14ac:dyDescent="0.3">
      <c r="A42">
        <v>12</v>
      </c>
      <c r="B42" cm="1">
        <f t="array" ref="B42" xml:space="preserve"> mc(100, 0, 4, 1, 2, "x^2+y^2")-92/3</f>
        <v>0.67523086994365755</v>
      </c>
      <c r="C42" cm="1">
        <f t="array" ref="C42" xml:space="preserve"> mc(500, 0, 4, 1, 2, "x^2+y^2")-92/3</f>
        <v>1.5412846632547961</v>
      </c>
      <c r="D42" cm="1">
        <f t="array" ref="D42" xml:space="preserve"> mc(1000, 0, 4, 1, 2, "x^2+y^2")-92/3</f>
        <v>0.23335756418474318</v>
      </c>
      <c r="F42" cm="1">
        <f t="array" ref="F42" xml:space="preserve"> ( mc(100, 3, 4, -1, 1, "EXP(x * sin(y))") ) - 7.39981</f>
        <v>-1.3831623171339267</v>
      </c>
      <c r="G42" cm="1">
        <f t="array" ref="G42" xml:space="preserve"> ( mc(500, 3, 4, -1, 1, "EXP(x * sin(y))") ) - 7.39981</f>
        <v>-0.5259486234609998</v>
      </c>
      <c r="H42" cm="1">
        <f t="array" ref="H42" xml:space="preserve"> ( mc(1000, 3, 4, -1, 1, "EXP(x * sin(y))") ) - 7.39981</f>
        <v>0.48234893153696756</v>
      </c>
      <c r="J42" cm="1">
        <f t="array" ref="J42" xml:space="preserve"> mc(100, -PI()/2,0,-1, 1, "ln(EXP(x * y))")</f>
        <v>-0.15455310306293293</v>
      </c>
      <c r="K42" cm="1">
        <f t="array" ref="K42" xml:space="preserve"> mc(500, -PI()/2,0,-1, 1, "ln(EXP(x * y))")</f>
        <v>0.1258487718088436</v>
      </c>
      <c r="L42" cm="1">
        <f t="array" ref="L42" xml:space="preserve"> mc(1000, -PI()/2,0,-1, 1, "ln(EXP(x * y))")</f>
        <v>-1.1870133428699884E-2</v>
      </c>
      <c r="N42" cm="1">
        <f t="array" ref="N42" xml:space="preserve"> mc(100, -PI()/2,PI()/2, 0, 1, "sin(cos(x + y))")-1.48235</f>
        <v>0.29780169273877499</v>
      </c>
      <c r="O42" cm="1">
        <f t="array" ref="O42" xml:space="preserve"> mc(500, -PI()/2,PI()/2, 0, 1, "sin(cos(x + y))")-1.48235</f>
        <v>-6.6156815328190177E-2</v>
      </c>
      <c r="P42" cm="1">
        <f t="array" ref="P42" xml:space="preserve"> mc(1000, -PI()/2,PI()/2, 0, 1, "sin(cos(x + y))")-1.48235</f>
        <v>3.6382939057946206E-3</v>
      </c>
    </row>
    <row r="43" spans="1:16" x14ac:dyDescent="0.3">
      <c r="A43">
        <v>13</v>
      </c>
      <c r="B43" cm="1">
        <f t="array" ref="B43" xml:space="preserve"> mc(100, 0, 4, 1, 2, "x^2+y^2")-92/3</f>
        <v>-1.5298372917794332</v>
      </c>
      <c r="C43" cm="1">
        <f t="array" ref="C43" xml:space="preserve"> mc(500, 0, 4, 1, 2, "x^2+y^2")-92/3</f>
        <v>-0.80300533269030794</v>
      </c>
      <c r="D43" cm="1">
        <f t="array" ref="D43" xml:space="preserve"> mc(1000, 0, 4, 1, 2, "x^2+y^2")-92/3</f>
        <v>0.67465944184499449</v>
      </c>
      <c r="F43" cm="1">
        <f t="array" ref="F43" xml:space="preserve"> ( mc(100, 3, 4, -1, 1, "EXP(x * sin(y))") ) - 7.39981</f>
        <v>-1.8044667445050466</v>
      </c>
      <c r="G43" cm="1">
        <f t="array" ref="G43" xml:space="preserve"> ( mc(500, 3, 4, -1, 1, "EXP(x * sin(y))") ) - 7.39981</f>
        <v>-0.47312039026503516</v>
      </c>
      <c r="H43" cm="1">
        <f t="array" ref="H43" xml:space="preserve"> ( mc(1000, 3, 4, -1, 1, "EXP(x * sin(y))") ) - 7.39981</f>
        <v>0.4654544354181489</v>
      </c>
      <c r="J43" cm="1">
        <f t="array" ref="J43" xml:space="preserve"> mc(100, -PI()/2,0,-1, 1, "ln(EXP(x * y))")</f>
        <v>7.6299935173791592E-2</v>
      </c>
      <c r="K43" cm="1">
        <f t="array" ref="K43" xml:space="preserve"> mc(500, -PI()/2,0,-1, 1, "ln(EXP(x * y))")</f>
        <v>0.1017326851809567</v>
      </c>
      <c r="L43" cm="1">
        <f t="array" ref="L43" xml:space="preserve"> mc(1000, -PI()/2,0,-1, 1, "ln(EXP(x * y))")</f>
        <v>4.2454304449675212E-2</v>
      </c>
      <c r="N43" cm="1">
        <f t="array" ref="N43" xml:space="preserve"> mc(100, -PI()/2,PI()/2, 0, 1, "sin(cos(x + y))")-1.48235</f>
        <v>0.13603118151657201</v>
      </c>
      <c r="O43" cm="1">
        <f t="array" ref="O43" xml:space="preserve"> mc(500, -PI()/2,PI()/2, 0, 1, "sin(cos(x + y))")-1.48235</f>
        <v>2.3563970913233367E-2</v>
      </c>
      <c r="P43" cm="1">
        <f t="array" ref="P43" xml:space="preserve"> mc(1000, -PI()/2,PI()/2, 0, 1, "sin(cos(x + y))")-1.48235</f>
        <v>5.4786723663724501E-3</v>
      </c>
    </row>
    <row r="44" spans="1:16" x14ac:dyDescent="0.3">
      <c r="A44">
        <v>14</v>
      </c>
      <c r="B44" cm="1">
        <f t="array" ref="B44" xml:space="preserve"> mc(100, 0, 4, 1, 2, "x^2+y^2")-92/3</f>
        <v>1.1546142720372998</v>
      </c>
      <c r="C44" cm="1">
        <f t="array" ref="C44" xml:space="preserve"> mc(500, 0, 4, 1, 2, "x^2+y^2")-92/3</f>
        <v>-1.2098742418417245</v>
      </c>
      <c r="D44" cm="1">
        <f t="array" ref="D44" xml:space="preserve"> mc(1000, 0, 4, 1, 2, "x^2+y^2")-92/3</f>
        <v>0.5285885555210541</v>
      </c>
      <c r="F44" cm="1">
        <f t="array" ref="F44" xml:space="preserve"> ( mc(100, 3, 4, -1, 1, "EXP(x * sin(y))") ) - 7.39981</f>
        <v>0.30058267693421303</v>
      </c>
      <c r="G44" cm="1">
        <f t="array" ref="G44" xml:space="preserve"> ( mc(500, 3, 4, -1, 1, "EXP(x * sin(y))") ) - 7.39981</f>
        <v>-0.33621725973496019</v>
      </c>
      <c r="H44" cm="1">
        <f t="array" ref="H44" xml:space="preserve"> ( mc(1000, 3, 4, -1, 1, "EXP(x * sin(y))") ) - 7.39981</f>
        <v>0.29394996675170049</v>
      </c>
      <c r="J44" cm="1">
        <f t="array" ref="J44" xml:space="preserve"> mc(100, -PI()/2,0,-1, 1, "ln(EXP(x * y))")</f>
        <v>0.10263631261786675</v>
      </c>
      <c r="K44" cm="1">
        <f t="array" ref="K44" xml:space="preserve"> mc(500, -PI()/2,0,-1, 1, "ln(EXP(x * y))")</f>
        <v>3.0247315048686153E-2</v>
      </c>
      <c r="L44" cm="1">
        <f t="array" ref="L44" xml:space="preserve"> mc(1000, -PI()/2,0,-1, 1, "ln(EXP(x * y))")</f>
        <v>-4.5440092378791243E-2</v>
      </c>
      <c r="N44" cm="1">
        <f t="array" ref="N44" xml:space="preserve"> mc(100, -PI()/2,PI()/2, 0, 1, "sin(cos(x + y))")-1.48235</f>
        <v>-0.21041479599615265</v>
      </c>
      <c r="O44" cm="1">
        <f t="array" ref="O44" xml:space="preserve"> mc(500, -PI()/2,PI()/2, 0, 1, "sin(cos(x + y))")-1.48235</f>
        <v>6.9076239074063128E-2</v>
      </c>
      <c r="P44" cm="1">
        <f t="array" ref="P44" xml:space="preserve"> mc(1000, -PI()/2,PI()/2, 0, 1, "sin(cos(x + y))")-1.48235</f>
        <v>5.9212006211749157E-2</v>
      </c>
    </row>
    <row r="45" spans="1:16" x14ac:dyDescent="0.3">
      <c r="A45">
        <v>15</v>
      </c>
      <c r="B45" cm="1">
        <f t="array" ref="B45" xml:space="preserve"> mc(100, 0, 4, 1, 2, "x^2+y^2")-92/3</f>
        <v>-2.8635321067921211</v>
      </c>
      <c r="C45" cm="1">
        <f t="array" ref="C45" xml:space="preserve"> mc(500, 0, 4, 1, 2, "x^2+y^2")-92/3</f>
        <v>0.63341985875825912</v>
      </c>
      <c r="D45" cm="1">
        <f t="array" ref="D45" xml:space="preserve"> mc(1000, 0, 4, 1, 2, "x^2+y^2")-92/3</f>
        <v>-1.2993621186850568</v>
      </c>
      <c r="F45" cm="1">
        <f t="array" ref="F45" xml:space="preserve"> ( mc(100, 3, 4, -1, 1, "EXP(x * sin(y))") ) - 7.39981</f>
        <v>-1.9669026194315435</v>
      </c>
      <c r="G45" cm="1">
        <f t="array" ref="G45" xml:space="preserve"> ( mc(500, 3, 4, -1, 1, "EXP(x * sin(y))") ) - 7.39981</f>
        <v>2.9352802962897329E-2</v>
      </c>
      <c r="H45" cm="1">
        <f t="array" ref="H45" xml:space="preserve"> ( mc(1000, 3, 4, -1, 1, "EXP(x * sin(y))") ) - 7.39981</f>
        <v>0.34676585801300153</v>
      </c>
      <c r="J45" cm="1">
        <f t="array" ref="J45" xml:space="preserve"> mc(100, -PI()/2,0,-1, 1, "ln(EXP(x * y))")</f>
        <v>-0.23044815752181547</v>
      </c>
      <c r="K45" cm="1">
        <f t="array" ref="K45" xml:space="preserve"> mc(500, -PI()/2,0,-1, 1, "ln(EXP(x * y))")</f>
        <v>1.7739491416965073E-2</v>
      </c>
      <c r="L45" cm="1">
        <f t="array" ref="L45" xml:space="preserve"> mc(1000, -PI()/2,0,-1, 1, "ln(EXP(x * y))")</f>
        <v>-5.3927230166578841E-2</v>
      </c>
      <c r="N45" cm="1">
        <f t="array" ref="N45" xml:space="preserve"> mc(100, -PI()/2,PI()/2, 0, 1, "sin(cos(x + y))")-1.48235</f>
        <v>9.7285440835725545E-2</v>
      </c>
      <c r="O45" cm="1">
        <f t="array" ref="O45" xml:space="preserve"> mc(500, -PI()/2,PI()/2, 0, 1, "sin(cos(x + y))")-1.48235</f>
        <v>-2.7172888664686257E-2</v>
      </c>
      <c r="P45" cm="1">
        <f t="array" ref="P45" xml:space="preserve"> mc(1000, -PI()/2,PI()/2, 0, 1, "sin(cos(x + y))")-1.48235</f>
        <v>-1.1374681255730268E-2</v>
      </c>
    </row>
    <row r="46" spans="1:16" x14ac:dyDescent="0.3">
      <c r="A46">
        <v>16</v>
      </c>
      <c r="B46" cm="1">
        <f t="array" ref="B46" xml:space="preserve"> mc(100, 0, 4, 1, 2, "x^2+y^2")-92/3</f>
        <v>-0.70273055878756807</v>
      </c>
      <c r="C46" cm="1">
        <f t="array" ref="C46" xml:space="preserve"> mc(500, 0, 4, 1, 2, "x^2+y^2")-92/3</f>
        <v>1.1864230526188919</v>
      </c>
      <c r="D46" cm="1">
        <f t="array" ref="D46" xml:space="preserve"> mc(1000, 0, 4, 1, 2, "x^2+y^2")-92/3</f>
        <v>1.6934719599333441</v>
      </c>
      <c r="F46" cm="1">
        <f t="array" ref="F46" xml:space="preserve"> ( mc(100, 3, 4, -1, 1, "EXP(x * sin(y))") ) - 7.39981</f>
        <v>0.74256856964444218</v>
      </c>
      <c r="G46" cm="1">
        <f t="array" ref="G46" xml:space="preserve"> ( mc(500, 3, 4, -1, 1, "EXP(x * sin(y))") ) - 7.39981</f>
        <v>0.39540968434678625</v>
      </c>
      <c r="H46" cm="1">
        <f t="array" ref="H46" xml:space="preserve"> ( mc(1000, 3, 4, -1, 1, "EXP(x * sin(y))") ) - 7.39981</f>
        <v>-0.36992115508624313</v>
      </c>
      <c r="J46" cm="1">
        <f t="array" ref="J46" xml:space="preserve"> mc(100, -PI()/2,0,-1, 1, "ln(EXP(x * y))")</f>
        <v>9.8365890559628327E-2</v>
      </c>
      <c r="K46" cm="1">
        <f t="array" ref="K46" xml:space="preserve"> mc(500, -PI()/2,0,-1, 1, "ln(EXP(x * y))")</f>
        <v>-6.3296920347041097E-2</v>
      </c>
      <c r="L46" cm="1">
        <f t="array" ref="L46" xml:space="preserve"> mc(1000, -PI()/2,0,-1, 1, "ln(EXP(x * y))")</f>
        <v>2.4840530022568148E-2</v>
      </c>
      <c r="N46" cm="1">
        <f t="array" ref="N46" xml:space="preserve"> mc(100, -PI()/2,PI()/2, 0, 1, "sin(cos(x + y))")-1.48235</f>
        <v>-0.22111482723465214</v>
      </c>
      <c r="O46" cm="1">
        <f t="array" ref="O46" xml:space="preserve"> mc(500, -PI()/2,PI()/2, 0, 1, "sin(cos(x + y))")-1.48235</f>
        <v>2.5553982250519747E-2</v>
      </c>
      <c r="P46" cm="1">
        <f t="array" ref="P46" xml:space="preserve"> mc(1000, -PI()/2,PI()/2, 0, 1, "sin(cos(x + y))")-1.48235</f>
        <v>-1.9867414680943218E-2</v>
      </c>
    </row>
    <row r="47" spans="1:16" x14ac:dyDescent="0.3">
      <c r="A47">
        <v>17</v>
      </c>
      <c r="B47" cm="1">
        <f t="array" ref="B47" xml:space="preserve"> mc(100, 0, 4, 1, 2, "x^2+y^2")-92/3</f>
        <v>-2.665780796410175</v>
      </c>
      <c r="C47" cm="1">
        <f t="array" ref="C47" xml:space="preserve"> mc(500, 0, 4, 1, 2, "x^2+y^2")-92/3</f>
        <v>1.6565663422205184</v>
      </c>
      <c r="D47" cm="1">
        <f t="array" ref="D47" xml:space="preserve"> mc(1000, 0, 4, 1, 2, "x^2+y^2")-92/3</f>
        <v>-0.9548397909060462</v>
      </c>
      <c r="F47" cm="1">
        <f t="array" ref="F47" xml:space="preserve"> ( mc(100, 3, 4, -1, 1, "EXP(x * sin(y))") ) - 7.39981</f>
        <v>-1.1365004798582872</v>
      </c>
      <c r="G47" cm="1">
        <f t="array" ref="G47" xml:space="preserve"> ( mc(500, 3, 4, -1, 1, "EXP(x * sin(y))") ) - 7.39981</f>
        <v>0.21261868859850708</v>
      </c>
      <c r="H47" cm="1">
        <f t="array" ref="H47" xml:space="preserve"> ( mc(1000, 3, 4, -1, 1, "EXP(x * sin(y))") ) - 7.39981</f>
        <v>-0.23216078206214608</v>
      </c>
      <c r="J47" cm="1">
        <f t="array" ref="J47" xml:space="preserve"> mc(100, -PI()/2,0,-1, 1, "ln(EXP(x * y))")</f>
        <v>-3.8975857077717835E-2</v>
      </c>
      <c r="K47" cm="1">
        <f t="array" ref="K47" xml:space="preserve"> mc(500, -PI()/2,0,-1, 1, "ln(EXP(x * y))")</f>
        <v>8.7521421027556293E-2</v>
      </c>
      <c r="L47" cm="1">
        <f t="array" ref="L47" xml:space="preserve"> mc(1000, -PI()/2,0,-1, 1, "ln(EXP(x * y))")</f>
        <v>-4.3666203825225215E-2</v>
      </c>
      <c r="N47" cm="1">
        <f t="array" ref="N47" xml:space="preserve"> mc(100, -PI()/2,PI()/2, 0, 1, "sin(cos(x + y))")-1.48235</f>
        <v>7.0948378565582892E-2</v>
      </c>
      <c r="O47" cm="1">
        <f t="array" ref="O47" xml:space="preserve"> mc(500, -PI()/2,PI()/2, 0, 1, "sin(cos(x + y))")-1.48235</f>
        <v>3.0982695179615272E-2</v>
      </c>
      <c r="P47" cm="1">
        <f t="array" ref="P47" xml:space="preserve"> mc(1000, -PI()/2,PI()/2, 0, 1, "sin(cos(x + y))")-1.48235</f>
        <v>-2.4942782730999591E-2</v>
      </c>
    </row>
    <row r="48" spans="1:16" x14ac:dyDescent="0.3">
      <c r="A48">
        <v>18</v>
      </c>
      <c r="B48" cm="1">
        <f t="array" ref="B48" xml:space="preserve"> mc(100, 0, 4, 1, 2, "x^2+y^2")-92/3</f>
        <v>-1.2899821503264022</v>
      </c>
      <c r="C48" cm="1">
        <f t="array" ref="C48" xml:space="preserve"> mc(500, 0, 4, 1, 2, "x^2+y^2")-92/3</f>
        <v>0.70151746606696719</v>
      </c>
      <c r="D48" cm="1">
        <f t="array" ref="D48" xml:space="preserve"> mc(1000, 0, 4, 1, 2, "x^2+y^2")-92/3</f>
        <v>0.30975653871370312</v>
      </c>
      <c r="F48" cm="1">
        <f t="array" ref="F48" xml:space="preserve"> ( mc(100, 3, 4, -1, 1, "EXP(x * sin(y))") ) - 7.39981</f>
        <v>1.8203318225210516</v>
      </c>
      <c r="G48" cm="1">
        <f t="array" ref="G48" xml:space="preserve"> ( mc(500, 3, 4, -1, 1, "EXP(x * sin(y))") ) - 7.39981</f>
        <v>-0.24340852129434865</v>
      </c>
      <c r="H48" cm="1">
        <f t="array" ref="H48" xml:space="preserve"> ( mc(1000, 3, 4, -1, 1, "EXP(x * sin(y))") ) - 7.39981</f>
        <v>0.64213968025813983</v>
      </c>
      <c r="J48" cm="1">
        <f t="array" ref="J48" xml:space="preserve"> mc(100, -PI()/2,0,-1, 1, "ln(EXP(x * y))")</f>
        <v>-0.22565307381611424</v>
      </c>
      <c r="K48" cm="1">
        <f t="array" ref="K48" xml:space="preserve"> mc(500, -PI()/2,0,-1, 1, "ln(EXP(x * y))")</f>
        <v>0.1035285463305549</v>
      </c>
      <c r="L48" cm="1">
        <f t="array" ref="L48" xml:space="preserve"> mc(1000, -PI()/2,0,-1, 1, "ln(EXP(x * y))")</f>
        <v>-2.6664845514741631E-2</v>
      </c>
      <c r="N48" cm="1">
        <f t="array" ref="N48" xml:space="preserve"> mc(100, -PI()/2,PI()/2, 0, 1, "sin(cos(x + y))")-1.48235</f>
        <v>-0.16519293993993722</v>
      </c>
      <c r="O48" cm="1">
        <f t="array" ref="O48" xml:space="preserve"> mc(500, -PI()/2,PI()/2, 0, 1, "sin(cos(x + y))")-1.48235</f>
        <v>-9.5541230667716803E-2</v>
      </c>
      <c r="P48" cm="1">
        <f t="array" ref="P48" xml:space="preserve"> mc(1000, -PI()/2,PI()/2, 0, 1, "sin(cos(x + y))")-1.48235</f>
        <v>-1.6447417698323807E-2</v>
      </c>
    </row>
    <row r="49" spans="1:16" x14ac:dyDescent="0.3">
      <c r="A49">
        <v>19</v>
      </c>
      <c r="B49" cm="1">
        <f t="array" ref="B49" xml:space="preserve"> mc(100, 0, 4, 1, 2, "x^2+y^2")-92/3</f>
        <v>-1.1792575241881664</v>
      </c>
      <c r="C49" cm="1">
        <f t="array" ref="C49" xml:space="preserve"> mc(500, 0, 4, 1, 2, "x^2+y^2")-92/3</f>
        <v>3.56786093382091E-2</v>
      </c>
      <c r="D49" cm="1">
        <f t="array" ref="D49" xml:space="preserve"> mc(1000, 0, 4, 1, 2, "x^2+y^2")-92/3</f>
        <v>0.62734422967275805</v>
      </c>
      <c r="F49" cm="1">
        <f t="array" ref="F49" xml:space="preserve"> ( mc(100, 3, 4, -1, 1, "EXP(x * sin(y))") ) - 7.39981</f>
        <v>0.55999925019763541</v>
      </c>
      <c r="G49" cm="1">
        <f t="array" ref="G49" xml:space="preserve"> ( mc(500, 3, 4, -1, 1, "EXP(x * sin(y))") ) - 7.39981</f>
        <v>-0.21195019186015251</v>
      </c>
      <c r="H49" cm="1">
        <f t="array" ref="H49" xml:space="preserve"> ( mc(1000, 3, 4, -1, 1, "EXP(x * sin(y))") ) - 7.39981</f>
        <v>0.35936548864817119</v>
      </c>
      <c r="J49" cm="1">
        <f t="array" ref="J49" xml:space="preserve"> mc(100, -PI()/2,0,-1, 1, "ln(EXP(x * y))")</f>
        <v>-0.10564560103265233</v>
      </c>
      <c r="K49" cm="1">
        <f t="array" ref="K49" xml:space="preserve"> mc(500, -PI()/2,0,-1, 1, "ln(EXP(x * y))")</f>
        <v>1.0791768767808527E-2</v>
      </c>
      <c r="L49" cm="1">
        <f t="array" ref="L49" xml:space="preserve"> mc(1000, -PI()/2,0,-1, 1, "ln(EXP(x * y))")</f>
        <v>0.12201742076372107</v>
      </c>
      <c r="N49" cm="1">
        <f t="array" ref="N49" xml:space="preserve"> mc(100, -PI()/2,PI()/2, 0, 1, "sin(cos(x + y))")-1.48235</f>
        <v>5.8391057021462078E-2</v>
      </c>
      <c r="O49" cm="1">
        <f t="array" ref="O49" xml:space="preserve"> mc(500, -PI()/2,PI()/2, 0, 1, "sin(cos(x + y))")-1.48235</f>
        <v>-0.12108699854050653</v>
      </c>
      <c r="P49" cm="1">
        <f t="array" ref="P49" xml:space="preserve"> mc(1000, -PI()/2,PI()/2, 0, 1, "sin(cos(x + y))")-1.48235</f>
        <v>4.3729247311338648E-2</v>
      </c>
    </row>
    <row r="50" spans="1:16" x14ac:dyDescent="0.3">
      <c r="A50">
        <v>20</v>
      </c>
      <c r="B50" cm="1">
        <f t="array" ref="B50" xml:space="preserve"> mc(100, 0, 4, 1, 2, "x^2+y^2")-92/3</f>
        <v>-0.80786067176545373</v>
      </c>
      <c r="C50" cm="1">
        <f t="array" ref="C50" xml:space="preserve"> mc(500, 0, 4, 1, 2, "x^2+y^2")-92/3</f>
        <v>-0.60269304557344938</v>
      </c>
      <c r="D50" cm="1">
        <f t="array" ref="D50" xml:space="preserve"> mc(1000, 0, 4, 1, 2, "x^2+y^2")-92/3</f>
        <v>1.0138043084247954</v>
      </c>
      <c r="F50" cm="1">
        <f t="array" ref="F50" xml:space="preserve"> ( mc(100, 3, 4, -1, 1, "EXP(x * sin(y))") ) - 7.39981</f>
        <v>-1.2413210612417576</v>
      </c>
      <c r="G50" cm="1">
        <f t="array" ref="G50" xml:space="preserve"> ( mc(500, 3, 4, -1, 1, "EXP(x * sin(y))") ) - 7.39981</f>
        <v>0.13340252395061913</v>
      </c>
      <c r="H50" cm="1">
        <f t="array" ref="H50" xml:space="preserve"> ( mc(1000, 3, 4, -1, 1, "EXP(x * sin(y))") ) - 7.39981</f>
        <v>7.2522273308715413E-2</v>
      </c>
      <c r="J50" cm="1">
        <f t="array" ref="J50" xml:space="preserve"> mc(100, -PI()/2,0,-1, 1, "ln(EXP(x * y))")</f>
        <v>1.5958804553672382E-2</v>
      </c>
      <c r="K50" cm="1">
        <f t="array" ref="K50" xml:space="preserve"> mc(500, -PI()/2,0,-1, 1, "ln(EXP(x * y))")</f>
        <v>-5.2911473840019783E-2</v>
      </c>
      <c r="L50" cm="1">
        <f t="array" ref="L50" xml:space="preserve"> mc(1000, -PI()/2,0,-1, 1, "ln(EXP(x * y))")</f>
        <v>-5.4688724000275801E-2</v>
      </c>
      <c r="N50" cm="1">
        <f t="array" ref="N50" xml:space="preserve"> mc(100, -PI()/2,PI()/2, 0, 1, "sin(cos(x + y))")-1.48235</f>
        <v>-7.0292077890738769E-2</v>
      </c>
      <c r="O50" cm="1">
        <f t="array" ref="O50" xml:space="preserve"> mc(500, -PI()/2,PI()/2, 0, 1, "sin(cos(x + y))")-1.48235</f>
        <v>5.8655582335864764E-2</v>
      </c>
      <c r="P50" cm="1">
        <f t="array" ref="P50" xml:space="preserve"> mc(1000, -PI()/2,PI()/2, 0, 1, "sin(cos(x + y))")-1.48235</f>
        <v>-8.5256326519204118E-2</v>
      </c>
    </row>
    <row r="51" spans="1:16" x14ac:dyDescent="0.3">
      <c r="A51">
        <v>21</v>
      </c>
      <c r="B51" cm="1">
        <f t="array" ref="B51" xml:space="preserve"> mc(100, 0, 4, 1, 2, "x^2+y^2")-92/3</f>
        <v>0.6127789789993372</v>
      </c>
      <c r="C51" cm="1">
        <f t="array" ref="C51" xml:space="preserve"> mc(500, 0, 4, 1, 2, "x^2+y^2")-92/3</f>
        <v>0.93317178815745905</v>
      </c>
      <c r="D51" cm="1">
        <f t="array" ref="D51" xml:space="preserve"> mc(1000, 0, 4, 1, 2, "x^2+y^2")-92/3</f>
        <v>-0.31273805219696627</v>
      </c>
      <c r="F51" cm="1">
        <f t="array" ref="F51" xml:space="preserve"> ( mc(100, 3, 4, -1, 1, "EXP(x * sin(y))") ) - 7.39981</f>
        <v>-0.70215027681059627</v>
      </c>
      <c r="G51" cm="1">
        <f t="array" ref="G51" xml:space="preserve"> ( mc(500, 3, 4, -1, 1, "EXP(x * sin(y))") ) - 7.39981</f>
        <v>0.49191980044638228</v>
      </c>
      <c r="H51" cm="1">
        <f t="array" ref="H51" xml:space="preserve"> ( mc(1000, 3, 4, -1, 1, "EXP(x * sin(y))") ) - 7.39981</f>
        <v>0.24995594802672905</v>
      </c>
      <c r="J51" cm="1">
        <f t="array" ref="J51" xml:space="preserve"> mc(100, -PI()/2,0,-1, 1, "ln(EXP(x * y))")</f>
        <v>-0.25852100061065636</v>
      </c>
      <c r="K51" cm="1">
        <f t="array" ref="K51" xml:space="preserve"> mc(500, -PI()/2,0,-1, 1, "ln(EXP(x * y))")</f>
        <v>8.8774755322016622E-3</v>
      </c>
      <c r="L51" cm="1">
        <f t="array" ref="L51" xml:space="preserve"> mc(1000, -PI()/2,0,-1, 1, "ln(EXP(x * y))")</f>
        <v>4.4794176218625581E-2</v>
      </c>
      <c r="N51" cm="1">
        <f t="array" ref="N51" xml:space="preserve"> mc(100, -PI()/2,PI()/2, 0, 1, "sin(cos(x + y))")-1.48235</f>
        <v>8.3034441064990805E-2</v>
      </c>
      <c r="O51" cm="1">
        <f t="array" ref="O51" xml:space="preserve"> mc(500, -PI()/2,PI()/2, 0, 1, "sin(cos(x + y))")-1.48235</f>
        <v>-7.0597405338279184E-2</v>
      </c>
      <c r="P51" cm="1">
        <f t="array" ref="P51" xml:space="preserve"> mc(1000, -PI()/2,PI()/2, 0, 1, "sin(cos(x + y))")-1.48235</f>
        <v>-1.0167589858045556E-3</v>
      </c>
    </row>
    <row r="52" spans="1:16" x14ac:dyDescent="0.3">
      <c r="A52">
        <v>22</v>
      </c>
      <c r="B52" cm="1">
        <f t="array" ref="B52" xml:space="preserve"> mc(100, 0, 4, 1, 2, "x^2+y^2")-92/3</f>
        <v>-2.2867253520106701</v>
      </c>
      <c r="C52" cm="1">
        <f t="array" ref="C52" xml:space="preserve"> mc(500, 0, 4, 1, 2, "x^2+y^2")-92/3</f>
        <v>1.51522359450097</v>
      </c>
      <c r="D52" cm="1">
        <f t="array" ref="D52" xml:space="preserve"> mc(1000, 0, 4, 1, 2, "x^2+y^2")-92/3</f>
        <v>-0.44799749010968881</v>
      </c>
      <c r="F52" cm="1">
        <f t="array" ref="F52" xml:space="preserve"> ( mc(100, 3, 4, -1, 1, "EXP(x * sin(y))") ) - 7.39981</f>
        <v>-0.180269741662058</v>
      </c>
      <c r="G52" cm="1">
        <f t="array" ref="G52" xml:space="preserve"> ( mc(500, 3, 4, -1, 1, "EXP(x * sin(y))") ) - 7.39981</f>
        <v>1.2075890199279016E-3</v>
      </c>
      <c r="H52" cm="1">
        <f t="array" ref="H52" xml:space="preserve"> ( mc(1000, 3, 4, -1, 1, "EXP(x * sin(y))") ) - 7.39981</f>
        <v>-0.62256837195455539</v>
      </c>
      <c r="J52" cm="1">
        <f t="array" ref="J52" xml:space="preserve"> mc(100, -PI()/2,0,-1, 1, "ln(EXP(x * y))")</f>
        <v>-0.25543719237274792</v>
      </c>
      <c r="K52" cm="1">
        <f t="array" ref="K52" xml:space="preserve"> mc(500, -PI()/2,0,-1, 1, "ln(EXP(x * y))")</f>
        <v>-1.091747245891655E-2</v>
      </c>
      <c r="L52" cm="1">
        <f t="array" ref="L52" xml:space="preserve"> mc(1000, -PI()/2,0,-1, 1, "ln(EXP(x * y))")</f>
        <v>2.2505114647527334E-2</v>
      </c>
      <c r="N52" cm="1">
        <f t="array" ref="N52" xml:space="preserve"> mc(100, -PI()/2,PI()/2, 0, 1, "sin(cos(x + y))")-1.48235</f>
        <v>-2.7340414091271859E-2</v>
      </c>
      <c r="O52" cm="1">
        <f t="array" ref="O52" xml:space="preserve"> mc(500, -PI()/2,PI()/2, 0, 1, "sin(cos(x + y))")-1.48235</f>
        <v>-5.9022697374746969E-2</v>
      </c>
      <c r="P52" cm="1">
        <f t="array" ref="P52" xml:space="preserve"> mc(1000, -PI()/2,PI()/2, 0, 1, "sin(cos(x + y))")-1.48235</f>
        <v>3.223551088874288E-3</v>
      </c>
    </row>
    <row r="53" spans="1:16" x14ac:dyDescent="0.3">
      <c r="A53">
        <v>23</v>
      </c>
      <c r="B53" cm="1">
        <f t="array" ref="B53" xml:space="preserve"> mc(100, 0, 4, 1, 2, "x^2+y^2")-92/3</f>
        <v>1.7794530094421397</v>
      </c>
      <c r="C53" cm="1">
        <f t="array" ref="C53" xml:space="preserve"> mc(500, 0, 4, 1, 2, "x^2+y^2")-92/3</f>
        <v>-0.79149048153810853</v>
      </c>
      <c r="D53" cm="1">
        <f t="array" ref="D53" xml:space="preserve"> mc(1000, 0, 4, 1, 2, "x^2+y^2")-92/3</f>
        <v>0.4892722126758926</v>
      </c>
      <c r="F53" cm="1">
        <f t="array" ref="F53" xml:space="preserve"> ( mc(100, 3, 4, -1, 1, "EXP(x * sin(y))") ) - 7.39981</f>
        <v>0.27214537355551371</v>
      </c>
      <c r="G53" cm="1">
        <f t="array" ref="G53" xml:space="preserve"> ( mc(500, 3, 4, -1, 1, "EXP(x * sin(y))") ) - 7.39981</f>
        <v>1.0310871328077731E-2</v>
      </c>
      <c r="H53" cm="1">
        <f t="array" ref="H53" xml:space="preserve"> ( mc(1000, 3, 4, -1, 1, "EXP(x * sin(y))") ) - 7.39981</f>
        <v>0.144527867516139</v>
      </c>
      <c r="J53" cm="1">
        <f t="array" ref="J53" xml:space="preserve"> mc(100, -PI()/2,0,-1, 1, "ln(EXP(x * y))")</f>
        <v>-0.22057394042289824</v>
      </c>
      <c r="K53" cm="1">
        <f t="array" ref="K53" xml:space="preserve"> mc(500, -PI()/2,0,-1, 1, "ln(EXP(x * y))")</f>
        <v>8.3079939578124765E-3</v>
      </c>
      <c r="L53" cm="1">
        <f t="array" ref="L53" xml:space="preserve"> mc(1000, -PI()/2,0,-1, 1, "ln(EXP(x * y))")</f>
        <v>4.032894704448689E-2</v>
      </c>
      <c r="N53" cm="1">
        <f t="array" ref="N53" xml:space="preserve"> mc(100, -PI()/2,PI()/2, 0, 1, "sin(cos(x + y))")-1.48235</f>
        <v>-3.6161288604075636E-2</v>
      </c>
      <c r="O53" cm="1">
        <f t="array" ref="O53" xml:space="preserve"> mc(500, -PI()/2,PI()/2, 0, 1, "sin(cos(x + y))")-1.48235</f>
        <v>1.7774285650862032E-2</v>
      </c>
      <c r="P53" cm="1">
        <f t="array" ref="P53" xml:space="preserve"> mc(1000, -PI()/2,PI()/2, 0, 1, "sin(cos(x + y))")-1.48235</f>
        <v>4.3963836275686674E-2</v>
      </c>
    </row>
    <row r="54" spans="1:16" x14ac:dyDescent="0.3">
      <c r="A54">
        <v>24</v>
      </c>
      <c r="B54" cm="1">
        <f t="array" ref="B54" xml:space="preserve"> mc(100, 0, 4, 1, 2, "x^2+y^2")-92/3</f>
        <v>0.89991339257565173</v>
      </c>
      <c r="C54" cm="1">
        <f t="array" ref="C54" xml:space="preserve"> mc(500, 0, 4, 1, 2, "x^2+y^2")-92/3</f>
        <v>-0.36259398730482673</v>
      </c>
      <c r="D54" cm="1">
        <f t="array" ref="D54" xml:space="preserve"> mc(1000, 0, 4, 1, 2, "x^2+y^2")-92/3</f>
        <v>-2.4835645430869135E-2</v>
      </c>
      <c r="F54" cm="1">
        <f t="array" ref="F54" xml:space="preserve"> ( mc(100, 3, 4, -1, 1, "EXP(x * sin(y))") ) - 7.39981</f>
        <v>-0.7735101394984536</v>
      </c>
      <c r="G54" cm="1">
        <f t="array" ref="G54" xml:space="preserve"> ( mc(500, 3, 4, -1, 1, "EXP(x * sin(y))") ) - 7.39981</f>
        <v>-0.40903366199183022</v>
      </c>
      <c r="H54" cm="1">
        <f t="array" ref="H54" xml:space="preserve"> ( mc(1000, 3, 4, -1, 1, "EXP(x * sin(y))") ) - 7.39981</f>
        <v>-7.6331020648883197E-2</v>
      </c>
      <c r="J54" cm="1">
        <f t="array" ref="J54" xml:space="preserve"> mc(100, -PI()/2,0,-1, 1, "ln(EXP(x * y))")</f>
        <v>0.12325083932688589</v>
      </c>
      <c r="K54" cm="1">
        <f t="array" ref="K54" xml:space="preserve"> mc(500, -PI()/2,0,-1, 1, "ln(EXP(x * y))")</f>
        <v>7.7562463387075661E-2</v>
      </c>
      <c r="L54" cm="1">
        <f t="array" ref="L54" xml:space="preserve"> mc(1000, -PI()/2,0,-1, 1, "ln(EXP(x * y))")</f>
        <v>1.9683449977976386E-2</v>
      </c>
      <c r="N54" cm="1">
        <f t="array" ref="N54" xml:space="preserve"> mc(100, -PI()/2,PI()/2, 0, 1, "sin(cos(x + y))")-1.48235</f>
        <v>-0.21877877829049219</v>
      </c>
      <c r="O54" cm="1">
        <f t="array" ref="O54" xml:space="preserve"> mc(500, -PI()/2,PI()/2, 0, 1, "sin(cos(x + y))")-1.48235</f>
        <v>-6.4648325093406234E-2</v>
      </c>
      <c r="P54" cm="1">
        <f t="array" ref="P54" xml:space="preserve"> mc(1000, -PI()/2,PI()/2, 0, 1, "sin(cos(x + y))")-1.48235</f>
        <v>1.8684366279418718E-2</v>
      </c>
    </row>
    <row r="55" spans="1:16" x14ac:dyDescent="0.3">
      <c r="A55">
        <v>25</v>
      </c>
      <c r="B55" cm="1">
        <f t="array" ref="B55" xml:space="preserve"> mc(100, 0, 4, 1, 2, "x^2+y^2")-92/3</f>
        <v>1.7007869784287557</v>
      </c>
      <c r="C55" cm="1">
        <f t="array" ref="C55" xml:space="preserve"> mc(500, 0, 4, 1, 2, "x^2+y^2")-92/3</f>
        <v>-0.21000745135952315</v>
      </c>
      <c r="D55" cm="1">
        <f t="array" ref="D55" xml:space="preserve"> mc(1000, 0, 4, 1, 2, "x^2+y^2")-92/3</f>
        <v>-0.20334328859064499</v>
      </c>
      <c r="F55" cm="1">
        <f t="array" ref="F55" xml:space="preserve"> ( mc(100, 3, 4, -1, 1, "EXP(x * sin(y))") ) - 7.39981</f>
        <v>-0.13070582388707841</v>
      </c>
      <c r="G55" cm="1">
        <f t="array" ref="G55" xml:space="preserve"> ( mc(500, 3, 4, -1, 1, "EXP(x * sin(y))") ) - 7.39981</f>
        <v>0.28069791933237376</v>
      </c>
      <c r="H55" cm="1">
        <f t="array" ref="H55" xml:space="preserve"> ( mc(1000, 3, 4, -1, 1, "EXP(x * sin(y))") ) - 7.39981</f>
        <v>0.16350037715903287</v>
      </c>
      <c r="J55" cm="1">
        <f t="array" ref="J55" xml:space="preserve"> mc(100, -PI()/2,0,-1, 1, "ln(EXP(x * y))")</f>
        <v>-1.1837193230081887E-3</v>
      </c>
      <c r="K55" cm="1">
        <f t="array" ref="K55" xml:space="preserve"> mc(500, -PI()/2,0,-1, 1, "ln(EXP(x * y))")</f>
        <v>-3.3073328899245691E-2</v>
      </c>
      <c r="L55" cm="1">
        <f t="array" ref="L55" xml:space="preserve"> mc(1000, -PI()/2,0,-1, 1, "ln(EXP(x * y))")</f>
        <v>-2.3927199285246323E-2</v>
      </c>
      <c r="N55" cm="1">
        <f t="array" ref="N55" xml:space="preserve"> mc(100, -PI()/2,PI()/2, 0, 1, "sin(cos(x + y))")-1.48235</f>
        <v>9.4685140550204272E-2</v>
      </c>
      <c r="O55" cm="1">
        <f t="array" ref="O55" xml:space="preserve"> mc(500, -PI()/2,PI()/2, 0, 1, "sin(cos(x + y))")-1.48235</f>
        <v>8.5096926756134117E-3</v>
      </c>
      <c r="P55" cm="1">
        <f t="array" ref="P55" xml:space="preserve"> mc(1000, -PI()/2,PI()/2, 0, 1, "sin(cos(x + y))")-1.48235</f>
        <v>-5.4835608361169186E-2</v>
      </c>
    </row>
    <row r="56" spans="1:16" x14ac:dyDescent="0.3">
      <c r="A56">
        <v>26</v>
      </c>
      <c r="B56" cm="1">
        <f t="array" ref="B56" xml:space="preserve"> mc(100, 0, 4, 1, 2, "x^2+y^2")-92/3</f>
        <v>-1.1723705281798473</v>
      </c>
      <c r="C56" cm="1">
        <f t="array" ref="C56" xml:space="preserve"> mc(500, 0, 4, 1, 2, "x^2+y^2")-92/3</f>
        <v>-8.0198860648025061E-2</v>
      </c>
      <c r="D56" cm="1">
        <f t="array" ref="D56" xml:space="preserve"> mc(1000, 0, 4, 1, 2, "x^2+y^2")-92/3</f>
        <v>0.46314397013359709</v>
      </c>
      <c r="F56" cm="1">
        <f t="array" ref="F56" xml:space="preserve"> ( mc(100, 3, 4, -1, 1, "EXP(x * sin(y))") ) - 7.39981</f>
        <v>0.66253061439390315</v>
      </c>
      <c r="G56" cm="1">
        <f t="array" ref="G56" xml:space="preserve"> ( mc(500, 3, 4, -1, 1, "EXP(x * sin(y))") ) - 7.39981</f>
        <v>-4.0775976935593761E-2</v>
      </c>
      <c r="H56" cm="1">
        <f t="array" ref="H56" xml:space="preserve"> ( mc(1000, 3, 4, -1, 1, "EXP(x * sin(y))") ) - 7.39981</f>
        <v>-0.11036130806418054</v>
      </c>
      <c r="J56" cm="1">
        <f t="array" ref="J56" xml:space="preserve"> mc(100, -PI()/2,0,-1, 1, "ln(EXP(x * y))")</f>
        <v>0.12923573951468609</v>
      </c>
      <c r="K56" cm="1">
        <f t="array" ref="K56" xml:space="preserve"> mc(500, -PI()/2,0,-1, 1, "ln(EXP(x * y))")</f>
        <v>8.9793711596114739E-2</v>
      </c>
      <c r="L56" cm="1">
        <f t="array" ref="L56" xml:space="preserve"> mc(1000, -PI()/2,0,-1, 1, "ln(EXP(x * y))")</f>
        <v>4.2565568072808188E-2</v>
      </c>
      <c r="N56" cm="1">
        <f t="array" ref="N56" xml:space="preserve"> mc(100, -PI()/2,PI()/2, 0, 1, "sin(cos(x + y))")-1.48235</f>
        <v>0.19863554948828832</v>
      </c>
      <c r="O56" cm="1">
        <f t="array" ref="O56" xml:space="preserve"> mc(500, -PI()/2,PI()/2, 0, 1, "sin(cos(x + y))")-1.48235</f>
        <v>-7.2585163677856501E-2</v>
      </c>
      <c r="P56" cm="1">
        <f t="array" ref="P56" xml:space="preserve"> mc(1000, -PI()/2,PI()/2, 0, 1, "sin(cos(x + y))")-1.48235</f>
        <v>1.5618475531646858E-3</v>
      </c>
    </row>
    <row r="57" spans="1:16" x14ac:dyDescent="0.3">
      <c r="A57">
        <v>27</v>
      </c>
      <c r="B57" cm="1">
        <f t="array" ref="B57" xml:space="preserve"> mc(100, 0, 4, 1, 2, "x^2+y^2")-92/3</f>
        <v>1.7214005776388319E-2</v>
      </c>
      <c r="C57" cm="1">
        <f t="array" ref="C57" xml:space="preserve"> mc(500, 0, 4, 1, 2, "x^2+y^2")-92/3</f>
        <v>0.26661939870427531</v>
      </c>
      <c r="D57" cm="1">
        <f t="array" ref="D57" xml:space="preserve"> mc(1000, 0, 4, 1, 2, "x^2+y^2")-92/3</f>
        <v>0.14281438984537687</v>
      </c>
      <c r="F57" cm="1">
        <f t="array" ref="F57" xml:space="preserve"> ( mc(100, 3, 4, -1, 1, "EXP(x * sin(y))") ) - 7.39981</f>
        <v>0.32311134329232871</v>
      </c>
      <c r="G57" cm="1">
        <f t="array" ref="G57" xml:space="preserve"> ( mc(500, 3, 4, -1, 1, "EXP(x * sin(y))") ) - 7.39981</f>
        <v>-0.38144388844487942</v>
      </c>
      <c r="H57" cm="1">
        <f t="array" ref="H57" xml:space="preserve"> ( mc(1000, 3, 4, -1, 1, "EXP(x * sin(y))") ) - 7.39981</f>
        <v>-0.29139423142107201</v>
      </c>
      <c r="J57" cm="1">
        <f t="array" ref="J57" xml:space="preserve"> mc(100, -PI()/2,0,-1, 1, "ln(EXP(x * y))")</f>
        <v>0.19725994961170892</v>
      </c>
      <c r="K57" cm="1">
        <f t="array" ref="K57" xml:space="preserve"> mc(500, -PI()/2,0,-1, 1, "ln(EXP(x * y))")</f>
        <v>-7.5405605071943924E-2</v>
      </c>
      <c r="L57" cm="1">
        <f t="array" ref="L57" xml:space="preserve"> mc(1000, -PI()/2,0,-1, 1, "ln(EXP(x * y))")</f>
        <v>-2.8858628306336627E-2</v>
      </c>
      <c r="N57" cm="1">
        <f t="array" ref="N57" xml:space="preserve"> mc(100, -PI()/2,PI()/2, 0, 1, "sin(cos(x + y))")-1.48235</f>
        <v>0.13455327513804671</v>
      </c>
      <c r="O57" cm="1">
        <f t="array" ref="O57" xml:space="preserve"> mc(500, -PI()/2,PI()/2, 0, 1, "sin(cos(x + y))")-1.48235</f>
        <v>-2.6058101217020679E-2</v>
      </c>
      <c r="P57" cm="1">
        <f t="array" ref="P57" xml:space="preserve"> mc(1000, -PI()/2,PI()/2, 0, 1, "sin(cos(x + y))")-1.48235</f>
        <v>4.0944289443220594E-2</v>
      </c>
    </row>
    <row r="58" spans="1:16" x14ac:dyDescent="0.3">
      <c r="A58">
        <v>28</v>
      </c>
      <c r="B58" cm="1">
        <f t="array" ref="B58" xml:space="preserve"> mc(100, 0, 4, 1, 2, "x^2+y^2")-92/3</f>
        <v>2.4040261568810131</v>
      </c>
      <c r="C58" cm="1">
        <f t="array" ref="C58" xml:space="preserve"> mc(500, 0, 4, 1, 2, "x^2+y^2")-92/3</f>
        <v>1.4483567274342342</v>
      </c>
      <c r="D58" cm="1">
        <f t="array" ref="D58" xml:space="preserve"> mc(1000, 0, 4, 1, 2, "x^2+y^2")-92/3</f>
        <v>-0.17141382333236876</v>
      </c>
      <c r="F58" cm="1">
        <f t="array" ref="F58" xml:space="preserve"> ( mc(100, 3, 4, -1, 1, "EXP(x * sin(y))") ) - 7.39981</f>
        <v>0.39138137416903263</v>
      </c>
      <c r="G58" cm="1">
        <f t="array" ref="G58" xml:space="preserve"> ( mc(500, 3, 4, -1, 1, "EXP(x * sin(y))") ) - 7.39981</f>
        <v>-0.26127027240696865</v>
      </c>
      <c r="H58" cm="1">
        <f t="array" ref="H58" xml:space="preserve"> ( mc(1000, 3, 4, -1, 1, "EXP(x * sin(y))") ) - 7.39981</f>
        <v>0.37448085923576446</v>
      </c>
      <c r="J58" cm="1">
        <f t="array" ref="J58" xml:space="preserve"> mc(100, -PI()/2,0,-1, 1, "ln(EXP(x * y))")</f>
        <v>-4.421136145658211E-2</v>
      </c>
      <c r="K58" cm="1">
        <f t="array" ref="K58" xml:space="preserve"> mc(500, -PI()/2,0,-1, 1, "ln(EXP(x * y))")</f>
        <v>2.6016112196388712E-2</v>
      </c>
      <c r="L58" cm="1">
        <f t="array" ref="L58" xml:space="preserve"> mc(1000, -PI()/2,0,-1, 1, "ln(EXP(x * y))")</f>
        <v>-8.9092208532011052E-2</v>
      </c>
      <c r="N58" cm="1">
        <f t="array" ref="N58" xml:space="preserve"> mc(100, -PI()/2,PI()/2, 0, 1, "sin(cos(x + y))")-1.48235</f>
        <v>-0.22680268979944529</v>
      </c>
      <c r="O58" cm="1">
        <f t="array" ref="O58" xml:space="preserve"> mc(500, -PI()/2,PI()/2, 0, 1, "sin(cos(x + y))")-1.48235</f>
        <v>9.4554746122537114E-3</v>
      </c>
      <c r="P58" cm="1">
        <f t="array" ref="P58" xml:space="preserve"> mc(1000, -PI()/2,PI()/2, 0, 1, "sin(cos(x + y))")-1.48235</f>
        <v>3.9264457494171845E-2</v>
      </c>
    </row>
    <row r="59" spans="1:16" x14ac:dyDescent="0.3">
      <c r="A59">
        <v>29</v>
      </c>
      <c r="B59" cm="1">
        <f t="array" ref="B59" xml:space="preserve"> mc(100, 0, 4, 1, 2, "x^2+y^2")-92/3</f>
        <v>-2.5149581365864755</v>
      </c>
      <c r="C59" cm="1">
        <f t="array" ref="C59" xml:space="preserve"> mc(500, 0, 4, 1, 2, "x^2+y^2")-92/3</f>
        <v>4.7731033691128744E-2</v>
      </c>
      <c r="D59" cm="1">
        <f t="array" ref="D59" xml:space="preserve"> mc(1000, 0, 4, 1, 2, "x^2+y^2")-92/3</f>
        <v>0.94330339252582718</v>
      </c>
      <c r="F59" cm="1">
        <f t="array" ref="F59" xml:space="preserve"> ( mc(100, 3, 4, -1, 1, "EXP(x * sin(y))") ) - 7.39981</f>
        <v>1.720579155760726</v>
      </c>
      <c r="G59" cm="1">
        <f t="array" ref="G59" xml:space="preserve"> ( mc(500, 3, 4, -1, 1, "EXP(x * sin(y))") ) - 7.39981</f>
        <v>-0.95490989021495754</v>
      </c>
      <c r="H59" cm="1">
        <f t="array" ref="H59" xml:space="preserve"> ( mc(1000, 3, 4, -1, 1, "EXP(x * sin(y))") ) - 7.39981</f>
        <v>6.9561421593445694E-2</v>
      </c>
      <c r="J59" cm="1">
        <f t="array" ref="J59" xml:space="preserve"> mc(100, -PI()/2,0,-1, 1, "ln(EXP(x * y))")</f>
        <v>-0.12148221737235326</v>
      </c>
      <c r="K59" cm="1">
        <f t="array" ref="K59" xml:space="preserve"> mc(500, -PI()/2,0,-1, 1, "ln(EXP(x * y))")</f>
        <v>3.5754226818702502E-2</v>
      </c>
      <c r="L59" cm="1">
        <f t="array" ref="L59" xml:space="preserve"> mc(1000, -PI()/2,0,-1, 1, "ln(EXP(x * y))")</f>
        <v>4.9024857627091752E-3</v>
      </c>
      <c r="N59" cm="1">
        <f t="array" ref="N59" xml:space="preserve"> mc(100, -PI()/2,PI()/2, 0, 1, "sin(cos(x + y))")-1.48235</f>
        <v>-7.4835193007993128E-2</v>
      </c>
      <c r="O59" cm="1">
        <f t="array" ref="O59" xml:space="preserve"> mc(500, -PI()/2,PI()/2, 0, 1, "sin(cos(x + y))")-1.48235</f>
        <v>8.1997882891252871E-2</v>
      </c>
      <c r="P59" cm="1">
        <f t="array" ref="P59" xml:space="preserve"> mc(1000, -PI()/2,PI()/2, 0, 1, "sin(cos(x + y))")-1.48235</f>
        <v>-0.10508435454710408</v>
      </c>
    </row>
    <row r="60" spans="1:16" x14ac:dyDescent="0.3">
      <c r="A60">
        <v>30</v>
      </c>
      <c r="B60" cm="1">
        <f t="array" ref="B60" xml:space="preserve"> mc(100, 0, 4, 1, 2, "x^2+y^2")-92/3</f>
        <v>8.3723505453761504E-2</v>
      </c>
      <c r="C60" cm="1">
        <f t="array" ref="C60" xml:space="preserve"> mc(500, 0, 4, 1, 2, "x^2+y^2")-92/3</f>
        <v>0.77985184950779285</v>
      </c>
      <c r="D60" cm="1">
        <f t="array" ref="D60" xml:space="preserve"> mc(1000, 0, 4, 1, 2, "x^2+y^2")-92/3</f>
        <v>-0.76311086615381285</v>
      </c>
      <c r="F60" cm="1">
        <f t="array" ref="F60" xml:space="preserve"> ( mc(100, 3, 4, -1, 1, "EXP(x * sin(y))") ) - 7.39981</f>
        <v>1.6728301394358986</v>
      </c>
      <c r="G60" cm="1">
        <f t="array" ref="G60" xml:space="preserve"> ( mc(500, 3, 4, -1, 1, "EXP(x * sin(y))") ) - 7.39981</f>
        <v>-0.50956441185420775</v>
      </c>
      <c r="H60" cm="1">
        <f t="array" ref="H60" xml:space="preserve"> ( mc(1000, 3, 4, -1, 1, "EXP(x * sin(y))") ) - 7.39981</f>
        <v>0.25253382587281514</v>
      </c>
      <c r="J60" cm="1">
        <f t="array" ref="J60" xml:space="preserve"> mc(100, -PI()/2,0,-1, 1, "ln(EXP(x * y))")</f>
        <v>-9.7278521540773197E-2</v>
      </c>
      <c r="K60" cm="1">
        <f t="array" ref="K60" xml:space="preserve"> mc(500, -PI()/2,0,-1, 1, "ln(EXP(x * y))")</f>
        <v>3.8892453456366119E-2</v>
      </c>
      <c r="L60" cm="1">
        <f t="array" ref="L60" xml:space="preserve"> mc(1000, -PI()/2,0,-1, 1, "ln(EXP(x * y))")</f>
        <v>4.8928003973106912E-2</v>
      </c>
      <c r="N60" cm="1">
        <f t="array" ref="N60" xml:space="preserve"> mc(100, -PI()/2,PI()/2, 0, 1, "sin(cos(x + y))")-1.48235</f>
        <v>3.5680638071327486E-2</v>
      </c>
      <c r="O60" cm="1">
        <f t="array" ref="O60" xml:space="preserve"> mc(500, -PI()/2,PI()/2, 0, 1, "sin(cos(x + y))")-1.48235</f>
        <v>2.3432439076796818E-2</v>
      </c>
      <c r="P60" cm="1">
        <f t="array" ref="P60" xml:space="preserve"> mc(1000, -PI()/2,PI()/2, 0, 1, "sin(cos(x + y))")-1.48235</f>
        <v>-4.5892295213341372E-2</v>
      </c>
    </row>
    <row r="61" spans="1:16" x14ac:dyDescent="0.3">
      <c r="A61">
        <v>31</v>
      </c>
      <c r="B61" cm="1">
        <f t="array" ref="B61" xml:space="preserve"> mc(100, 0, 4, 1, 2, "x^2+y^2")-92/3</f>
        <v>0.53945592693491307</v>
      </c>
      <c r="C61" cm="1">
        <f t="array" ref="C61" xml:space="preserve"> mc(500, 0, 4, 1, 2, "x^2+y^2")-92/3</f>
        <v>-0.45462562724709343</v>
      </c>
      <c r="D61" cm="1">
        <f t="array" ref="D61" xml:space="preserve"> mc(1000, 0, 4, 1, 2, "x^2+y^2")-92/3</f>
        <v>0.67636490948711625</v>
      </c>
      <c r="F61" cm="1">
        <f t="array" ref="F61" xml:space="preserve"> ( mc(100, 3, 4, -1, 1, "EXP(x * sin(y))") ) - 7.39981</f>
        <v>-1.8784063122308403</v>
      </c>
      <c r="G61" cm="1">
        <f t="array" ref="G61" xml:space="preserve"> ( mc(500, 3, 4, -1, 1, "EXP(x * sin(y))") ) - 7.39981</f>
        <v>0.44074609839509105</v>
      </c>
      <c r="H61" cm="1">
        <f t="array" ref="H61" xml:space="preserve"> ( mc(1000, 3, 4, -1, 1, "EXP(x * sin(y))") ) - 7.39981</f>
        <v>-3.9849750189526745E-2</v>
      </c>
      <c r="J61" cm="1">
        <f t="array" ref="J61" xml:space="preserve"> mc(100, -PI()/2,0,-1, 1, "ln(EXP(x * y))")</f>
        <v>0.12580935929490997</v>
      </c>
      <c r="K61" cm="1">
        <f t="array" ref="K61" xml:space="preserve"> mc(500, -PI()/2,0,-1, 1, "ln(EXP(x * y))")</f>
        <v>6.0886137362757789E-2</v>
      </c>
      <c r="L61" cm="1">
        <f t="array" ref="L61" xml:space="preserve"> mc(1000, -PI()/2,0,-1, 1, "ln(EXP(x * y))")</f>
        <v>1.2873493768048435E-2</v>
      </c>
      <c r="N61" cm="1">
        <f t="array" ref="N61" xml:space="preserve"> mc(100, -PI()/2,PI()/2, 0, 1, "sin(cos(x + y))")-1.48235</f>
        <v>-2.8856043918477958E-2</v>
      </c>
      <c r="O61" cm="1">
        <f t="array" ref="O61" xml:space="preserve"> mc(500, -PI()/2,PI()/2, 0, 1, "sin(cos(x + y))")-1.48235</f>
        <v>-1.3674914912196634E-2</v>
      </c>
      <c r="P61" cm="1">
        <f t="array" ref="P61" xml:space="preserve"> mc(1000, -PI()/2,PI()/2, 0, 1, "sin(cos(x + y))")-1.48235</f>
        <v>2.7800686505246475E-2</v>
      </c>
    </row>
    <row r="62" spans="1:16" x14ac:dyDescent="0.3">
      <c r="A62">
        <v>32</v>
      </c>
      <c r="B62" cm="1">
        <f t="array" ref="B62" xml:space="preserve"> mc(100, 0, 4, 1, 2, "x^2+y^2")-92/3</f>
        <v>1.1864400482401543</v>
      </c>
      <c r="C62" cm="1">
        <f t="array" ref="C62" xml:space="preserve"> mc(500, 0, 4, 1, 2, "x^2+y^2")-92/3</f>
        <v>0.91617024235292632</v>
      </c>
      <c r="D62" cm="1">
        <f t="array" ref="D62" xml:space="preserve"> mc(1000, 0, 4, 1, 2, "x^2+y^2")-92/3</f>
        <v>-0.68560656228026673</v>
      </c>
      <c r="F62" cm="1">
        <f t="array" ref="F62" xml:space="preserve"> ( mc(100, 3, 4, -1, 1, "EXP(x * sin(y))") ) - 7.39981</f>
        <v>1.4584725569587338</v>
      </c>
      <c r="G62" cm="1">
        <f t="array" ref="G62" xml:space="preserve"> ( mc(500, 3, 4, -1, 1, "EXP(x * sin(y))") ) - 7.39981</f>
        <v>5.3069465358585255E-2</v>
      </c>
      <c r="H62" cm="1">
        <f t="array" ref="H62" xml:space="preserve"> ( mc(1000, 3, 4, -1, 1, "EXP(x * sin(y))") ) - 7.39981</f>
        <v>-0.1663739949594687</v>
      </c>
      <c r="J62" cm="1">
        <f t="array" ref="J62" xml:space="preserve"> mc(100, -PI()/2,0,-1, 1, "ln(EXP(x * y))")</f>
        <v>5.4885136730721179E-2</v>
      </c>
      <c r="K62" cm="1">
        <f t="array" ref="K62" xml:space="preserve"> mc(500, -PI()/2,0,-1, 1, "ln(EXP(x * y))")</f>
        <v>-2.8980771192191262E-2</v>
      </c>
      <c r="L62" cm="1">
        <f t="array" ref="L62" xml:space="preserve"> mc(1000, -PI()/2,0,-1, 1, "ln(EXP(x * y))")</f>
        <v>1.5121608699048274E-2</v>
      </c>
      <c r="N62" cm="1">
        <f t="array" ref="N62" xml:space="preserve"> mc(100, -PI()/2,PI()/2, 0, 1, "sin(cos(x + y))")-1.48235</f>
        <v>-2.2910713130858573E-2</v>
      </c>
      <c r="O62" cm="1">
        <f t="array" ref="O62" xml:space="preserve"> mc(500, -PI()/2,PI()/2, 0, 1, "sin(cos(x + y))")-1.48235</f>
        <v>-0.10999780911842061</v>
      </c>
      <c r="P62" cm="1">
        <f t="array" ref="P62" xml:space="preserve"> mc(1000, -PI()/2,PI()/2, 0, 1, "sin(cos(x + y))")-1.48235</f>
        <v>-1.6766779728026426E-2</v>
      </c>
    </row>
    <row r="63" spans="1:16" x14ac:dyDescent="0.3">
      <c r="A63">
        <v>33</v>
      </c>
      <c r="B63" cm="1">
        <f t="array" ref="B63" xml:space="preserve"> mc(100, 0, 4, 1, 2, "x^2+y^2")-92/3</f>
        <v>-1.5882938723183813</v>
      </c>
      <c r="C63" cm="1">
        <f t="array" ref="C63" xml:space="preserve"> mc(500, 0, 4, 1, 2, "x^2+y^2")-92/3</f>
        <v>0.511157387192128</v>
      </c>
      <c r="D63" cm="1">
        <f t="array" ref="D63" xml:space="preserve"> mc(1000, 0, 4, 1, 2, "x^2+y^2")-92/3</f>
        <v>1.0016189817129053</v>
      </c>
      <c r="F63" cm="1">
        <f t="array" ref="F63" xml:space="preserve"> ( mc(100, 3, 4, -1, 1, "EXP(x * sin(y))") ) - 7.39981</f>
        <v>-0.26120095581667702</v>
      </c>
      <c r="G63" cm="1">
        <f t="array" ref="G63" xml:space="preserve"> ( mc(500, 3, 4, -1, 1, "EXP(x * sin(y))") ) - 7.39981</f>
        <v>0.39716957174084921</v>
      </c>
      <c r="H63" cm="1">
        <f t="array" ref="H63" xml:space="preserve"> ( mc(1000, 3, 4, -1, 1, "EXP(x * sin(y))") ) - 7.39981</f>
        <v>0.25499384729439978</v>
      </c>
      <c r="J63" cm="1">
        <f t="array" ref="J63" xml:space="preserve"> mc(100, -PI()/2,0,-1, 1, "ln(EXP(x * y))")</f>
        <v>3.6832150821103707E-2</v>
      </c>
      <c r="K63" cm="1">
        <f t="array" ref="K63" xml:space="preserve"> mc(500, -PI()/2,0,-1, 1, "ln(EXP(x * y))")</f>
        <v>-1.9093334646646822E-3</v>
      </c>
      <c r="L63" cm="1">
        <f t="array" ref="L63" xml:space="preserve"> mc(1000, -PI()/2,0,-1, 1, "ln(EXP(x * y))")</f>
        <v>4.1840338563228767E-2</v>
      </c>
      <c r="N63" cm="1">
        <f t="array" ref="N63" xml:space="preserve"> mc(100, -PI()/2,PI()/2, 0, 1, "sin(cos(x + y))")-1.48235</f>
        <v>0.1299277651009374</v>
      </c>
      <c r="O63" cm="1">
        <f t="array" ref="O63" xml:space="preserve"> mc(500, -PI()/2,PI()/2, 0, 1, "sin(cos(x + y))")-1.48235</f>
        <v>9.1557716280343149E-2</v>
      </c>
      <c r="P63" cm="1">
        <f t="array" ref="P63" xml:space="preserve"> mc(1000, -PI()/2,PI()/2, 0, 1, "sin(cos(x + y))")-1.48235</f>
        <v>2.580136662988064E-2</v>
      </c>
    </row>
    <row r="64" spans="1:16" x14ac:dyDescent="0.3">
      <c r="A64">
        <v>34</v>
      </c>
      <c r="B64" cm="1">
        <f t="array" ref="B64" xml:space="preserve"> mc(100, 0, 4, 1, 2, "x^2+y^2")-92/3</f>
        <v>-3.1570605048290901E-2</v>
      </c>
      <c r="C64" cm="1">
        <f t="array" ref="C64" xml:space="preserve"> mc(500, 0, 4, 1, 2, "x^2+y^2")-92/3</f>
        <v>0.30394145770769043</v>
      </c>
      <c r="D64" cm="1">
        <f t="array" ref="D64" xml:space="preserve"> mc(1000, 0, 4, 1, 2, "x^2+y^2")-92/3</f>
        <v>0.6347343304085804</v>
      </c>
      <c r="F64" cm="1">
        <f t="array" ref="F64" xml:space="preserve"> ( mc(100, 3, 4, -1, 1, "EXP(x * sin(y))") ) - 7.39981</f>
        <v>-0.15636402494279089</v>
      </c>
      <c r="G64" cm="1">
        <f t="array" ref="G64" xml:space="preserve"> ( mc(500, 3, 4, -1, 1, "EXP(x * sin(y))") ) - 7.39981</f>
        <v>-0.30811435522045549</v>
      </c>
      <c r="H64" cm="1">
        <f t="array" ref="H64" xml:space="preserve"> ( mc(1000, 3, 4, -1, 1, "EXP(x * sin(y))") ) - 7.39981</f>
        <v>0.23213286471920824</v>
      </c>
      <c r="J64" cm="1">
        <f t="array" ref="J64" xml:space="preserve"> mc(100, -PI()/2,0,-1, 1, "ln(EXP(x * y))")</f>
        <v>6.2928045009884109E-2</v>
      </c>
      <c r="K64" cm="1">
        <f t="array" ref="K64" xml:space="preserve"> mc(500, -PI()/2,0,-1, 1, "ln(EXP(x * y))")</f>
        <v>-3.4247698880094596E-3</v>
      </c>
      <c r="L64" cm="1">
        <f t="array" ref="L64" xml:space="preserve"> mc(1000, -PI()/2,0,-1, 1, "ln(EXP(x * y))")</f>
        <v>1.5816383139617834E-2</v>
      </c>
      <c r="N64" cm="1">
        <f t="array" ref="N64" xml:space="preserve"> mc(100, -PI()/2,PI()/2, 0, 1, "sin(cos(x + y))")-1.48235</f>
        <v>0.1738906843881709</v>
      </c>
      <c r="O64" cm="1">
        <f t="array" ref="O64" xml:space="preserve"> mc(500, -PI()/2,PI()/2, 0, 1, "sin(cos(x + y))")-1.48235</f>
        <v>-3.1672829649578738E-2</v>
      </c>
      <c r="P64" cm="1">
        <f t="array" ref="P64" xml:space="preserve"> mc(1000, -PI()/2,PI()/2, 0, 1, "sin(cos(x + y))")-1.48235</f>
        <v>-2.2256551638250022E-2</v>
      </c>
    </row>
    <row r="65" spans="1:16" x14ac:dyDescent="0.3">
      <c r="A65">
        <v>35</v>
      </c>
      <c r="B65" cm="1">
        <f t="array" ref="B65" xml:space="preserve"> mc(100, 0, 4, 1, 2, "x^2+y^2")-92/3</f>
        <v>2.2543692096000463</v>
      </c>
      <c r="C65" cm="1">
        <f t="array" ref="C65" xml:space="preserve"> mc(500, 0, 4, 1, 2, "x^2+y^2")-92/3</f>
        <v>0.44271105018321677</v>
      </c>
      <c r="D65" cm="1">
        <f t="array" ref="D65" xml:space="preserve"> mc(1000, 0, 4, 1, 2, "x^2+y^2")-92/3</f>
        <v>-0.65347127598735</v>
      </c>
      <c r="F65" cm="1">
        <f t="array" ref="F65" xml:space="preserve"> ( mc(100, 3, 4, -1, 1, "EXP(x * sin(y))") ) - 7.39981</f>
        <v>0.56297405171272352</v>
      </c>
      <c r="G65" cm="1">
        <f t="array" ref="G65" xml:space="preserve"> ( mc(500, 3, 4, -1, 1, "EXP(x * sin(y))") ) - 7.39981</f>
        <v>0.4267229228026217</v>
      </c>
      <c r="H65" cm="1">
        <f t="array" ref="H65" xml:space="preserve"> ( mc(1000, 3, 4, -1, 1, "EXP(x * sin(y))") ) - 7.39981</f>
        <v>-0.41261880713649379</v>
      </c>
      <c r="J65" cm="1">
        <f t="array" ref="J65" xml:space="preserve"> mc(100, -PI()/2,0,-1, 1, "ln(EXP(x * y))")</f>
        <v>0.1563189313741575</v>
      </c>
      <c r="K65" cm="1">
        <f t="array" ref="K65" xml:space="preserve"> mc(500, -PI()/2,0,-1, 1, "ln(EXP(x * y))")</f>
        <v>1.2561129299328247E-2</v>
      </c>
      <c r="L65" cm="1">
        <f t="array" ref="L65" xml:space="preserve"> mc(1000, -PI()/2,0,-1, 1, "ln(EXP(x * y))")</f>
        <v>-0.10295779959072869</v>
      </c>
      <c r="N65" cm="1">
        <f t="array" ref="N65" xml:space="preserve"> mc(100, -PI()/2,PI()/2, 0, 1, "sin(cos(x + y))")-1.48235</f>
        <v>-2.3764067896838714E-3</v>
      </c>
      <c r="O65" cm="1">
        <f t="array" ref="O65" xml:space="preserve"> mc(500, -PI()/2,PI()/2, 0, 1, "sin(cos(x + y))")-1.48235</f>
        <v>0.13127581217400675</v>
      </c>
      <c r="P65" cm="1">
        <f t="array" ref="P65" xml:space="preserve"> mc(1000, -PI()/2,PI()/2, 0, 1, "sin(cos(x + y))")-1.48235</f>
        <v>-2.9914968653318663E-2</v>
      </c>
    </row>
    <row r="66" spans="1:16" x14ac:dyDescent="0.3">
      <c r="A66">
        <v>36</v>
      </c>
      <c r="B66" cm="1">
        <f t="array" ref="B66" xml:space="preserve"> mc(100, 0, 4, 1, 2, "x^2+y^2")-92/3</f>
        <v>-1.9530869699709612</v>
      </c>
      <c r="C66" cm="1">
        <f t="array" ref="C66" xml:space="preserve"> mc(500, 0, 4, 1, 2, "x^2+y^2")-92/3</f>
        <v>1.8443419484237005</v>
      </c>
      <c r="D66" cm="1">
        <f t="array" ref="D66" xml:space="preserve"> mc(1000, 0, 4, 1, 2, "x^2+y^2")-92/3</f>
        <v>3.2801731100008169E-2</v>
      </c>
      <c r="F66" cm="1">
        <f t="array" ref="F66" xml:space="preserve"> ( mc(100, 3, 4, -1, 1, "EXP(x * sin(y))") ) - 7.39981</f>
        <v>-1.4369502041216666</v>
      </c>
      <c r="G66" cm="1">
        <f t="array" ref="G66" xml:space="preserve"> ( mc(500, 3, 4, -1, 1, "EXP(x * sin(y))") ) - 7.39981</f>
        <v>-1.3633681186338009E-3</v>
      </c>
      <c r="H66" cm="1">
        <f t="array" ref="H66" xml:space="preserve"> ( mc(1000, 3, 4, -1, 1, "EXP(x * sin(y))") ) - 7.39981</f>
        <v>2.7950854280184068E-2</v>
      </c>
      <c r="J66" cm="1">
        <f t="array" ref="J66" xml:space="preserve"> mc(100, -PI()/2,0,-1, 1, "ln(EXP(x * y))")</f>
        <v>0.1196730380102403</v>
      </c>
      <c r="K66" cm="1">
        <f t="array" ref="K66" xml:space="preserve"> mc(500, -PI()/2,0,-1, 1, "ln(EXP(x * y))")</f>
        <v>-4.8099723007716214E-2</v>
      </c>
      <c r="L66" cm="1">
        <f t="array" ref="L66" xml:space="preserve"> mc(1000, -PI()/2,0,-1, 1, "ln(EXP(x * y))")</f>
        <v>-5.3165235368893671E-2</v>
      </c>
      <c r="N66" cm="1">
        <f t="array" ref="N66" xml:space="preserve"> mc(100, -PI()/2,PI()/2, 0, 1, "sin(cos(x + y))")-1.48235</f>
        <v>5.0622815389535836E-2</v>
      </c>
      <c r="O66" cm="1">
        <f t="array" ref="O66" xml:space="preserve"> mc(500, -PI()/2,PI()/2, 0, 1, "sin(cos(x + y))")-1.48235</f>
        <v>1.540047836323688E-2</v>
      </c>
      <c r="P66" cm="1">
        <f t="array" ref="P66" xml:space="preserve"> mc(1000, -PI()/2,PI()/2, 0, 1, "sin(cos(x + y))")-1.48235</f>
        <v>-1.2566697172658126E-2</v>
      </c>
    </row>
    <row r="67" spans="1:16" x14ac:dyDescent="0.3">
      <c r="A67">
        <v>37</v>
      </c>
      <c r="B67" cm="1">
        <f t="array" ref="B67" xml:space="preserve"> mc(100, 0, 4, 1, 2, "x^2+y^2")-92/3</f>
        <v>-2.0993307870526117</v>
      </c>
      <c r="C67" cm="1">
        <f t="array" ref="C67" xml:space="preserve"> mc(500, 0, 4, 1, 2, "x^2+y^2")-92/3</f>
        <v>0.811729188684847</v>
      </c>
      <c r="D67" cm="1">
        <f t="array" ref="D67" xml:space="preserve"> mc(1000, 0, 4, 1, 2, "x^2+y^2")-92/3</f>
        <v>-0.5768356647330144</v>
      </c>
      <c r="F67" cm="1">
        <f t="array" ref="F67" xml:space="preserve"> ( mc(100, 3, 4, -1, 1, "EXP(x * sin(y))") ) - 7.39981</f>
        <v>0.38481445977439055</v>
      </c>
      <c r="G67" cm="1">
        <f t="array" ref="G67" xml:space="preserve"> ( mc(500, 3, 4, -1, 1, "EXP(x * sin(y))") ) - 7.39981</f>
        <v>-0.76139205254832465</v>
      </c>
      <c r="H67" cm="1">
        <f t="array" ref="H67" xml:space="preserve"> ( mc(1000, 3, 4, -1, 1, "EXP(x * sin(y))") ) - 7.39981</f>
        <v>0.33040876976245226</v>
      </c>
      <c r="J67" cm="1">
        <f t="array" ref="J67" xml:space="preserve"> mc(100, -PI()/2,0,-1, 1, "ln(EXP(x * y))")</f>
        <v>-0.22758787931888114</v>
      </c>
      <c r="K67" cm="1">
        <f t="array" ref="K67" xml:space="preserve"> mc(500, -PI()/2,0,-1, 1, "ln(EXP(x * y))")</f>
        <v>-2.4786458703383106E-2</v>
      </c>
      <c r="L67" cm="1">
        <f t="array" ref="L67" xml:space="preserve"> mc(1000, -PI()/2,0,-1, 1, "ln(EXP(x * y))")</f>
        <v>-9.0520738075763659E-3</v>
      </c>
      <c r="N67" cm="1">
        <f t="array" ref="N67" xml:space="preserve"> mc(100, -PI()/2,PI()/2, 0, 1, "sin(cos(x + y))")-1.48235</f>
        <v>6.824696715036338E-2</v>
      </c>
      <c r="O67" cm="1">
        <f t="array" ref="O67" xml:space="preserve"> mc(500, -PI()/2,PI()/2, 0, 1, "sin(cos(x + y))")-1.48235</f>
        <v>-7.658304486997114E-2</v>
      </c>
      <c r="P67" cm="1">
        <f t="array" ref="P67" xml:space="preserve"> mc(1000, -PI()/2,PI()/2, 0, 1, "sin(cos(x + y))")-1.48235</f>
        <v>-6.3129478358046054E-2</v>
      </c>
    </row>
    <row r="68" spans="1:16" x14ac:dyDescent="0.3">
      <c r="A68">
        <v>38</v>
      </c>
      <c r="B68" cm="1">
        <f t="array" ref="B68" xml:space="preserve"> mc(100, 0, 4, 1, 2, "x^2+y^2")-92/3</f>
        <v>2.4240416956426252</v>
      </c>
      <c r="C68" cm="1">
        <f t="array" ref="C68" xml:space="preserve"> mc(500, 0, 4, 1, 2, "x^2+y^2")-92/3</f>
        <v>-0.99168624713882991</v>
      </c>
      <c r="D68" cm="1">
        <f t="array" ref="D68" xml:space="preserve"> mc(1000, 0, 4, 1, 2, "x^2+y^2")-92/3</f>
        <v>0.97525417429797301</v>
      </c>
      <c r="F68" cm="1">
        <f t="array" ref="F68" xml:space="preserve"> ( mc(100, 3, 4, -1, 1, "EXP(x * sin(y))") ) - 7.39981</f>
        <v>-0.10131556206909842</v>
      </c>
      <c r="G68" cm="1">
        <f t="array" ref="G68" xml:space="preserve"> ( mc(500, 3, 4, -1, 1, "EXP(x * sin(y))") ) - 7.39981</f>
        <v>-0.69227663467371947</v>
      </c>
      <c r="H68" cm="1">
        <f t="array" ref="H68" xml:space="preserve"> ( mc(1000, 3, 4, -1, 1, "EXP(x * sin(y))") ) - 7.39981</f>
        <v>0.22148906256349665</v>
      </c>
      <c r="J68" cm="1">
        <f t="array" ref="J68" xml:space="preserve"> mc(100, -PI()/2,0,-1, 1, "ln(EXP(x * y))")</f>
        <v>-0.43490863856163003</v>
      </c>
      <c r="K68" cm="1">
        <f t="array" ref="K68" xml:space="preserve"> mc(500, -PI()/2,0,-1, 1, "ln(EXP(x * y))")</f>
        <v>0.16613521924448743</v>
      </c>
      <c r="L68" cm="1">
        <f t="array" ref="L68" xml:space="preserve"> mc(1000, -PI()/2,0,-1, 1, "ln(EXP(x * y))")</f>
        <v>2.6982085506695101E-3</v>
      </c>
      <c r="N68" cm="1">
        <f t="array" ref="N68" xml:space="preserve"> mc(100, -PI()/2,PI()/2, 0, 1, "sin(cos(x + y))")-1.48235</f>
        <v>0.1397959193623457</v>
      </c>
      <c r="O68" cm="1">
        <f t="array" ref="O68" xml:space="preserve"> mc(500, -PI()/2,PI()/2, 0, 1, "sin(cos(x + y))")-1.48235</f>
        <v>-1.2410357908743119E-3</v>
      </c>
      <c r="P68" cm="1">
        <f t="array" ref="P68" xml:space="preserve"> mc(1000, -PI()/2,PI()/2, 0, 1, "sin(cos(x + y))")-1.48235</f>
        <v>1.7508382246912868E-2</v>
      </c>
    </row>
    <row r="69" spans="1:16" x14ac:dyDescent="0.3">
      <c r="A69">
        <v>39</v>
      </c>
      <c r="B69" cm="1">
        <f t="array" ref="B69" xml:space="preserve"> mc(100, 0, 4, 1, 2, "x^2+y^2")-92/3</f>
        <v>3.5721556142846858</v>
      </c>
      <c r="C69" cm="1">
        <f t="array" ref="C69" xml:space="preserve"> mc(500, 0, 4, 1, 2, "x^2+y^2")-92/3</f>
        <v>1.4429346076127239</v>
      </c>
      <c r="D69" cm="1">
        <f t="array" ref="D69" xml:space="preserve"> mc(1000, 0, 4, 1, 2, "x^2+y^2")-92/3</f>
        <v>0.91210020517727841</v>
      </c>
      <c r="F69" cm="1">
        <f t="array" ref="F69" xml:space="preserve"> ( mc(100, 3, 4, -1, 1, "EXP(x * sin(y))") ) - 7.39981</f>
        <v>0.69284962155866836</v>
      </c>
      <c r="G69" cm="1">
        <f t="array" ref="G69" xml:space="preserve"> ( mc(500, 3, 4, -1, 1, "EXP(x * sin(y))") ) - 7.39981</f>
        <v>-2.0905586531823062E-3</v>
      </c>
      <c r="H69" cm="1">
        <f t="array" ref="H69" xml:space="preserve"> ( mc(1000, 3, 4, -1, 1, "EXP(x * sin(y))") ) - 7.39981</f>
        <v>0.24765453952712591</v>
      </c>
      <c r="J69" cm="1">
        <f t="array" ref="J69" xml:space="preserve"> mc(100, -PI()/2,0,-1, 1, "ln(EXP(x * y))")</f>
        <v>5.5535971871179604E-3</v>
      </c>
      <c r="K69" cm="1">
        <f t="array" ref="K69" xml:space="preserve"> mc(500, -PI()/2,0,-1, 1, "ln(EXP(x * y))")</f>
        <v>2.4847840224739508E-2</v>
      </c>
      <c r="L69" cm="1">
        <f t="array" ref="L69" xml:space="preserve"> mc(1000, -PI()/2,0,-1, 1, "ln(EXP(x * y))")</f>
        <v>-1.6526155223017369E-2</v>
      </c>
      <c r="N69" cm="1">
        <f t="array" ref="N69" xml:space="preserve"> mc(100, -PI()/2,PI()/2, 0, 1, "sin(cos(x + y))")-1.48235</f>
        <v>-0.13379653741679509</v>
      </c>
      <c r="O69" cm="1">
        <f t="array" ref="O69" xml:space="preserve"> mc(500, -PI()/2,PI()/2, 0, 1, "sin(cos(x + y))")-1.48235</f>
        <v>-4.365518877943475E-2</v>
      </c>
      <c r="P69" cm="1">
        <f t="array" ref="P69" xml:space="preserve"> mc(1000, -PI()/2,PI()/2, 0, 1, "sin(cos(x + y))")-1.48235</f>
        <v>-5.0955329468882482E-4</v>
      </c>
    </row>
    <row r="70" spans="1:16" x14ac:dyDescent="0.3">
      <c r="A70">
        <v>40</v>
      </c>
      <c r="B70" cm="1">
        <f t="array" ref="B70" xml:space="preserve"> mc(100, 0, 4, 1, 2, "x^2+y^2")-92/3</f>
        <v>2.2088703586868412</v>
      </c>
      <c r="C70" cm="1">
        <f t="array" ref="C70" xml:space="preserve"> mc(500, 0, 4, 1, 2, "x^2+y^2")-92/3</f>
        <v>0.45838003046533871</v>
      </c>
      <c r="D70" cm="1">
        <f t="array" ref="D70" xml:space="preserve"> mc(1000, 0, 4, 1, 2, "x^2+y^2")-92/3</f>
        <v>0.96921072129640962</v>
      </c>
      <c r="F70" cm="1">
        <f t="array" ref="F70" xml:space="preserve"> ( mc(100, 3, 4, -1, 1, "EXP(x * sin(y))") ) - 7.39981</f>
        <v>1.4992124886407474</v>
      </c>
      <c r="G70" cm="1">
        <f t="array" ref="G70" xml:space="preserve"> ( mc(500, 3, 4, -1, 1, "EXP(x * sin(y))") ) - 7.39981</f>
        <v>0.16835859644063067</v>
      </c>
      <c r="H70" cm="1">
        <f t="array" ref="H70" xml:space="preserve"> ( mc(1000, 3, 4, -1, 1, "EXP(x * sin(y))") ) - 7.39981</f>
        <v>-4.9125705656789975E-2</v>
      </c>
      <c r="J70" cm="1">
        <f t="array" ref="J70" xml:space="preserve"> mc(100, -PI()/2,0,-1, 1, "ln(EXP(x * y))")</f>
        <v>9.5845640220561662E-2</v>
      </c>
      <c r="K70" cm="1">
        <f t="array" ref="K70" xml:space="preserve"> mc(500, -PI()/2,0,-1, 1, "ln(EXP(x * y))")</f>
        <v>0.12982155728606548</v>
      </c>
      <c r="L70" cm="1">
        <f t="array" ref="L70" xml:space="preserve"> mc(1000, -PI()/2,0,-1, 1, "ln(EXP(x * y))")</f>
        <v>-2.467048992811597E-2</v>
      </c>
      <c r="N70" cm="1">
        <f t="array" ref="N70" xml:space="preserve"> mc(100, -PI()/2,PI()/2, 0, 1, "sin(cos(x + y))")-1.48235</f>
        <v>-6.7276594238564025E-2</v>
      </c>
      <c r="O70" cm="1">
        <f t="array" ref="O70" xml:space="preserve"> mc(500, -PI()/2,PI()/2, 0, 1, "sin(cos(x + y))")-1.48235</f>
        <v>2.3423641715136778E-2</v>
      </c>
      <c r="P70" cm="1">
        <f t="array" ref="P70" xml:space="preserve"> mc(1000, -PI()/2,PI()/2, 0, 1, "sin(cos(x + y))")-1.48235</f>
        <v>-1.4795010238229711E-2</v>
      </c>
    </row>
    <row r="71" spans="1:16" x14ac:dyDescent="0.3">
      <c r="A71">
        <v>41</v>
      </c>
      <c r="B71" cm="1">
        <f t="array" ref="B71" xml:space="preserve"> mc(100, 0, 4, 1, 2, "x^2+y^2")-92/3</f>
        <v>2.4010384767090507</v>
      </c>
      <c r="C71" cm="1">
        <f t="array" ref="C71" xml:space="preserve"> mc(500, 0, 4, 1, 2, "x^2+y^2")-92/3</f>
        <v>0.36018352900021711</v>
      </c>
      <c r="D71" cm="1">
        <f t="array" ref="D71" xml:space="preserve"> mc(1000, 0, 4, 1, 2, "x^2+y^2")-92/3</f>
        <v>0.39978946565656059</v>
      </c>
      <c r="F71" cm="1">
        <f t="array" ref="F71" xml:space="preserve"> ( mc(100, 3, 4, -1, 1, "EXP(x * sin(y))") ) - 7.39981</f>
        <v>-0.46230484993370347</v>
      </c>
      <c r="G71" cm="1">
        <f t="array" ref="G71" xml:space="preserve"> ( mc(500, 3, 4, -1, 1, "EXP(x * sin(y))") ) - 7.39981</f>
        <v>0.34817903788612004</v>
      </c>
      <c r="H71" cm="1">
        <f t="array" ref="H71" xml:space="preserve"> ( mc(1000, 3, 4, -1, 1, "EXP(x * sin(y))") ) - 7.39981</f>
        <v>8.6090112995658608E-2</v>
      </c>
      <c r="J71" cm="1">
        <f t="array" ref="J71" xml:space="preserve"> mc(100, -PI()/2,0,-1, 1, "ln(EXP(x * y))")</f>
        <v>-0.37691230239393786</v>
      </c>
      <c r="K71" cm="1">
        <f t="array" ref="K71" xml:space="preserve"> mc(500, -PI()/2,0,-1, 1, "ln(EXP(x * y))")</f>
        <v>-6.4240394818560698E-2</v>
      </c>
      <c r="L71" cm="1">
        <f t="array" ref="L71" xml:space="preserve"> mc(1000, -PI()/2,0,-1, 1, "ln(EXP(x * y))")</f>
        <v>0.12072740640246009</v>
      </c>
      <c r="N71" cm="1">
        <f t="array" ref="N71" xml:space="preserve"> mc(100, -PI()/2,PI()/2, 0, 1, "sin(cos(x + y))")-1.48235</f>
        <v>0.1560440675534327</v>
      </c>
      <c r="O71" cm="1">
        <f t="array" ref="O71" xml:space="preserve"> mc(500, -PI()/2,PI()/2, 0, 1, "sin(cos(x + y))")-1.48235</f>
        <v>-1.5624712914996008E-2</v>
      </c>
      <c r="P71" cm="1">
        <f t="array" ref="P71" xml:space="preserve"> mc(1000, -PI()/2,PI()/2, 0, 1, "sin(cos(x + y))")-1.48235</f>
        <v>-7.124748106711154E-3</v>
      </c>
    </row>
    <row r="72" spans="1:16" x14ac:dyDescent="0.3">
      <c r="A72">
        <v>42</v>
      </c>
      <c r="B72" cm="1">
        <f t="array" ref="B72" xml:space="preserve"> mc(100, 0, 4, 1, 2, "x^2+y^2")-92/3</f>
        <v>1.6405285907474969</v>
      </c>
      <c r="C72" cm="1">
        <f t="array" ref="C72" xml:space="preserve"> mc(500, 0, 4, 1, 2, "x^2+y^2")-92/3</f>
        <v>-0.10755123803350841</v>
      </c>
      <c r="D72" cm="1">
        <f t="array" ref="D72" xml:space="preserve"> mc(1000, 0, 4, 1, 2, "x^2+y^2")-92/3</f>
        <v>1.0000623473765842</v>
      </c>
      <c r="F72" cm="1">
        <f t="array" ref="F72" xml:space="preserve"> ( mc(100, 3, 4, -1, 1, "EXP(x * sin(y))") ) - 7.39981</f>
        <v>-0.16927216814101875</v>
      </c>
      <c r="G72" cm="1">
        <f t="array" ref="G72" xml:space="preserve"> ( mc(500, 3, 4, -1, 1, "EXP(x * sin(y))") ) - 7.39981</f>
        <v>-0.38136628882495671</v>
      </c>
      <c r="H72" cm="1">
        <f t="array" ref="H72" xml:space="preserve"> ( mc(1000, 3, 4, -1, 1, "EXP(x * sin(y))") ) - 7.39981</f>
        <v>0.6369028280376039</v>
      </c>
      <c r="J72" cm="1">
        <f t="array" ref="J72" xml:space="preserve"> mc(100, -PI()/2,0,-1, 1, "ln(EXP(x * y))")</f>
        <v>0.12404270030171691</v>
      </c>
      <c r="K72" cm="1">
        <f t="array" ref="K72" xml:space="preserve"> mc(500, -PI()/2,0,-1, 1, "ln(EXP(x * y))")</f>
        <v>1.902160798364632E-2</v>
      </c>
      <c r="L72" cm="1">
        <f t="array" ref="L72" xml:space="preserve"> mc(1000, -PI()/2,0,-1, 1, "ln(EXP(x * y))")</f>
        <v>2.2246009581847342E-2</v>
      </c>
      <c r="N72" cm="1">
        <f t="array" ref="N72" xml:space="preserve"> mc(100, -PI()/2,PI()/2, 0, 1, "sin(cos(x + y))")-1.48235</f>
        <v>-7.5792950899252975E-2</v>
      </c>
      <c r="O72" cm="1">
        <f t="array" ref="O72" xml:space="preserve"> mc(500, -PI()/2,PI()/2, 0, 1, "sin(cos(x + y))")-1.48235</f>
        <v>-9.6834279037523396E-2</v>
      </c>
      <c r="P72" cm="1">
        <f t="array" ref="P72" xml:space="preserve"> mc(1000, -PI()/2,PI()/2, 0, 1, "sin(cos(x + y))")-1.48235</f>
        <v>-5.2683603309198412E-2</v>
      </c>
    </row>
    <row r="73" spans="1:16" x14ac:dyDescent="0.3">
      <c r="A73">
        <v>43</v>
      </c>
      <c r="B73" cm="1">
        <f t="array" ref="B73" xml:space="preserve"> mc(100, 0, 4, 1, 2, "x^2+y^2")-92/3</f>
        <v>-1.0297547333794874</v>
      </c>
      <c r="C73" cm="1">
        <f t="array" ref="C73" xml:space="preserve"> mc(500, 0, 4, 1, 2, "x^2+y^2")-92/3</f>
        <v>-0.64390415938807521</v>
      </c>
      <c r="D73" cm="1">
        <f t="array" ref="D73" xml:space="preserve"> mc(1000, 0, 4, 1, 2, "x^2+y^2")-92/3</f>
        <v>-0.43079957983547246</v>
      </c>
      <c r="F73" cm="1">
        <f t="array" ref="F73" xml:space="preserve"> ( mc(100, 3, 4, -1, 1, "EXP(x * sin(y))") ) - 7.39981</f>
        <v>-0.71575821201253298</v>
      </c>
      <c r="G73" cm="1">
        <f t="array" ref="G73" xml:space="preserve"> ( mc(500, 3, 4, -1, 1, "EXP(x * sin(y))") ) - 7.39981</f>
        <v>0.38143718184082154</v>
      </c>
      <c r="H73" cm="1">
        <f t="array" ref="H73" xml:space="preserve"> ( mc(1000, 3, 4, -1, 1, "EXP(x * sin(y))") ) - 7.39981</f>
        <v>-2.2546086179993097E-2</v>
      </c>
      <c r="J73" cm="1">
        <f t="array" ref="J73" xml:space="preserve"> mc(100, -PI()/2,0,-1, 1, "ln(EXP(x * y))")</f>
        <v>1.7475041139355718E-2</v>
      </c>
      <c r="K73" cm="1">
        <f t="array" ref="K73" xml:space="preserve"> mc(500, -PI()/2,0,-1, 1, "ln(EXP(x * y))")</f>
        <v>5.7488092149116385E-3</v>
      </c>
      <c r="L73" cm="1">
        <f t="array" ref="L73" xml:space="preserve"> mc(1000, -PI()/2,0,-1, 1, "ln(EXP(x * y))")</f>
        <v>1.316259673764102E-2</v>
      </c>
      <c r="N73" cm="1">
        <f t="array" ref="N73" xml:space="preserve"> mc(100, -PI()/2,PI()/2, 0, 1, "sin(cos(x + y))")-1.48235</f>
        <v>-1.5591329548609867E-2</v>
      </c>
      <c r="O73" cm="1">
        <f t="array" ref="O73" xml:space="preserve"> mc(500, -PI()/2,PI()/2, 0, 1, "sin(cos(x + y))")-1.48235</f>
        <v>-4.3569399772017015E-2</v>
      </c>
      <c r="P73" cm="1">
        <f t="array" ref="P73" xml:space="preserve"> mc(1000, -PI()/2,PI()/2, 0, 1, "sin(cos(x + y))")-1.48235</f>
        <v>-5.1668963391806599E-2</v>
      </c>
    </row>
    <row r="74" spans="1:16" x14ac:dyDescent="0.3">
      <c r="A74">
        <v>44</v>
      </c>
      <c r="B74" cm="1">
        <f t="array" ref="B74" xml:space="preserve"> mc(100, 0, 4, 1, 2, "x^2+y^2")-92/3</f>
        <v>-1.8294628104492432</v>
      </c>
      <c r="C74" cm="1">
        <f t="array" ref="C74" xml:space="preserve"> mc(500, 0, 4, 1, 2, "x^2+y^2")-92/3</f>
        <v>0.10642033991354083</v>
      </c>
      <c r="D74" cm="1">
        <f t="array" ref="D74" xml:space="preserve"> mc(1000, 0, 4, 1, 2, "x^2+y^2")-92/3</f>
        <v>0.4413172719188907</v>
      </c>
      <c r="F74" cm="1">
        <f t="array" ref="F74" xml:space="preserve"> ( mc(100, 3, 4, -1, 1, "EXP(x * sin(y))") ) - 7.39981</f>
        <v>-0.64834090355248897</v>
      </c>
      <c r="G74" cm="1">
        <f t="array" ref="G74" xml:space="preserve"> ( mc(500, 3, 4, -1, 1, "EXP(x * sin(y))") ) - 7.39981</f>
        <v>8.0943494892101953E-2</v>
      </c>
      <c r="H74" cm="1">
        <f t="array" ref="H74" xml:space="preserve"> ( mc(1000, 3, 4, -1, 1, "EXP(x * sin(y))") ) - 7.39981</f>
        <v>-0.83116468581373493</v>
      </c>
      <c r="J74" cm="1">
        <f t="array" ref="J74" xml:space="preserve"> mc(100, -PI()/2,0,-1, 1, "ln(EXP(x * y))")</f>
        <v>-0.13615700259801711</v>
      </c>
      <c r="K74" cm="1">
        <f t="array" ref="K74" xml:space="preserve"> mc(500, -PI()/2,0,-1, 1, "ln(EXP(x * y))")</f>
        <v>0.16033956988612758</v>
      </c>
      <c r="L74" cm="1">
        <f t="array" ref="L74" xml:space="preserve"> mc(1000, -PI()/2,0,-1, 1, "ln(EXP(x * y))")</f>
        <v>-6.5992321199109513E-2</v>
      </c>
      <c r="N74" cm="1">
        <f t="array" ref="N74" xml:space="preserve"> mc(100, -PI()/2,PI()/2, 0, 1, "sin(cos(x + y))")-1.48235</f>
        <v>-0.12040816031238921</v>
      </c>
      <c r="O74" cm="1">
        <f t="array" ref="O74" xml:space="preserve"> mc(500, -PI()/2,PI()/2, 0, 1, "sin(cos(x + y))")-1.48235</f>
        <v>-1.8306102316571815E-2</v>
      </c>
      <c r="P74" cm="1">
        <f t="array" ref="P74" xml:space="preserve"> mc(1000, -PI()/2,PI()/2, 0, 1, "sin(cos(x + y))")-1.48235</f>
        <v>-7.4677917661983173E-2</v>
      </c>
    </row>
    <row r="75" spans="1:16" x14ac:dyDescent="0.3">
      <c r="A75">
        <v>45</v>
      </c>
      <c r="B75" cm="1">
        <f t="array" ref="B75" xml:space="preserve"> mc(100, 0, 4, 1, 2, "x^2+y^2")-92/3</f>
        <v>1.1955938932847374</v>
      </c>
      <c r="C75" cm="1">
        <f t="array" ref="C75" xml:space="preserve"> mc(500, 0, 4, 1, 2, "x^2+y^2")-92/3</f>
        <v>0.92295326062137306</v>
      </c>
      <c r="D75" cm="1">
        <f t="array" ref="D75" xml:space="preserve"> mc(1000, 0, 4, 1, 2, "x^2+y^2")-92/3</f>
        <v>0.20099632337483442</v>
      </c>
      <c r="F75" cm="1">
        <f t="array" ref="F75" xml:space="preserve"> ( mc(100, 3, 4, -1, 1, "EXP(x * sin(y))") ) - 7.39981</f>
        <v>-8.5964600620053844E-2</v>
      </c>
      <c r="G75" cm="1">
        <f t="array" ref="G75" xml:space="preserve"> ( mc(500, 3, 4, -1, 1, "EXP(x * sin(y))") ) - 7.39981</f>
        <v>-0.11904678880818675</v>
      </c>
      <c r="H75" cm="1">
        <f t="array" ref="H75" xml:space="preserve"> ( mc(1000, 3, 4, -1, 1, "EXP(x * sin(y))") ) - 7.39981</f>
        <v>-0.21074973830815757</v>
      </c>
      <c r="J75" cm="1">
        <f t="array" ref="J75" xml:space="preserve"> mc(100, -PI()/2,0,-1, 1, "ln(EXP(x * y))")</f>
        <v>0.2780951237431103</v>
      </c>
      <c r="K75" cm="1">
        <f t="array" ref="K75" xml:space="preserve"> mc(500, -PI()/2,0,-1, 1, "ln(EXP(x * y))")</f>
        <v>-4.230222807965494E-2</v>
      </c>
      <c r="L75" cm="1">
        <f t="array" ref="L75" xml:space="preserve"> mc(1000, -PI()/2,0,-1, 1, "ln(EXP(x * y))")</f>
        <v>3.6236223352690181E-2</v>
      </c>
      <c r="N75" cm="1">
        <f t="array" ref="N75" xml:space="preserve"> mc(100, -PI()/2,PI()/2, 0, 1, "sin(cos(x + y))")-1.48235</f>
        <v>-0.17099850569602482</v>
      </c>
      <c r="O75" cm="1">
        <f t="array" ref="O75" xml:space="preserve"> mc(500, -PI()/2,PI()/2, 0, 1, "sin(cos(x + y))")-1.48235</f>
        <v>4.3394454884033262E-2</v>
      </c>
      <c r="P75" cm="1">
        <f t="array" ref="P75" xml:space="preserve"> mc(1000, -PI()/2,PI()/2, 0, 1, "sin(cos(x + y))")-1.48235</f>
        <v>-4.4735629300883595E-2</v>
      </c>
    </row>
    <row r="76" spans="1:16" x14ac:dyDescent="0.3">
      <c r="A76">
        <v>46</v>
      </c>
      <c r="B76" cm="1">
        <f t="array" ref="B76" xml:space="preserve"> mc(100, 0, 4, 1, 2, "x^2+y^2")-92/3</f>
        <v>-2.1348951577867794</v>
      </c>
      <c r="C76" cm="1">
        <f t="array" ref="C76" xml:space="preserve"> mc(500, 0, 4, 1, 2, "x^2+y^2")-92/3</f>
        <v>0.10681054838300241</v>
      </c>
      <c r="D76" cm="1">
        <f t="array" ref="D76" xml:space="preserve"> mc(1000, 0, 4, 1, 2, "x^2+y^2")-92/3</f>
        <v>-0.12567783242631236</v>
      </c>
      <c r="F76" cm="1">
        <f t="array" ref="F76" xml:space="preserve"> ( mc(100, 3, 4, -1, 1, "EXP(x * sin(y))") ) - 7.39981</f>
        <v>0.86959355883029055</v>
      </c>
      <c r="G76" cm="1">
        <f t="array" ref="G76" xml:space="preserve"> ( mc(500, 3, 4, -1, 1, "EXP(x * sin(y))") ) - 7.39981</f>
        <v>-1.1888551658710611E-2</v>
      </c>
      <c r="H76" cm="1">
        <f t="array" ref="H76" xml:space="preserve"> ( mc(1000, 3, 4, -1, 1, "EXP(x * sin(y))") ) - 7.39981</f>
        <v>-0.20711657597867461</v>
      </c>
      <c r="J76" cm="1">
        <f t="array" ref="J76" xml:space="preserve"> mc(100, -PI()/2,0,-1, 1, "ln(EXP(x * y))")</f>
        <v>2.5930482535918637E-2</v>
      </c>
      <c r="K76" cm="1">
        <f t="array" ref="K76" xml:space="preserve"> mc(500, -PI()/2,0,-1, 1, "ln(EXP(x * y))")</f>
        <v>-0.12805540061681697</v>
      </c>
      <c r="L76" cm="1">
        <f t="array" ref="L76" xml:space="preserve"> mc(1000, -PI()/2,0,-1, 1, "ln(EXP(x * y))")</f>
        <v>-0.1014867123179207</v>
      </c>
      <c r="N76" cm="1">
        <f t="array" ref="N76" xml:space="preserve"> mc(100, -PI()/2,PI()/2, 0, 1, "sin(cos(x + y))")-1.48235</f>
        <v>-0.31090361192183513</v>
      </c>
      <c r="O76" cm="1">
        <f t="array" ref="O76" xml:space="preserve"> mc(500, -PI()/2,PI()/2, 0, 1, "sin(cos(x + y))")-1.48235</f>
        <v>2.4377828714135852E-2</v>
      </c>
      <c r="P76" cm="1">
        <f t="array" ref="P76" xml:space="preserve"> mc(1000, -PI()/2,PI()/2, 0, 1, "sin(cos(x + y))")-1.48235</f>
        <v>-2.4831436454613387E-2</v>
      </c>
    </row>
    <row r="77" spans="1:16" x14ac:dyDescent="0.3">
      <c r="A77">
        <v>47</v>
      </c>
      <c r="B77" cm="1">
        <f t="array" ref="B77" xml:space="preserve"> mc(100, 0, 4, 1, 2, "x^2+y^2")-92/3</f>
        <v>-1.1732895877959812</v>
      </c>
      <c r="C77" cm="1">
        <f t="array" ref="C77" xml:space="preserve"> mc(500, 0, 4, 1, 2, "x^2+y^2")-92/3</f>
        <v>0.20332119681168237</v>
      </c>
      <c r="D77" cm="1">
        <f t="array" ref="D77" xml:space="preserve"> mc(1000, 0, 4, 1, 2, "x^2+y^2")-92/3</f>
        <v>-7.3152679101713858E-2</v>
      </c>
      <c r="F77" cm="1">
        <f t="array" ref="F77" xml:space="preserve"> ( mc(100, 3, 4, -1, 1, "EXP(x * sin(y))") ) - 7.39981</f>
        <v>-0.43804728635908674</v>
      </c>
      <c r="G77" cm="1">
        <f t="array" ref="G77" xml:space="preserve"> ( mc(500, 3, 4, -1, 1, "EXP(x * sin(y))") ) - 7.39981</f>
        <v>-0.61420271499041856</v>
      </c>
      <c r="H77" cm="1">
        <f t="array" ref="H77" xml:space="preserve"> ( mc(1000, 3, 4, -1, 1, "EXP(x * sin(y))") ) - 7.39981</f>
        <v>-0.6876179816259862</v>
      </c>
      <c r="J77" cm="1">
        <f t="array" ref="J77" xml:space="preserve"> mc(100, -PI()/2,0,-1, 1, "ln(EXP(x * y))")</f>
        <v>-2.06488882645102E-3</v>
      </c>
      <c r="K77" cm="1">
        <f t="array" ref="K77" xml:space="preserve"> mc(500, -PI()/2,0,-1, 1, "ln(EXP(x * y))")</f>
        <v>2.4642150803290165E-2</v>
      </c>
      <c r="L77" cm="1">
        <f t="array" ref="L77" xml:space="preserve"> mc(1000, -PI()/2,0,-1, 1, "ln(EXP(x * y))")</f>
        <v>5.2442314998511326E-2</v>
      </c>
      <c r="N77" cm="1">
        <f t="array" ref="N77" xml:space="preserve"> mc(100, -PI()/2,PI()/2, 0, 1, "sin(cos(x + y))")-1.48235</f>
        <v>0.10118045375375417</v>
      </c>
      <c r="O77" cm="1">
        <f t="array" ref="O77" xml:space="preserve"> mc(500, -PI()/2,PI()/2, 0, 1, "sin(cos(x + y))")-1.48235</f>
        <v>2.1951799228459246E-2</v>
      </c>
      <c r="P77" cm="1">
        <f t="array" ref="P77" xml:space="preserve"> mc(1000, -PI()/2,PI()/2, 0, 1, "sin(cos(x + y))")-1.48235</f>
        <v>-3.0673277333443938E-2</v>
      </c>
    </row>
    <row r="78" spans="1:16" x14ac:dyDescent="0.3">
      <c r="A78">
        <v>48</v>
      </c>
      <c r="B78" cm="1">
        <f t="array" ref="B78" xml:space="preserve"> mc(100, 0, 4, 1, 2, "x^2+y^2")-92/3</f>
        <v>-0.6952832279439356</v>
      </c>
      <c r="C78" cm="1">
        <f t="array" ref="C78" xml:space="preserve"> mc(500, 0, 4, 1, 2, "x^2+y^2")-92/3</f>
        <v>1.3035325299470024</v>
      </c>
      <c r="D78" cm="1">
        <f t="array" ref="D78" xml:space="preserve"> mc(1000, 0, 4, 1, 2, "x^2+y^2")-92/3</f>
        <v>1.0019580670018797</v>
      </c>
      <c r="F78" cm="1">
        <f t="array" ref="F78" xml:space="preserve"> ( mc(100, 3, 4, -1, 1, "EXP(x * sin(y))") ) - 7.39981</f>
        <v>-2.3645726323475511</v>
      </c>
      <c r="G78" cm="1">
        <f t="array" ref="G78" xml:space="preserve"> ( mc(500, 3, 4, -1, 1, "EXP(x * sin(y))") ) - 7.39981</f>
        <v>0.57004240234052084</v>
      </c>
      <c r="H78" cm="1">
        <f t="array" ref="H78" xml:space="preserve"> ( mc(1000, 3, 4, -1, 1, "EXP(x * sin(y))") ) - 7.39981</f>
        <v>-0.1821015369146517</v>
      </c>
      <c r="J78" cm="1">
        <f t="array" ref="J78" xml:space="preserve"> mc(100, -PI()/2,0,-1, 1, "ln(EXP(x * y))")</f>
        <v>-0.10997344254870715</v>
      </c>
      <c r="K78" cm="1">
        <f t="array" ref="K78" xml:space="preserve"> mc(500, -PI()/2,0,-1, 1, "ln(EXP(x * y))")</f>
        <v>-1.467072113299079E-2</v>
      </c>
      <c r="L78" cm="1">
        <f t="array" ref="L78" xml:space="preserve"> mc(1000, -PI()/2,0,-1, 1, "ln(EXP(x * y))")</f>
        <v>9.1318053209304639E-2</v>
      </c>
      <c r="N78" cm="1">
        <f t="array" ref="N78" xml:space="preserve"> mc(100, -PI()/2,PI()/2, 0, 1, "sin(cos(x + y))")-1.48235</f>
        <v>0.16685857324470277</v>
      </c>
      <c r="O78" cm="1">
        <f t="array" ref="O78" xml:space="preserve"> mc(500, -PI()/2,PI()/2, 0, 1, "sin(cos(x + y))")-1.48235</f>
        <v>0.12389932351961885</v>
      </c>
      <c r="P78" cm="1">
        <f t="array" ref="P78" xml:space="preserve"> mc(1000, -PI()/2,PI()/2, 0, 1, "sin(cos(x + y))")-1.48235</f>
        <v>-5.3533280185273258E-2</v>
      </c>
    </row>
    <row r="79" spans="1:16" x14ac:dyDescent="0.3">
      <c r="A79">
        <v>49</v>
      </c>
      <c r="B79" cm="1">
        <f t="array" ref="B79" xml:space="preserve"> mc(100, 0, 4, 1, 2, "x^2+y^2")-92/3</f>
        <v>0.20310760478166046</v>
      </c>
      <c r="C79" cm="1">
        <f t="array" ref="C79" xml:space="preserve"> mc(500, 0, 4, 1, 2, "x^2+y^2")-92/3</f>
        <v>-1.3518543914546406</v>
      </c>
      <c r="D79" cm="1">
        <f t="array" ref="D79" xml:space="preserve"> mc(1000, 0, 4, 1, 2, "x^2+y^2")-92/3</f>
        <v>0.93466933769145299</v>
      </c>
      <c r="F79" cm="1">
        <f t="array" ref="F79" xml:space="preserve"> ( mc(100, 3, 4, -1, 1, "EXP(x * sin(y))") ) - 7.39981</f>
        <v>-0.21637377250375422</v>
      </c>
      <c r="G79" cm="1">
        <f t="array" ref="G79" xml:space="preserve"> ( mc(500, 3, 4, -1, 1, "EXP(x * sin(y))") ) - 7.39981</f>
        <v>0.79749813524612989</v>
      </c>
      <c r="H79" cm="1">
        <f t="array" ref="H79" xml:space="preserve"> ( mc(1000, 3, 4, -1, 1, "EXP(x * sin(y))") ) - 7.39981</f>
        <v>-7.9660288923184552E-3</v>
      </c>
      <c r="J79" cm="1">
        <f t="array" ref="J79" xml:space="preserve"> mc(100, -PI()/2,0,-1, 1, "ln(EXP(x * y))")</f>
        <v>-0.16238153128798472</v>
      </c>
      <c r="K79" cm="1">
        <f t="array" ref="K79" xml:space="preserve"> mc(500, -PI()/2,0,-1, 1, "ln(EXP(x * y))")</f>
        <v>3.904257660783985E-2</v>
      </c>
      <c r="L79" cm="1">
        <f t="array" ref="L79" xml:space="preserve"> mc(1000, -PI()/2,0,-1, 1, "ln(EXP(x * y))")</f>
        <v>-5.6726044988333751E-2</v>
      </c>
      <c r="N79" cm="1">
        <f t="array" ref="N79" xml:space="preserve"> mc(100, -PI()/2,PI()/2, 0, 1, "sin(cos(x + y))")-1.48235</f>
        <v>0.20807977767710883</v>
      </c>
      <c r="O79" cm="1">
        <f t="array" ref="O79" xml:space="preserve"> mc(500, -PI()/2,PI()/2, 0, 1, "sin(cos(x + y))")-1.48235</f>
        <v>-0.11794818702225585</v>
      </c>
      <c r="P79" cm="1">
        <f t="array" ref="P79" xml:space="preserve"> mc(1000, -PI()/2,PI()/2, 0, 1, "sin(cos(x + y))")-1.48235</f>
        <v>-7.3808633323479977E-3</v>
      </c>
    </row>
    <row r="80" spans="1:16" x14ac:dyDescent="0.3">
      <c r="A80">
        <v>50</v>
      </c>
      <c r="B80" cm="1">
        <f t="array" ref="B80" xml:space="preserve"> mc(100, 0, 4, 1, 2, "x^2+y^2")-92/3</f>
        <v>-1.5736583806681637E-2</v>
      </c>
      <c r="C80" cm="1">
        <f t="array" ref="C80" xml:space="preserve"> mc(500, 0, 4, 1, 2, "x^2+y^2")-92/3</f>
        <v>-1.3735346395913162</v>
      </c>
      <c r="D80" cm="1">
        <f t="array" ref="D80" xml:space="preserve"> mc(1000, 0, 4, 1, 2, "x^2+y^2")-92/3</f>
        <v>-1.2036069692338138</v>
      </c>
      <c r="F80" cm="1">
        <f t="array" ref="F80" xml:space="preserve"> ( mc(100, 3, 4, -1, 1, "EXP(x * sin(y))") ) - 7.39981</f>
        <v>0.79158299953475897</v>
      </c>
      <c r="G80" cm="1">
        <f t="array" ref="G80" xml:space="preserve"> ( mc(500, 3, 4, -1, 1, "EXP(x * sin(y))") ) - 7.39981</f>
        <v>0.10819023659869753</v>
      </c>
      <c r="H80" cm="1">
        <f t="array" ref="H80" xml:space="preserve"> ( mc(1000, 3, 4, -1, 1, "EXP(x * sin(y))") ) - 7.39981</f>
        <v>0.19708208829598561</v>
      </c>
      <c r="J80" cm="1">
        <f t="array" ref="J80" xml:space="preserve"> mc(100, -PI()/2,0,-1, 1, "ln(EXP(x * y))")</f>
        <v>-5.0047138470653098E-2</v>
      </c>
      <c r="K80" cm="1">
        <f t="array" ref="K80" xml:space="preserve"> mc(500, -PI()/2,0,-1, 1, "ln(EXP(x * y))")</f>
        <v>1.9942275925480518E-2</v>
      </c>
      <c r="L80" cm="1">
        <f t="array" ref="L80" xml:space="preserve"> mc(1000, -PI()/2,0,-1, 1, "ln(EXP(x * y))")</f>
        <v>-9.9621818582236524E-2</v>
      </c>
      <c r="N80" cm="1">
        <f t="array" ref="N80" xml:space="preserve"> mc(100, -PI()/2,PI()/2, 0, 1, "sin(cos(x + y))")-1.48235</f>
        <v>0.13515008804047723</v>
      </c>
      <c r="O80" cm="1">
        <f t="array" ref="O80" xml:space="preserve"> mc(500, -PI()/2,PI()/2, 0, 1, "sin(cos(x + y))")-1.48235</f>
        <v>4.5228147314060996E-2</v>
      </c>
      <c r="P80" cm="1">
        <f t="array" ref="P80" xml:space="preserve"> mc(1000, -PI()/2,PI()/2, 0, 1, "sin(cos(x + y))")-1.48235</f>
        <v>1.6883493343714306E-2</v>
      </c>
    </row>
    <row r="81" spans="1:16" x14ac:dyDescent="0.3">
      <c r="A81">
        <v>51</v>
      </c>
      <c r="B81" cm="1">
        <f t="array" ref="B81" xml:space="preserve"> mc(100, 0, 4, 1, 2, "x^2+y^2")-92/3</f>
        <v>-2.3624593453390652</v>
      </c>
      <c r="C81" cm="1">
        <f t="array" ref="C81" xml:space="preserve"> mc(500, 0, 4, 1, 2, "x^2+y^2")-92/3</f>
        <v>-0.83203674559897678</v>
      </c>
      <c r="D81" cm="1">
        <f t="array" ref="D81" xml:space="preserve"> mc(1000, 0, 4, 1, 2, "x^2+y^2")-92/3</f>
        <v>0.14261113372591439</v>
      </c>
      <c r="F81" cm="1">
        <f t="array" ref="F81" xml:space="preserve"> ( mc(100, 3, 4, -1, 1, "EXP(x * sin(y))") ) - 7.39981</f>
        <v>-0.8026216975393945</v>
      </c>
      <c r="G81" cm="1">
        <f t="array" ref="G81" xml:space="preserve"> ( mc(500, 3, 4, -1, 1, "EXP(x * sin(y))") ) - 7.39981</f>
        <v>-0.9063944751101003</v>
      </c>
      <c r="H81" cm="1">
        <f t="array" ref="H81" xml:space="preserve"> ( mc(1000, 3, 4, -1, 1, "EXP(x * sin(y))") ) - 7.39981</f>
        <v>-0.35725193238337383</v>
      </c>
      <c r="J81" cm="1">
        <f t="array" ref="J81" xml:space="preserve"> mc(100, -PI()/2,0,-1, 1, "ln(EXP(x * y))")</f>
        <v>-0.16260370187620071</v>
      </c>
      <c r="K81" cm="1">
        <f t="array" ref="K81" xml:space="preserve"> mc(500, -PI()/2,0,-1, 1, "ln(EXP(x * y))")</f>
        <v>-6.7154580260628607E-2</v>
      </c>
      <c r="L81" cm="1">
        <f t="array" ref="L81" xml:space="preserve"> mc(1000, -PI()/2,0,-1, 1, "ln(EXP(x * y))")</f>
        <v>4.4605801562291429E-2</v>
      </c>
      <c r="N81" cm="1">
        <f t="array" ref="N81" xml:space="preserve"> mc(100, -PI()/2,PI()/2, 0, 1, "sin(cos(x + y))")-1.48235</f>
        <v>4.5709090482671133E-2</v>
      </c>
      <c r="O81" cm="1">
        <f t="array" ref="O81" xml:space="preserve"> mc(500, -PI()/2,PI()/2, 0, 1, "sin(cos(x + y))")-1.48235</f>
        <v>8.5473286454869069E-3</v>
      </c>
      <c r="P81" cm="1">
        <f t="array" ref="P81" xml:space="preserve"> mc(1000, -PI()/2,PI()/2, 0, 1, "sin(cos(x + y))")-1.48235</f>
        <v>7.6737393426524747E-2</v>
      </c>
    </row>
    <row r="82" spans="1:16" x14ac:dyDescent="0.3">
      <c r="A82">
        <v>52</v>
      </c>
      <c r="B82" cm="1">
        <f t="array" ref="B82" xml:space="preserve"> mc(100, 0, 4, 1, 2, "x^2+y^2")-92/3</f>
        <v>-4.2160045866641376</v>
      </c>
      <c r="C82" cm="1">
        <f t="array" ref="C82" xml:space="preserve"> mc(500, 0, 4, 1, 2, "x^2+y^2")-92/3</f>
        <v>0.72432114276030646</v>
      </c>
      <c r="D82" cm="1">
        <f t="array" ref="D82" xml:space="preserve"> mc(1000, 0, 4, 1, 2, "x^2+y^2")-92/3</f>
        <v>-0.33400569897655785</v>
      </c>
      <c r="F82" cm="1">
        <f t="array" ref="F82" xml:space="preserve"> ( mc(100, 3, 4, -1, 1, "EXP(x * sin(y))") ) - 7.39981</f>
        <v>0.10908213691003699</v>
      </c>
      <c r="G82" cm="1">
        <f t="array" ref="G82" xml:space="preserve"> ( mc(500, 3, 4, -1, 1, "EXP(x * sin(y))") ) - 7.39981</f>
        <v>5.9518307703286588E-2</v>
      </c>
      <c r="H82" cm="1">
        <f t="array" ref="H82" xml:space="preserve"> ( mc(1000, 3, 4, -1, 1, "EXP(x * sin(y))") ) - 7.39981</f>
        <v>0.13676759725895238</v>
      </c>
      <c r="J82" cm="1">
        <f t="array" ref="J82" xml:space="preserve"> mc(100, -PI()/2,0,-1, 1, "ln(EXP(x * y))")</f>
        <v>-0.1593884394877205</v>
      </c>
      <c r="K82" cm="1">
        <f t="array" ref="K82" xml:space="preserve"> mc(500, -PI()/2,0,-1, 1, "ln(EXP(x * y))")</f>
        <v>-4.0868208680858824E-2</v>
      </c>
      <c r="L82" cm="1">
        <f t="array" ref="L82" xml:space="preserve"> mc(1000, -PI()/2,0,-1, 1, "ln(EXP(x * y))")</f>
        <v>4.0762012613475639E-2</v>
      </c>
      <c r="N82" cm="1">
        <f t="array" ref="N82" xml:space="preserve"> mc(100, -PI()/2,PI()/2, 0, 1, "sin(cos(x + y))")-1.48235</f>
        <v>0.12394800847625964</v>
      </c>
      <c r="O82" cm="1">
        <f t="array" ref="O82" xml:space="preserve"> mc(500, -PI()/2,PI()/2, 0, 1, "sin(cos(x + y))")-1.48235</f>
        <v>2.859352923637859E-2</v>
      </c>
      <c r="P82" cm="1">
        <f t="array" ref="P82" xml:space="preserve"> mc(1000, -PI()/2,PI()/2, 0, 1, "sin(cos(x + y))")-1.48235</f>
        <v>-1.6113870264412133E-2</v>
      </c>
    </row>
    <row r="83" spans="1:16" x14ac:dyDescent="0.3">
      <c r="A83">
        <v>53</v>
      </c>
      <c r="B83" cm="1">
        <f t="array" ref="B83" xml:space="preserve"> mc(100, 0, 4, 1, 2, "x^2+y^2")-92/3</f>
        <v>-3.9689053941216095</v>
      </c>
      <c r="C83" cm="1">
        <f t="array" ref="C83" xml:space="preserve"> mc(500, 0, 4, 1, 2, "x^2+y^2")-92/3</f>
        <v>0.59793922412173472</v>
      </c>
      <c r="D83" cm="1">
        <f t="array" ref="D83" xml:space="preserve"> mc(1000, 0, 4, 1, 2, "x^2+y^2")-92/3</f>
        <v>-1.5834722056066859</v>
      </c>
      <c r="F83" cm="1">
        <f t="array" ref="F83" xml:space="preserve"> ( mc(100, 3, 4, -1, 1, "EXP(x * sin(y))") ) - 7.39981</f>
        <v>-0.96948947880910197</v>
      </c>
      <c r="G83" cm="1">
        <f t="array" ref="G83" xml:space="preserve"> ( mc(500, 3, 4, -1, 1, "EXP(x * sin(y))") ) - 7.39981</f>
        <v>-8.9193804729258197E-2</v>
      </c>
      <c r="H83" cm="1">
        <f t="array" ref="H83" xml:space="preserve"> ( mc(1000, 3, 4, -1, 1, "EXP(x * sin(y))") ) - 7.39981</f>
        <v>-0.41940804736585413</v>
      </c>
      <c r="J83" cm="1">
        <f t="array" ref="J83" xml:space="preserve"> mc(100, -PI()/2,0,-1, 1, "ln(EXP(x * y))")</f>
        <v>0.10921578873350231</v>
      </c>
      <c r="K83" cm="1">
        <f t="array" ref="K83" xml:space="preserve"> mc(500, -PI()/2,0,-1, 1, "ln(EXP(x * y))")</f>
        <v>9.1346150952321611E-3</v>
      </c>
      <c r="L83" cm="1">
        <f t="array" ref="L83" xml:space="preserve"> mc(1000, -PI()/2,0,-1, 1, "ln(EXP(x * y))")</f>
        <v>-5.6107085181952294E-2</v>
      </c>
      <c r="N83" cm="1">
        <f t="array" ref="N83" xml:space="preserve"> mc(100, -PI()/2,PI()/2, 0, 1, "sin(cos(x + y))")-1.48235</f>
        <v>-1.7368872945864755E-2</v>
      </c>
      <c r="O83" cm="1">
        <f t="array" ref="O83" xml:space="preserve"> mc(500, -PI()/2,PI()/2, 0, 1, "sin(cos(x + y))")-1.48235</f>
        <v>-2.1596434540592124E-2</v>
      </c>
      <c r="P83" cm="1">
        <f t="array" ref="P83" xml:space="preserve"> mc(1000, -PI()/2,PI()/2, 0, 1, "sin(cos(x + y))")-1.48235</f>
        <v>-1.9659455207573062E-2</v>
      </c>
    </row>
    <row r="84" spans="1:16" x14ac:dyDescent="0.3">
      <c r="A84">
        <v>54</v>
      </c>
      <c r="B84" cm="1">
        <f t="array" ref="B84" xml:space="preserve"> mc(100, 0, 4, 1, 2, "x^2+y^2")-92/3</f>
        <v>0.21665851906246658</v>
      </c>
      <c r="C84" cm="1">
        <f t="array" ref="C84" xml:space="preserve"> mc(500, 0, 4, 1, 2, "x^2+y^2")-92/3</f>
        <v>-0.42438251448762188</v>
      </c>
      <c r="D84" cm="1">
        <f t="array" ref="D84" xml:space="preserve"> mc(1000, 0, 4, 1, 2, "x^2+y^2")-92/3</f>
        <v>0.4932917077090373</v>
      </c>
      <c r="F84" cm="1">
        <f t="array" ref="F84" xml:space="preserve"> ( mc(100, 3, 4, -1, 1, "EXP(x * sin(y))") ) - 7.39981</f>
        <v>1.1577727866360501</v>
      </c>
      <c r="G84" cm="1">
        <f t="array" ref="G84" xml:space="preserve"> ( mc(500, 3, 4, -1, 1, "EXP(x * sin(y))") ) - 7.39981</f>
        <v>0.56641622104219902</v>
      </c>
      <c r="H84" cm="1">
        <f t="array" ref="H84" xml:space="preserve"> ( mc(1000, 3, 4, -1, 1, "EXP(x * sin(y))") ) - 7.39981</f>
        <v>-4.7132169088061282E-2</v>
      </c>
      <c r="J84" cm="1">
        <f t="array" ref="J84" xml:space="preserve"> mc(100, -PI()/2,0,-1, 1, "ln(EXP(x * y))")</f>
        <v>3.4643413364630206E-2</v>
      </c>
      <c r="K84" cm="1">
        <f t="array" ref="K84" xml:space="preserve"> mc(500, -PI()/2,0,-1, 1, "ln(EXP(x * y))")</f>
        <v>0.12988143380236392</v>
      </c>
      <c r="L84" cm="1">
        <f t="array" ref="L84" xml:space="preserve"> mc(1000, -PI()/2,0,-1, 1, "ln(EXP(x * y))")</f>
        <v>6.9879954304765429E-2</v>
      </c>
      <c r="N84" cm="1">
        <f t="array" ref="N84" xml:space="preserve"> mc(100, -PI()/2,PI()/2, 0, 1, "sin(cos(x + y))")-1.48235</f>
        <v>-0.14078685638022415</v>
      </c>
      <c r="O84" cm="1">
        <f t="array" ref="O84" xml:space="preserve"> mc(500, -PI()/2,PI()/2, 0, 1, "sin(cos(x + y))")-1.48235</f>
        <v>2.3103365869016956E-2</v>
      </c>
      <c r="P84" cm="1">
        <f t="array" ref="P84" xml:space="preserve"> mc(1000, -PI()/2,PI()/2, 0, 1, "sin(cos(x + y))")-1.48235</f>
        <v>0.10963398802064517</v>
      </c>
    </row>
    <row r="85" spans="1:16" x14ac:dyDescent="0.3">
      <c r="A85">
        <v>55</v>
      </c>
      <c r="B85" cm="1">
        <f t="array" ref="B85" xml:space="preserve"> mc(100, 0, 4, 1, 2, "x^2+y^2")-92/3</f>
        <v>-1.2166605484055388</v>
      </c>
      <c r="C85" cm="1">
        <f t="array" ref="C85" xml:space="preserve"> mc(500, 0, 4, 1, 2, "x^2+y^2")-92/3</f>
        <v>0.50838122034101119</v>
      </c>
      <c r="D85" cm="1">
        <f t="array" ref="D85" xml:space="preserve"> mc(1000, 0, 4, 1, 2, "x^2+y^2")-92/3</f>
        <v>0.22410230067930215</v>
      </c>
      <c r="F85" cm="1">
        <f t="array" ref="F85" xml:space="preserve"> ( mc(100, 3, 4, -1, 1, "EXP(x * sin(y))") ) - 7.39981</f>
        <v>0.20162774512806525</v>
      </c>
      <c r="G85" cm="1">
        <f t="array" ref="G85" xml:space="preserve"> ( mc(500, 3, 4, -1, 1, "EXP(x * sin(y))") ) - 7.39981</f>
        <v>0.24727319567083139</v>
      </c>
      <c r="H85" cm="1">
        <f t="array" ref="H85" xml:space="preserve"> ( mc(1000, 3, 4, -1, 1, "EXP(x * sin(y))") ) - 7.39981</f>
        <v>-0.22309259781288571</v>
      </c>
      <c r="J85" cm="1">
        <f t="array" ref="J85" xml:space="preserve"> mc(100, -PI()/2,0,-1, 1, "ln(EXP(x * y))")</f>
        <v>0.27482484134425789</v>
      </c>
      <c r="K85" cm="1">
        <f t="array" ref="K85" xml:space="preserve"> mc(500, -PI()/2,0,-1, 1, "ln(EXP(x * y))")</f>
        <v>0.10027937746331494</v>
      </c>
      <c r="L85" cm="1">
        <f t="array" ref="L85" xml:space="preserve"> mc(1000, -PI()/2,0,-1, 1, "ln(EXP(x * y))")</f>
        <v>-2.315396755218271E-2</v>
      </c>
      <c r="N85" cm="1">
        <f t="array" ref="N85" xml:space="preserve"> mc(100, -PI()/2,PI()/2, 0, 1, "sin(cos(x + y))")-1.48235</f>
        <v>-0.14970412973551639</v>
      </c>
      <c r="O85" cm="1">
        <f t="array" ref="O85" xml:space="preserve"> mc(500, -PI()/2,PI()/2, 0, 1, "sin(cos(x + y))")-1.48235</f>
        <v>-4.7403620905095867E-2</v>
      </c>
      <c r="P85" cm="1">
        <f t="array" ref="P85" xml:space="preserve"> mc(1000, -PI()/2,PI()/2, 0, 1, "sin(cos(x + y))")-1.48235</f>
        <v>5.5996439758876804E-2</v>
      </c>
    </row>
    <row r="86" spans="1:16" x14ac:dyDescent="0.3">
      <c r="A86">
        <v>56</v>
      </c>
      <c r="B86" cm="1">
        <f t="array" ref="B86" xml:space="preserve"> mc(100, 0, 4, 1, 2, "x^2+y^2")-92/3</f>
        <v>0.80335443629655146</v>
      </c>
      <c r="C86" cm="1">
        <f t="array" ref="C86" xml:space="preserve"> mc(500, 0, 4, 1, 2, "x^2+y^2")-92/3</f>
        <v>-0.4780174133852455</v>
      </c>
      <c r="D86" cm="1">
        <f t="array" ref="D86" xml:space="preserve"> mc(1000, 0, 4, 1, 2, "x^2+y^2")-92/3</f>
        <v>0.83905727581765888</v>
      </c>
      <c r="F86" cm="1">
        <f t="array" ref="F86" xml:space="preserve"> ( mc(100, 3, 4, -1, 1, "EXP(x * sin(y))") ) - 7.39981</f>
        <v>0.17887030034928042</v>
      </c>
      <c r="G86" cm="1">
        <f t="array" ref="G86" xml:space="preserve"> ( mc(500, 3, 4, -1, 1, "EXP(x * sin(y))") ) - 7.39981</f>
        <v>0.31297565075413125</v>
      </c>
      <c r="H86" cm="1">
        <f t="array" ref="H86" xml:space="preserve"> ( mc(1000, 3, 4, -1, 1, "EXP(x * sin(y))") ) - 7.39981</f>
        <v>-5.0823949062834828E-2</v>
      </c>
      <c r="J86" cm="1">
        <f t="array" ref="J86" xml:space="preserve"> mc(100, -PI()/2,0,-1, 1, "ln(EXP(x * y))")</f>
        <v>3.1627653130632177E-2</v>
      </c>
      <c r="K86" cm="1">
        <f t="array" ref="K86" xml:space="preserve"> mc(500, -PI()/2,0,-1, 1, "ln(EXP(x * y))")</f>
        <v>1.3963243046718416E-2</v>
      </c>
      <c r="L86" cm="1">
        <f t="array" ref="L86" xml:space="preserve"> mc(1000, -PI()/2,0,-1, 1, "ln(EXP(x * y))")</f>
        <v>-5.5493905391023619E-2</v>
      </c>
      <c r="N86" cm="1">
        <f t="array" ref="N86" xml:space="preserve"> mc(100, -PI()/2,PI()/2, 0, 1, "sin(cos(x + y))")-1.48235</f>
        <v>-0.10231146818279258</v>
      </c>
      <c r="O86" cm="1">
        <f t="array" ref="O86" xml:space="preserve"> mc(500, -PI()/2,PI()/2, 0, 1, "sin(cos(x + y))")-1.48235</f>
        <v>7.4769079918443282E-2</v>
      </c>
      <c r="P86" cm="1">
        <f t="array" ref="P86" xml:space="preserve"> mc(1000, -PI()/2,PI()/2, 0, 1, "sin(cos(x + y))")-1.48235</f>
        <v>-0.11857471340258163</v>
      </c>
    </row>
    <row r="87" spans="1:16" x14ac:dyDescent="0.3">
      <c r="A87">
        <v>57</v>
      </c>
      <c r="B87" cm="1">
        <f t="array" ref="B87" xml:space="preserve"> mc(100, 0, 4, 1, 2, "x^2+y^2")-92/3</f>
        <v>0.56993736293265584</v>
      </c>
      <c r="C87" cm="1">
        <f t="array" ref="C87" xml:space="preserve"> mc(500, 0, 4, 1, 2, "x^2+y^2")-92/3</f>
        <v>-0.79703010885647885</v>
      </c>
      <c r="D87" cm="1">
        <f t="array" ref="D87" xml:space="preserve"> mc(1000, 0, 4, 1, 2, "x^2+y^2")-92/3</f>
        <v>-0.32942054034415236</v>
      </c>
      <c r="F87" cm="1">
        <f t="array" ref="F87" xml:space="preserve"> ( mc(100, 3, 4, -1, 1, "EXP(x * sin(y))") ) - 7.39981</f>
        <v>0.60548716614355946</v>
      </c>
      <c r="G87" cm="1">
        <f t="array" ref="G87" xml:space="preserve"> ( mc(500, 3, 4, -1, 1, "EXP(x * sin(y))") ) - 7.39981</f>
        <v>0.41507487500190265</v>
      </c>
      <c r="H87" cm="1">
        <f t="array" ref="H87" xml:space="preserve"> ( mc(1000, 3, 4, -1, 1, "EXP(x * sin(y))") ) - 7.39981</f>
        <v>0.59743015279437373</v>
      </c>
      <c r="J87" cm="1">
        <f t="array" ref="J87" xml:space="preserve"> mc(100, -PI()/2,0,-1, 1, "ln(EXP(x * y))")</f>
        <v>0.13601922848164974</v>
      </c>
      <c r="K87" cm="1">
        <f t="array" ref="K87" xml:space="preserve"> mc(500, -PI()/2,0,-1, 1, "ln(EXP(x * y))")</f>
        <v>5.239080150357385E-2</v>
      </c>
      <c r="L87" cm="1">
        <f t="array" ref="L87" xml:space="preserve"> mc(1000, -PI()/2,0,-1, 1, "ln(EXP(x * y))")</f>
        <v>-0.13268932220302035</v>
      </c>
      <c r="N87" cm="1">
        <f t="array" ref="N87" xml:space="preserve"> mc(100, -PI()/2,PI()/2, 0, 1, "sin(cos(x + y))")-1.48235</f>
        <v>0.16046671024921966</v>
      </c>
      <c r="O87" cm="1">
        <f t="array" ref="O87" xml:space="preserve"> mc(500, -PI()/2,PI()/2, 0, 1, "sin(cos(x + y))")-1.48235</f>
        <v>2.642638267389108E-2</v>
      </c>
      <c r="P87" cm="1">
        <f t="array" ref="P87" xml:space="preserve"> mc(1000, -PI()/2,PI()/2, 0, 1, "sin(cos(x + y))")-1.48235</f>
        <v>-1.0875700040646974E-2</v>
      </c>
    </row>
    <row r="88" spans="1:16" x14ac:dyDescent="0.3">
      <c r="A88">
        <v>58</v>
      </c>
      <c r="B88" cm="1">
        <f t="array" ref="B88" xml:space="preserve"> mc(100, 0, 4, 1, 2, "x^2+y^2")-92/3</f>
        <v>2.0154402649491239</v>
      </c>
      <c r="C88" cm="1">
        <f t="array" ref="C88" xml:space="preserve"> mc(500, 0, 4, 1, 2, "x^2+y^2")-92/3</f>
        <v>1.1516630926422238</v>
      </c>
      <c r="D88" cm="1">
        <f t="array" ref="D88" xml:space="preserve"> mc(1000, 0, 4, 1, 2, "x^2+y^2")-92/3</f>
        <v>0.38696924321662962</v>
      </c>
      <c r="F88" cm="1">
        <f t="array" ref="F88" xml:space="preserve"> ( mc(100, 3, 4, -1, 1, "EXP(x * sin(y))") ) - 7.39981</f>
        <v>0.22971391798423113</v>
      </c>
      <c r="G88" cm="1">
        <f t="array" ref="G88" xml:space="preserve"> ( mc(500, 3, 4, -1, 1, "EXP(x * sin(y))") ) - 7.39981</f>
        <v>-0.40581848817681365</v>
      </c>
      <c r="H88" cm="1">
        <f t="array" ref="H88" xml:space="preserve"> ( mc(1000, 3, 4, -1, 1, "EXP(x * sin(y))") ) - 7.39981</f>
        <v>-2.8847663777212595E-2</v>
      </c>
      <c r="J88" cm="1">
        <f t="array" ref="J88" xml:space="preserve"> mc(100, -PI()/2,0,-1, 1, "ln(EXP(x * y))")</f>
        <v>7.6610196430053901E-2</v>
      </c>
      <c r="K88" cm="1">
        <f t="array" ref="K88" xml:space="preserve"> mc(500, -PI()/2,0,-1, 1, "ln(EXP(x * y))")</f>
        <v>3.62019691839158E-2</v>
      </c>
      <c r="L88" cm="1">
        <f t="array" ref="L88" xml:space="preserve"> mc(1000, -PI()/2,0,-1, 1, "ln(EXP(x * y))")</f>
        <v>6.3102277923753072E-2</v>
      </c>
      <c r="N88" cm="1">
        <f t="array" ref="N88" xml:space="preserve"> mc(100, -PI()/2,PI()/2, 0, 1, "sin(cos(x + y))")-1.48235</f>
        <v>4.8451733242955486E-2</v>
      </c>
      <c r="O88" cm="1">
        <f t="array" ref="O88" xml:space="preserve"> mc(500, -PI()/2,PI()/2, 0, 1, "sin(cos(x + y))")-1.48235</f>
        <v>-4.5783447863221971E-2</v>
      </c>
      <c r="P88" cm="1">
        <f t="array" ref="P88" xml:space="preserve"> mc(1000, -PI()/2,PI()/2, 0, 1, "sin(cos(x + y))")-1.48235</f>
        <v>-2.5693663816332091E-2</v>
      </c>
    </row>
    <row r="89" spans="1:16" x14ac:dyDescent="0.3">
      <c r="A89">
        <v>59</v>
      </c>
      <c r="B89" cm="1">
        <f t="array" ref="B89" xml:space="preserve"> mc(100, 0, 4, 1, 2, "x^2+y^2")-92/3</f>
        <v>-0.12900589290119768</v>
      </c>
      <c r="C89" cm="1">
        <f t="array" ref="C89" xml:space="preserve"> mc(500, 0, 4, 1, 2, "x^2+y^2")-92/3</f>
        <v>-9.7995056857413942E-3</v>
      </c>
      <c r="D89" cm="1">
        <f t="array" ref="D89" xml:space="preserve"> mc(1000, 0, 4, 1, 2, "x^2+y^2")-92/3</f>
        <v>-0.39116335383604905</v>
      </c>
      <c r="F89" cm="1">
        <f t="array" ref="F89" xml:space="preserve"> ( mc(100, 3, 4, -1, 1, "EXP(x * sin(y))") ) - 7.39981</f>
        <v>0.50141420497304612</v>
      </c>
      <c r="G89" cm="1">
        <f t="array" ref="G89" xml:space="preserve"> ( mc(500, 3, 4, -1, 1, "EXP(x * sin(y))") ) - 7.39981</f>
        <v>-1.0806626304149747</v>
      </c>
      <c r="H89" cm="1">
        <f t="array" ref="H89" xml:space="preserve"> ( mc(1000, 3, 4, -1, 1, "EXP(x * sin(y))") ) - 7.39981</f>
        <v>5.2261631192187963E-2</v>
      </c>
      <c r="J89" cm="1">
        <f t="array" ref="J89" xml:space="preserve"> mc(100, -PI()/2,0,-1, 1, "ln(EXP(x * y))")</f>
        <v>-0.2347714079605672</v>
      </c>
      <c r="K89" cm="1">
        <f t="array" ref="K89" xml:space="preserve"> mc(500, -PI()/2,0,-1, 1, "ln(EXP(x * y))")</f>
        <v>0.10290002405058886</v>
      </c>
      <c r="L89" cm="1">
        <f t="array" ref="L89" xml:space="preserve"> mc(1000, -PI()/2,0,-1, 1, "ln(EXP(x * y))")</f>
        <v>-1.3763567530190002E-2</v>
      </c>
      <c r="N89" cm="1">
        <f t="array" ref="N89" xml:space="preserve"> mc(100, -PI()/2,PI()/2, 0, 1, "sin(cos(x + y))")-1.48235</f>
        <v>-1.108007638501407E-2</v>
      </c>
      <c r="O89" cm="1">
        <f t="array" ref="O89" xml:space="preserve"> mc(500, -PI()/2,PI()/2, 0, 1, "sin(cos(x + y))")-1.48235</f>
        <v>9.8166663406562549E-5</v>
      </c>
      <c r="P89" cm="1">
        <f t="array" ref="P89" xml:space="preserve"> mc(1000, -PI()/2,PI()/2, 0, 1, "sin(cos(x + y))")-1.48235</f>
        <v>3.1694394370753276E-2</v>
      </c>
    </row>
    <row r="90" spans="1:16" x14ac:dyDescent="0.3">
      <c r="A90">
        <v>60</v>
      </c>
      <c r="B90" cm="1">
        <f t="array" ref="B90" xml:space="preserve"> mc(100, 0, 4, 1, 2, "x^2+y^2")-92/3</f>
        <v>-0.41330419060107459</v>
      </c>
      <c r="C90" cm="1">
        <f t="array" ref="C90" xml:space="preserve"> mc(500, 0, 4, 1, 2, "x^2+y^2")-92/3</f>
        <v>0.66811609460919286</v>
      </c>
      <c r="D90" cm="1">
        <f t="array" ref="D90" xml:space="preserve"> mc(1000, 0, 4, 1, 2, "x^2+y^2")-92/3</f>
        <v>0.51572854879798413</v>
      </c>
      <c r="F90" cm="1">
        <f t="array" ref="F90" xml:space="preserve"> ( mc(100, 3, 4, -1, 1, "EXP(x * sin(y))") ) - 7.39981</f>
        <v>-3.2655032555495289E-2</v>
      </c>
      <c r="G90" cm="1">
        <f t="array" ref="G90" xml:space="preserve"> ( mc(500, 3, 4, -1, 1, "EXP(x * sin(y))") ) - 7.39981</f>
        <v>0.39515145202945323</v>
      </c>
      <c r="H90" cm="1">
        <f t="array" ref="H90" xml:space="preserve"> ( mc(1000, 3, 4, -1, 1, "EXP(x * sin(y))") ) - 7.39981</f>
        <v>-0.30234682807470392</v>
      </c>
      <c r="J90" cm="1">
        <f t="array" ref="J90" xml:space="preserve"> mc(100, -PI()/2,0,-1, 1, "ln(EXP(x * y))")</f>
        <v>0.10556466953434207</v>
      </c>
      <c r="K90" cm="1">
        <f t="array" ref="K90" xml:space="preserve"> mc(500, -PI()/2,0,-1, 1, "ln(EXP(x * y))")</f>
        <v>3.1180441405403148E-2</v>
      </c>
      <c r="L90" cm="1">
        <f t="array" ref="L90" xml:space="preserve"> mc(1000, -PI()/2,0,-1, 1, "ln(EXP(x * y))")</f>
        <v>-2.2805340260917796E-3</v>
      </c>
      <c r="N90" cm="1">
        <f t="array" ref="N90" xml:space="preserve"> mc(100, -PI()/2,PI()/2, 0, 1, "sin(cos(x + y))")-1.48235</f>
        <v>7.1784682243755116E-2</v>
      </c>
      <c r="O90" cm="1">
        <f t="array" ref="O90" xml:space="preserve"> mc(500, -PI()/2,PI()/2, 0, 1, "sin(cos(x + y))")-1.48235</f>
        <v>1.9519436029515669E-2</v>
      </c>
      <c r="P90" cm="1">
        <f t="array" ref="P90" xml:space="preserve"> mc(1000, -PI()/2,PI()/2, 0, 1, "sin(cos(x + y))")-1.48235</f>
        <v>-1.5563637461892821E-3</v>
      </c>
    </row>
    <row r="91" spans="1:16" x14ac:dyDescent="0.3">
      <c r="A91">
        <v>61</v>
      </c>
      <c r="B91" cm="1">
        <f t="array" ref="B91" xml:space="preserve"> mc(100, 0, 4, 1, 2, "x^2+y^2")-92/3</f>
        <v>-0.28714692619751858</v>
      </c>
      <c r="C91" cm="1">
        <f t="array" ref="C91" xml:space="preserve"> mc(500, 0, 4, 1, 2, "x^2+y^2")-92/3</f>
        <v>-0.81959272388557736</v>
      </c>
      <c r="D91" cm="1">
        <f t="array" ref="D91" xml:space="preserve"> mc(1000, 0, 4, 1, 2, "x^2+y^2")-92/3</f>
        <v>-0.37013331370660651</v>
      </c>
      <c r="F91" cm="1">
        <f t="array" ref="F91" xml:space="preserve"> ( mc(100, 3, 4, -1, 1, "EXP(x * sin(y))") ) - 7.39981</f>
        <v>0.86616067865280932</v>
      </c>
      <c r="G91" cm="1">
        <f t="array" ref="G91" xml:space="preserve"> ( mc(500, 3, 4, -1, 1, "EXP(x * sin(y))") ) - 7.39981</f>
        <v>0.20783507967094472</v>
      </c>
      <c r="H91" cm="1">
        <f t="array" ref="H91" xml:space="preserve"> ( mc(1000, 3, 4, -1, 1, "EXP(x * sin(y))") ) - 7.39981</f>
        <v>4.1277331586070609E-2</v>
      </c>
      <c r="J91" cm="1">
        <f t="array" ref="J91" xml:space="preserve"> mc(100, -PI()/2,0,-1, 1, "ln(EXP(x * y))")</f>
        <v>0.43057237184088765</v>
      </c>
      <c r="K91" cm="1">
        <f t="array" ref="K91" xml:space="preserve"> mc(500, -PI()/2,0,-1, 1, "ln(EXP(x * y))")</f>
        <v>-5.9099972309626251E-3</v>
      </c>
      <c r="L91" cm="1">
        <f t="array" ref="L91" xml:space="preserve"> mc(1000, -PI()/2,0,-1, 1, "ln(EXP(x * y))")</f>
        <v>-7.0228508465246572E-2</v>
      </c>
      <c r="N91" cm="1">
        <f t="array" ref="N91" xml:space="preserve"> mc(100, -PI()/2,PI()/2, 0, 1, "sin(cos(x + y))")-1.48235</f>
        <v>0.12111778594708889</v>
      </c>
      <c r="O91" cm="1">
        <f t="array" ref="O91" xml:space="preserve"> mc(500, -PI()/2,PI()/2, 0, 1, "sin(cos(x + y))")-1.48235</f>
        <v>5.5680199206129544E-2</v>
      </c>
      <c r="P91" cm="1">
        <f t="array" ref="P91" xml:space="preserve"> mc(1000, -PI()/2,PI()/2, 0, 1, "sin(cos(x + y))")-1.48235</f>
        <v>-2.1757338886308819E-2</v>
      </c>
    </row>
    <row r="92" spans="1:16" x14ac:dyDescent="0.3">
      <c r="A92">
        <v>62</v>
      </c>
      <c r="B92" cm="1">
        <f t="array" ref="B92" xml:space="preserve"> mc(100, 0, 4, 1, 2, "x^2+y^2")-92/3</f>
        <v>-1.6885687346991141</v>
      </c>
      <c r="C92" cm="1">
        <f t="array" ref="C92" xml:space="preserve"> mc(500, 0, 4, 1, 2, "x^2+y^2")-92/3</f>
        <v>-1.3577480301741609</v>
      </c>
      <c r="D92" cm="1">
        <f t="array" ref="D92" xml:space="preserve"> mc(1000, 0, 4, 1, 2, "x^2+y^2")-92/3</f>
        <v>-0.46526299207511812</v>
      </c>
      <c r="F92" cm="1">
        <f t="array" ref="F92" xml:space="preserve"> ( mc(100, 3, 4, -1, 1, "EXP(x * sin(y))") ) - 7.39981</f>
        <v>1.9052368091999909</v>
      </c>
      <c r="G92" cm="1">
        <f t="array" ref="G92" xml:space="preserve"> ( mc(500, 3, 4, -1, 1, "EXP(x * sin(y))") ) - 7.39981</f>
        <v>0.14080039383592435</v>
      </c>
      <c r="H92" cm="1">
        <f t="array" ref="H92" xml:space="preserve"> ( mc(1000, 3, 4, -1, 1, "EXP(x * sin(y))") ) - 7.39981</f>
        <v>1.0198975237054562</v>
      </c>
      <c r="J92" cm="1">
        <f t="array" ref="J92" xml:space="preserve"> mc(100, -PI()/2,0,-1, 1, "ln(EXP(x * y))")</f>
        <v>6.8038226040774336E-2</v>
      </c>
      <c r="K92" cm="1">
        <f t="array" ref="K92" xml:space="preserve"> mc(500, -PI()/2,0,-1, 1, "ln(EXP(x * y))")</f>
        <v>8.2896611981108814E-2</v>
      </c>
      <c r="L92" cm="1">
        <f t="array" ref="L92" xml:space="preserve"> mc(1000, -PI()/2,0,-1, 1, "ln(EXP(x * y))")</f>
        <v>-3.4312361043181902E-2</v>
      </c>
      <c r="N92" cm="1">
        <f t="array" ref="N92" xml:space="preserve"> mc(100, -PI()/2,PI()/2, 0, 1, "sin(cos(x + y))")-1.48235</f>
        <v>3.373010796344178E-2</v>
      </c>
      <c r="O92" cm="1">
        <f t="array" ref="O92" xml:space="preserve"> mc(500, -PI()/2,PI()/2, 0, 1, "sin(cos(x + y))")-1.48235</f>
        <v>-1.1389725128203576E-3</v>
      </c>
      <c r="P92" cm="1">
        <f t="array" ref="P92" xml:space="preserve"> mc(1000, -PI()/2,PI()/2, 0, 1, "sin(cos(x + y))")-1.48235</f>
        <v>-1.0118689990531227E-2</v>
      </c>
    </row>
    <row r="93" spans="1:16" x14ac:dyDescent="0.3">
      <c r="A93">
        <v>63</v>
      </c>
      <c r="B93" cm="1">
        <f t="array" ref="B93" xml:space="preserve"> mc(100, 0, 4, 1, 2, "x^2+y^2")-92/3</f>
        <v>0.42669156869947855</v>
      </c>
      <c r="C93" cm="1">
        <f t="array" ref="C93" xml:space="preserve"> mc(500, 0, 4, 1, 2, "x^2+y^2")-92/3</f>
        <v>0.18485803838997228</v>
      </c>
      <c r="D93" cm="1">
        <f t="array" ref="D93" xml:space="preserve"> mc(1000, 0, 4, 1, 2, "x^2+y^2")-92/3</f>
        <v>-0.38833701098565854</v>
      </c>
      <c r="F93" cm="1">
        <f t="array" ref="F93" xml:space="preserve"> ( mc(100, 3, 4, -1, 1, "EXP(x * sin(y))") ) - 7.39981</f>
        <v>2.3503477070475558</v>
      </c>
      <c r="G93" cm="1">
        <f t="array" ref="G93" xml:space="preserve"> ( mc(500, 3, 4, -1, 1, "EXP(x * sin(y))") ) - 7.39981</f>
        <v>-0.30690050188880402</v>
      </c>
      <c r="H93" cm="1">
        <f t="array" ref="H93" xml:space="preserve"> ( mc(1000, 3, 4, -1, 1, "EXP(x * sin(y))") ) - 7.39981</f>
        <v>-0.44089687076425577</v>
      </c>
      <c r="J93" cm="1">
        <f t="array" ref="J93" xml:space="preserve"> mc(100, -PI()/2,0,-1, 1, "ln(EXP(x * y))")</f>
        <v>0.12278702607483437</v>
      </c>
      <c r="K93" cm="1">
        <f t="array" ref="K93" xml:space="preserve"> mc(500, -PI()/2,0,-1, 1, "ln(EXP(x * y))")</f>
        <v>0.14750861629242798</v>
      </c>
      <c r="L93" cm="1">
        <f t="array" ref="L93" xml:space="preserve"> mc(1000, -PI()/2,0,-1, 1, "ln(EXP(x * y))")</f>
        <v>-7.5500504037158116E-3</v>
      </c>
      <c r="N93" cm="1">
        <f t="array" ref="N93" xml:space="preserve"> mc(100, -PI()/2,PI()/2, 0, 1, "sin(cos(x + y))")-1.48235</f>
        <v>2.9421885638776901E-2</v>
      </c>
      <c r="O93" cm="1">
        <f t="array" ref="O93" xml:space="preserve"> mc(500, -PI()/2,PI()/2, 0, 1, "sin(cos(x + y))")-1.48235</f>
        <v>-3.2540972634751419E-3</v>
      </c>
      <c r="P93" cm="1">
        <f t="array" ref="P93" xml:space="preserve"> mc(1000, -PI()/2,PI()/2, 0, 1, "sin(cos(x + y))")-1.48235</f>
        <v>4.2282285650714346E-2</v>
      </c>
    </row>
    <row r="94" spans="1:16" x14ac:dyDescent="0.3">
      <c r="A94">
        <v>64</v>
      </c>
      <c r="B94" cm="1">
        <f t="array" ref="B94" xml:space="preserve"> mc(100, 0, 4, 1, 2, "x^2+y^2")-92/3</f>
        <v>-1.8041233797850396</v>
      </c>
      <c r="C94" cm="1">
        <f t="array" ref="C94" xml:space="preserve"> mc(500, 0, 4, 1, 2, "x^2+y^2")-92/3</f>
        <v>-6.0695977783908006E-2</v>
      </c>
      <c r="D94" cm="1">
        <f t="array" ref="D94" xml:space="preserve"> mc(1000, 0, 4, 1, 2, "x^2+y^2")-92/3</f>
        <v>-0.84136184599192632</v>
      </c>
      <c r="F94" cm="1">
        <f t="array" ref="F94" xml:space="preserve"> ( mc(100, 3, 4, -1, 1, "EXP(x * sin(y))") ) - 7.39981</f>
        <v>2.0439836796321291</v>
      </c>
      <c r="G94" cm="1">
        <f t="array" ref="G94" xml:space="preserve"> ( mc(500, 3, 4, -1, 1, "EXP(x * sin(y))") ) - 7.39981</f>
        <v>0.15280894687768409</v>
      </c>
      <c r="H94" cm="1">
        <f t="array" ref="H94" xml:space="preserve"> ( mc(1000, 3, 4, -1, 1, "EXP(x * sin(y))") ) - 7.39981</f>
        <v>5.5834112685733572E-2</v>
      </c>
      <c r="J94" cm="1">
        <f t="array" ref="J94" xml:space="preserve"> mc(100, -PI()/2,0,-1, 1, "ln(EXP(x * y))")</f>
        <v>0.11893623726714754</v>
      </c>
      <c r="K94" cm="1">
        <f t="array" ref="K94" xml:space="preserve"> mc(500, -PI()/2,0,-1, 1, "ln(EXP(x * y))")</f>
        <v>5.4521634981933957E-2</v>
      </c>
      <c r="L94" cm="1">
        <f t="array" ref="L94" xml:space="preserve"> mc(1000, -PI()/2,0,-1, 1, "ln(EXP(x * y))")</f>
        <v>-7.390691133398071E-2</v>
      </c>
      <c r="N94" cm="1">
        <f t="array" ref="N94" xml:space="preserve"> mc(100, -PI()/2,PI()/2, 0, 1, "sin(cos(x + y))")-1.48235</f>
        <v>-0.19796074429607047</v>
      </c>
      <c r="O94" cm="1">
        <f t="array" ref="O94" xml:space="preserve"> mc(500, -PI()/2,PI()/2, 0, 1, "sin(cos(x + y))")-1.48235</f>
        <v>-1.6296254792391718E-2</v>
      </c>
      <c r="P94" cm="1">
        <f t="array" ref="P94" xml:space="preserve"> mc(1000, -PI()/2,PI()/2, 0, 1, "sin(cos(x + y))")-1.48235</f>
        <v>4.2502235694213297E-2</v>
      </c>
    </row>
    <row r="95" spans="1:16" x14ac:dyDescent="0.3">
      <c r="A95">
        <v>65</v>
      </c>
      <c r="B95" cm="1">
        <f t="array" ref="B95" xml:space="preserve"> mc(100, 0, 4, 1, 2, "x^2+y^2")-92/3</f>
        <v>1.0241276071489125</v>
      </c>
      <c r="C95" cm="1">
        <f t="array" ref="C95" xml:space="preserve"> mc(500, 0, 4, 1, 2, "x^2+y^2")-92/3</f>
        <v>-0.31704629870890599</v>
      </c>
      <c r="D95" cm="1">
        <f t="array" ref="D95" xml:space="preserve"> mc(1000, 0, 4, 1, 2, "x^2+y^2")-92/3</f>
        <v>-0.17099214869421786</v>
      </c>
      <c r="F95" cm="1">
        <f t="array" ref="F95" xml:space="preserve"> ( mc(100, 3, 4, -1, 1, "EXP(x * sin(y))") ) - 7.39981</f>
        <v>0.97825547458267081</v>
      </c>
      <c r="G95" cm="1">
        <f t="array" ref="G95" xml:space="preserve"> ( mc(500, 3, 4, -1, 1, "EXP(x * sin(y))") ) - 7.39981</f>
        <v>0.64259648508417655</v>
      </c>
      <c r="H95" cm="1">
        <f t="array" ref="H95" xml:space="preserve"> ( mc(1000, 3, 4, -1, 1, "EXP(x * sin(y))") ) - 7.39981</f>
        <v>-0.26959241320312088</v>
      </c>
      <c r="J95" cm="1">
        <f t="array" ref="J95" xml:space="preserve"> mc(100, -PI()/2,0,-1, 1, "ln(EXP(x * y))")</f>
        <v>0.25996313783348041</v>
      </c>
      <c r="K95" cm="1">
        <f t="array" ref="K95" xml:space="preserve"> mc(500, -PI()/2,0,-1, 1, "ln(EXP(x * y))")</f>
        <v>1.4114404906603553E-2</v>
      </c>
      <c r="L95" cm="1">
        <f t="array" ref="L95" xml:space="preserve"> mc(1000, -PI()/2,0,-1, 1, "ln(EXP(x * y))")</f>
        <v>-6.8387862257035595E-2</v>
      </c>
      <c r="N95" cm="1">
        <f t="array" ref="N95" xml:space="preserve"> mc(100, -PI()/2,PI()/2, 0, 1, "sin(cos(x + y))")-1.48235</f>
        <v>-8.2449975758151828E-2</v>
      </c>
      <c r="O95" cm="1">
        <f t="array" ref="O95" xml:space="preserve"> mc(500, -PI()/2,PI()/2, 0, 1, "sin(cos(x + y))")-1.48235</f>
        <v>-7.8142840351425935E-2</v>
      </c>
      <c r="P95" cm="1">
        <f t="array" ref="P95" xml:space="preserve"> mc(1000, -PI()/2,PI()/2, 0, 1, "sin(cos(x + y))")-1.48235</f>
        <v>5.7633969681101016E-2</v>
      </c>
    </row>
    <row r="96" spans="1:16" x14ac:dyDescent="0.3">
      <c r="A96">
        <v>66</v>
      </c>
      <c r="B96" cm="1">
        <f t="array" ref="B96" xml:space="preserve"> mc(100, 0, 4, 1, 2, "x^2+y^2")-92/3</f>
        <v>2.2763107835274319</v>
      </c>
      <c r="C96" cm="1">
        <f t="array" ref="C96" xml:space="preserve"> mc(500, 0, 4, 1, 2, "x^2+y^2")-92/3</f>
        <v>2.3098906027809001</v>
      </c>
      <c r="D96" cm="1">
        <f t="array" ref="D96" xml:space="preserve"> mc(1000, 0, 4, 1, 2, "x^2+y^2")-92/3</f>
        <v>-4.7743795269720835E-2</v>
      </c>
      <c r="F96" cm="1">
        <f t="array" ref="F96" xml:space="preserve"> ( mc(100, 3, 4, -1, 1, "EXP(x * sin(y))") ) - 7.39981</f>
        <v>-0.77348990666127548</v>
      </c>
      <c r="G96" cm="1">
        <f t="array" ref="G96" xml:space="preserve"> ( mc(500, 3, 4, -1, 1, "EXP(x * sin(y))") ) - 7.39981</f>
        <v>0.51906333355431844</v>
      </c>
      <c r="H96" cm="1">
        <f t="array" ref="H96" xml:space="preserve"> ( mc(1000, 3, 4, -1, 1, "EXP(x * sin(y))") ) - 7.39981</f>
        <v>-0.35242759423462644</v>
      </c>
      <c r="J96" cm="1">
        <f t="array" ref="J96" xml:space="preserve"> mc(100, -PI()/2,0,-1, 1, "ln(EXP(x * y))")</f>
        <v>-0.14135939462141203</v>
      </c>
      <c r="K96" cm="1">
        <f t="array" ref="K96" xml:space="preserve"> mc(500, -PI()/2,0,-1, 1, "ln(EXP(x * y))")</f>
        <v>9.5643813956893908E-4</v>
      </c>
      <c r="L96" cm="1">
        <f t="array" ref="L96" xml:space="preserve"> mc(1000, -PI()/2,0,-1, 1, "ln(EXP(x * y))")</f>
        <v>3.9604679626781256E-2</v>
      </c>
      <c r="N96" cm="1">
        <f t="array" ref="N96" xml:space="preserve"> mc(100, -PI()/2,PI()/2, 0, 1, "sin(cos(x + y))")-1.48235</f>
        <v>5.6465816605655306E-3</v>
      </c>
      <c r="O96" cm="1">
        <f t="array" ref="O96" xml:space="preserve"> mc(500, -PI()/2,PI()/2, 0, 1, "sin(cos(x + y))")-1.48235</f>
        <v>-1.6018061186956034E-2</v>
      </c>
      <c r="P96" cm="1">
        <f t="array" ref="P96" xml:space="preserve"> mc(1000, -PI()/2,PI()/2, 0, 1, "sin(cos(x + y))")-1.48235</f>
        <v>4.5290880627999464E-3</v>
      </c>
    </row>
    <row r="97" spans="1:16" x14ac:dyDescent="0.3">
      <c r="A97">
        <v>67</v>
      </c>
      <c r="B97" cm="1">
        <f t="array" ref="B97" xml:space="preserve"> mc(100, 0, 4, 1, 2, "x^2+y^2")-92/3</f>
        <v>1.0793873840514117</v>
      </c>
      <c r="C97" cm="1">
        <f t="array" ref="C97" xml:space="preserve"> mc(500, 0, 4, 1, 2, "x^2+y^2")-92/3</f>
        <v>-0.58108521623827158</v>
      </c>
      <c r="D97" cm="1">
        <f t="array" ref="D97" xml:space="preserve"> mc(1000, 0, 4, 1, 2, "x^2+y^2")-92/3</f>
        <v>0.43710554299223148</v>
      </c>
      <c r="F97" cm="1">
        <f t="array" ref="F97" xml:space="preserve"> ( mc(100, 3, 4, -1, 1, "EXP(x * sin(y))") ) - 7.39981</f>
        <v>0.75359000700887435</v>
      </c>
      <c r="G97" cm="1">
        <f t="array" ref="G97" xml:space="preserve"> ( mc(500, 3, 4, -1, 1, "EXP(x * sin(y))") ) - 7.39981</f>
        <v>-0.51367163145867245</v>
      </c>
      <c r="H97" cm="1">
        <f t="array" ref="H97" xml:space="preserve"> ( mc(1000, 3, 4, -1, 1, "EXP(x * sin(y))") ) - 7.39981</f>
        <v>0.7070717687925292</v>
      </c>
      <c r="J97" cm="1">
        <f t="array" ref="J97" xml:space="preserve"> mc(100, -PI()/2,0,-1, 1, "ln(EXP(x * y))")</f>
        <v>-0.19107500196626759</v>
      </c>
      <c r="K97" cm="1">
        <f t="array" ref="K97" xml:space="preserve"> mc(500, -PI()/2,0,-1, 1, "ln(EXP(x * y))")</f>
        <v>-4.725542781993556E-2</v>
      </c>
      <c r="L97" cm="1">
        <f t="array" ref="L97" xml:space="preserve"> mc(1000, -PI()/2,0,-1, 1, "ln(EXP(x * y))")</f>
        <v>8.5895460422252823E-2</v>
      </c>
      <c r="N97" cm="1">
        <f t="array" ref="N97" xml:space="preserve"> mc(100, -PI()/2,PI()/2, 0, 1, "sin(cos(x + y))")-1.48235</f>
        <v>-2.3172210878852795E-2</v>
      </c>
      <c r="O97" cm="1">
        <f t="array" ref="O97" xml:space="preserve"> mc(500, -PI()/2,PI()/2, 0, 1, "sin(cos(x + y))")-1.48235</f>
        <v>1.0847892919824131E-2</v>
      </c>
      <c r="P97" cm="1">
        <f t="array" ref="P97" xml:space="preserve"> mc(1000, -PI()/2,PI()/2, 0, 1, "sin(cos(x + y))")-1.48235</f>
        <v>-6.8857698036185022E-2</v>
      </c>
    </row>
    <row r="98" spans="1:16" x14ac:dyDescent="0.3">
      <c r="A98">
        <v>68</v>
      </c>
      <c r="B98" cm="1">
        <f t="array" ref="B98" xml:space="preserve"> mc(100, 0, 4, 1, 2, "x^2+y^2")-92/3</f>
        <v>-2.4962738749591757</v>
      </c>
      <c r="C98" cm="1">
        <f t="array" ref="C98" xml:space="preserve"> mc(500, 0, 4, 1, 2, "x^2+y^2")-92/3</f>
        <v>0.11953776099064939</v>
      </c>
      <c r="D98" cm="1">
        <f t="array" ref="D98" xml:space="preserve"> mc(1000, 0, 4, 1, 2, "x^2+y^2")-92/3</f>
        <v>0.47896668984682833</v>
      </c>
      <c r="F98" cm="1">
        <f t="array" ref="F98" xml:space="preserve"> ( mc(100, 3, 4, -1, 1, "EXP(x * sin(y))") ) - 7.39981</f>
        <v>0.17476675731576119</v>
      </c>
      <c r="G98" cm="1">
        <f t="array" ref="G98" xml:space="preserve"> ( mc(500, 3, 4, -1, 1, "EXP(x * sin(y))") ) - 7.39981</f>
        <v>3.2413252561749317E-3</v>
      </c>
      <c r="H98" cm="1">
        <f t="array" ref="H98" xml:space="preserve"> ( mc(1000, 3, 4, -1, 1, "EXP(x * sin(y))") ) - 7.39981</f>
        <v>-0.39551430788830633</v>
      </c>
      <c r="J98" cm="1">
        <f t="array" ref="J98" xml:space="preserve"> mc(100, -PI()/2,0,-1, 1, "ln(EXP(x * y))")</f>
        <v>0.20824328406477088</v>
      </c>
      <c r="K98" cm="1">
        <f t="array" ref="K98" xml:space="preserve"> mc(500, -PI()/2,0,-1, 1, "ln(EXP(x * y))")</f>
        <v>4.8027788816379001E-2</v>
      </c>
      <c r="L98" cm="1">
        <f t="array" ref="L98" xml:space="preserve"> mc(1000, -PI()/2,0,-1, 1, "ln(EXP(x * y))")</f>
        <v>-2.1956796448846468E-2</v>
      </c>
      <c r="N98" cm="1">
        <f t="array" ref="N98" xml:space="preserve"> mc(100, -PI()/2,PI()/2, 0, 1, "sin(cos(x + y))")-1.48235</f>
        <v>-6.3185724704345914E-2</v>
      </c>
      <c r="O98" cm="1">
        <f t="array" ref="O98" xml:space="preserve"> mc(500, -PI()/2,PI()/2, 0, 1, "sin(cos(x + y))")-1.48235</f>
        <v>-5.5821316572163049E-2</v>
      </c>
      <c r="P98" cm="1">
        <f t="array" ref="P98" xml:space="preserve"> mc(1000, -PI()/2,PI()/2, 0, 1, "sin(cos(x + y))")-1.48235</f>
        <v>4.3526045983028006E-2</v>
      </c>
    </row>
    <row r="99" spans="1:16" x14ac:dyDescent="0.3">
      <c r="A99">
        <v>69</v>
      </c>
      <c r="B99" cm="1">
        <f t="array" ref="B99" xml:space="preserve"> mc(100, 0, 4, 1, 2, "x^2+y^2")-92/3</f>
        <v>2.5988054169257175</v>
      </c>
      <c r="C99" cm="1">
        <f t="array" ref="C99" xml:space="preserve"> mc(500, 0, 4, 1, 2, "x^2+y^2")-92/3</f>
        <v>-1.2228256464774212</v>
      </c>
      <c r="D99" cm="1">
        <f t="array" ref="D99" xml:space="preserve"> mc(1000, 0, 4, 1, 2, "x^2+y^2")-92/3</f>
        <v>1.8680499607459211E-2</v>
      </c>
      <c r="F99" cm="1">
        <f t="array" ref="F99" xml:space="preserve"> ( mc(100, 3, 4, -1, 1, "EXP(x * sin(y))") ) - 7.39981</f>
        <v>-0.45978107758014364</v>
      </c>
      <c r="G99" cm="1">
        <f t="array" ref="G99" xml:space="preserve"> ( mc(500, 3, 4, -1, 1, "EXP(x * sin(y))") ) - 7.39981</f>
        <v>-0.29621902670697864</v>
      </c>
      <c r="H99" cm="1">
        <f t="array" ref="H99" xml:space="preserve"> ( mc(1000, 3, 4, -1, 1, "EXP(x * sin(y))") ) - 7.39981</f>
        <v>0.49616945420102798</v>
      </c>
      <c r="J99" cm="1">
        <f t="array" ref="J99" xml:space="preserve"> mc(100, -PI()/2,0,-1, 1, "ln(EXP(x * y))")</f>
        <v>0.16408604537370983</v>
      </c>
      <c r="K99" cm="1">
        <f t="array" ref="K99" xml:space="preserve"> mc(500, -PI()/2,0,-1, 1, "ln(EXP(x * y))")</f>
        <v>0.11728464043768481</v>
      </c>
      <c r="L99" cm="1">
        <f t="array" ref="L99" xml:space="preserve"> mc(1000, -PI()/2,0,-1, 1, "ln(EXP(x * y))")</f>
        <v>-3.227879375487535E-2</v>
      </c>
      <c r="N99" cm="1">
        <f t="array" ref="N99" xml:space="preserve"> mc(100, -PI()/2,PI()/2, 0, 1, "sin(cos(x + y))")-1.48235</f>
        <v>-0.14071416052372387</v>
      </c>
      <c r="O99" cm="1">
        <f t="array" ref="O99" xml:space="preserve"> mc(500, -PI()/2,PI()/2, 0, 1, "sin(cos(x + y))")-1.48235</f>
        <v>4.0058521129030078E-2</v>
      </c>
      <c r="P99" cm="1">
        <f t="array" ref="P99" xml:space="preserve"> mc(1000, -PI()/2,PI()/2, 0, 1, "sin(cos(x + y))")-1.48235</f>
        <v>1.2401792570860826E-2</v>
      </c>
    </row>
    <row r="100" spans="1:16" x14ac:dyDescent="0.3">
      <c r="A100">
        <v>70</v>
      </c>
      <c r="B100" cm="1">
        <f t="array" ref="B100" xml:space="preserve"> mc(100, 0, 4, 1, 2, "x^2+y^2")-92/3</f>
        <v>0.2540799086773049</v>
      </c>
      <c r="C100" cm="1">
        <f t="array" ref="C100" xml:space="preserve"> mc(500, 0, 4, 1, 2, "x^2+y^2")-92/3</f>
        <v>1.6831928865606081</v>
      </c>
      <c r="D100" cm="1">
        <f t="array" ref="D100" xml:space="preserve"> mc(1000, 0, 4, 1, 2, "x^2+y^2")-92/3</f>
        <v>-0.24104105732127579</v>
      </c>
      <c r="F100" cm="1">
        <f t="array" ref="F100" xml:space="preserve"> ( mc(100, 3, 4, -1, 1, "EXP(x * sin(y))") ) - 7.39981</f>
        <v>0.83701626934385764</v>
      </c>
      <c r="G100" cm="1">
        <f t="array" ref="G100" xml:space="preserve"> ( mc(500, 3, 4, -1, 1, "EXP(x * sin(y))") ) - 7.39981</f>
        <v>-1.3036584039775496</v>
      </c>
      <c r="H100" cm="1">
        <f t="array" ref="H100" xml:space="preserve"> ( mc(1000, 3, 4, -1, 1, "EXP(x * sin(y))") ) - 7.39981</f>
        <v>-3.1799380077265127E-2</v>
      </c>
      <c r="J100" cm="1">
        <f t="array" ref="J100" xml:space="preserve"> mc(100, -PI()/2,0,-1, 1, "ln(EXP(x * y))")</f>
        <v>-0.33095574822934876</v>
      </c>
      <c r="K100" cm="1">
        <f t="array" ref="K100" xml:space="preserve"> mc(500, -PI()/2,0,-1, 1, "ln(EXP(x * y))")</f>
        <v>3.0575625071436366E-2</v>
      </c>
      <c r="L100" cm="1">
        <f t="array" ref="L100" xml:space="preserve"> mc(1000, -PI()/2,0,-1, 1, "ln(EXP(x * y))")</f>
        <v>2.0056936243348825E-2</v>
      </c>
      <c r="N100" cm="1">
        <f t="array" ref="N100" xml:space="preserve"> mc(100, -PI()/2,PI()/2, 0, 1, "sin(cos(x + y))")-1.48235</f>
        <v>0.15528298200846025</v>
      </c>
      <c r="O100" cm="1">
        <f t="array" ref="O100" xml:space="preserve"> mc(500, -PI()/2,PI()/2, 0, 1, "sin(cos(x + y))")-1.48235</f>
        <v>6.8373021236189491E-2</v>
      </c>
      <c r="P100" cm="1">
        <f t="array" ref="P100" xml:space="preserve"> mc(1000, -PI()/2,PI()/2, 0, 1, "sin(cos(x + y))")-1.48235</f>
        <v>1.1944778073117446E-2</v>
      </c>
    </row>
    <row r="101" spans="1:16" x14ac:dyDescent="0.3">
      <c r="A101">
        <v>71</v>
      </c>
      <c r="B101" cm="1">
        <f t="array" ref="B101" xml:space="preserve"> mc(100, 0, 4, 1, 2, "x^2+y^2")-92/3</f>
        <v>0.41308029039003813</v>
      </c>
      <c r="C101" cm="1">
        <f t="array" ref="C101" xml:space="preserve"> mc(500, 0, 4, 1, 2, "x^2+y^2")-92/3</f>
        <v>-0.79791662431265209</v>
      </c>
      <c r="D101" cm="1">
        <f t="array" ref="D101" xml:space="preserve"> mc(1000, 0, 4, 1, 2, "x^2+y^2")-92/3</f>
        <v>0.86277534364431219</v>
      </c>
      <c r="F101" cm="1">
        <f t="array" ref="F101" xml:space="preserve"> ( mc(100, 3, 4, -1, 1, "EXP(x * sin(y))") ) - 7.39981</f>
        <v>0.305914856089883</v>
      </c>
      <c r="G101" cm="1">
        <f t="array" ref="G101" xml:space="preserve"> ( mc(500, 3, 4, -1, 1, "EXP(x * sin(y))") ) - 7.39981</f>
        <v>-0.44684605367154084</v>
      </c>
      <c r="H101" cm="1">
        <f t="array" ref="H101" xml:space="preserve"> ( mc(1000, 3, 4, -1, 1, "EXP(x * sin(y))") ) - 7.39981</f>
        <v>-0.27873947567685686</v>
      </c>
      <c r="J101" cm="1">
        <f t="array" ref="J101" xml:space="preserve"> mc(100, -PI()/2,0,-1, 1, "ln(EXP(x * y))")</f>
        <v>-2.1271042830391943E-2</v>
      </c>
      <c r="K101" cm="1">
        <f t="array" ref="K101" xml:space="preserve"> mc(500, -PI()/2,0,-1, 1, "ln(EXP(x * y))")</f>
        <v>-3.3362684665698167E-2</v>
      </c>
      <c r="L101" cm="1">
        <f t="array" ref="L101" xml:space="preserve"> mc(1000, -PI()/2,0,-1, 1, "ln(EXP(x * y))")</f>
        <v>-4.4254075664404327E-2</v>
      </c>
      <c r="N101" cm="1">
        <f t="array" ref="N101" xml:space="preserve"> mc(100, -PI()/2,PI()/2, 0, 1, "sin(cos(x + y))")-1.48235</f>
        <v>6.7991013427663116E-2</v>
      </c>
      <c r="O101" cm="1">
        <f t="array" ref="O101" xml:space="preserve"> mc(500, -PI()/2,PI()/2, 0, 1, "sin(cos(x + y))")-1.48235</f>
        <v>0.11493608081665774</v>
      </c>
      <c r="P101" cm="1">
        <f t="array" ref="P101" xml:space="preserve"> mc(1000, -PI()/2,PI()/2, 0, 1, "sin(cos(x + y))")-1.48235</f>
        <v>-7.563310333184825E-2</v>
      </c>
    </row>
    <row r="102" spans="1:16" x14ac:dyDescent="0.3">
      <c r="A102">
        <v>72</v>
      </c>
      <c r="B102" cm="1">
        <f t="array" ref="B102" xml:space="preserve"> mc(100, 0, 4, 1, 2, "x^2+y^2")-92/3</f>
        <v>-5.5346071414000164E-2</v>
      </c>
      <c r="C102" cm="1">
        <f t="array" ref="C102" xml:space="preserve"> mc(500, 0, 4, 1, 2, "x^2+y^2")-92/3</f>
        <v>0.26956824113967315</v>
      </c>
      <c r="D102" cm="1">
        <f t="array" ref="D102" xml:space="preserve"> mc(1000, 0, 4, 1, 2, "x^2+y^2")-92/3</f>
        <v>-1.0756796124012169</v>
      </c>
      <c r="F102" cm="1">
        <f t="array" ref="F102" xml:space="preserve"> ( mc(100, 3, 4, -1, 1, "EXP(x * sin(y))") ) - 7.39981</f>
        <v>-0.47437461467505315</v>
      </c>
      <c r="G102" cm="1">
        <f t="array" ref="G102" xml:space="preserve"> ( mc(500, 3, 4, -1, 1, "EXP(x * sin(y))") ) - 7.39981</f>
        <v>-0.40332704936679953</v>
      </c>
      <c r="H102" cm="1">
        <f t="array" ref="H102" xml:space="preserve"> ( mc(1000, 3, 4, -1, 1, "EXP(x * sin(y))") ) - 7.39981</f>
        <v>0.5398033559082922</v>
      </c>
      <c r="J102" cm="1">
        <f t="array" ref="J102" xml:space="preserve"> mc(100, -PI()/2,0,-1, 1, "ln(EXP(x * y))")</f>
        <v>0.31070216032355347</v>
      </c>
      <c r="K102" cm="1">
        <f t="array" ref="K102" xml:space="preserve"> mc(500, -PI()/2,0,-1, 1, "ln(EXP(x * y))")</f>
        <v>-4.1801027430097615E-2</v>
      </c>
      <c r="L102" cm="1">
        <f t="array" ref="L102" xml:space="preserve"> mc(1000, -PI()/2,0,-1, 1, "ln(EXP(x * y))")</f>
        <v>1.2607231753244564E-2</v>
      </c>
      <c r="N102" cm="1">
        <f t="array" ref="N102" xml:space="preserve"> mc(100, -PI()/2,PI()/2, 0, 1, "sin(cos(x + y))")-1.48235</f>
        <v>8.7133386540023894E-2</v>
      </c>
      <c r="O102" cm="1">
        <f t="array" ref="O102" xml:space="preserve"> mc(500, -PI()/2,PI()/2, 0, 1, "sin(cos(x + y))")-1.48235</f>
        <v>-9.9936942310128618E-2</v>
      </c>
      <c r="P102" cm="1">
        <f t="array" ref="P102" xml:space="preserve"> mc(1000, -PI()/2,PI()/2, 0, 1, "sin(cos(x + y))")-1.48235</f>
        <v>-3.2067100631806511E-2</v>
      </c>
    </row>
    <row r="103" spans="1:16" x14ac:dyDescent="0.3">
      <c r="A103">
        <v>73</v>
      </c>
      <c r="B103" cm="1">
        <f t="array" ref="B103" xml:space="preserve"> mc(100, 0, 4, 1, 2, "x^2+y^2")-92/3</f>
        <v>0.26727955790186186</v>
      </c>
      <c r="C103" cm="1">
        <f t="array" ref="C103" xml:space="preserve"> mc(500, 0, 4, 1, 2, "x^2+y^2")-92/3</f>
        <v>-0.70807036955676494</v>
      </c>
      <c r="D103" cm="1">
        <f t="array" ref="D103" xml:space="preserve"> mc(1000, 0, 4, 1, 2, "x^2+y^2")-92/3</f>
        <v>0.42696979815405811</v>
      </c>
      <c r="F103" cm="1">
        <f t="array" ref="F103" xml:space="preserve"> ( mc(100, 3, 4, -1, 1, "EXP(x * sin(y))") ) - 7.39981</f>
        <v>1.0094790127553779</v>
      </c>
      <c r="G103" cm="1">
        <f t="array" ref="G103" xml:space="preserve"> ( mc(500, 3, 4, -1, 1, "EXP(x * sin(y))") ) - 7.39981</f>
        <v>-5.2775233384442899E-2</v>
      </c>
      <c r="H103" cm="1">
        <f t="array" ref="H103" xml:space="preserve"> ( mc(1000, 3, 4, -1, 1, "EXP(x * sin(y))") ) - 7.39981</f>
        <v>-0.17509964856425508</v>
      </c>
      <c r="J103" cm="1">
        <f t="array" ref="J103" xml:space="preserve"> mc(100, -PI()/2,0,-1, 1, "ln(EXP(x * y))")</f>
        <v>0.2162482915879109</v>
      </c>
      <c r="K103" cm="1">
        <f t="array" ref="K103" xml:space="preserve"> mc(500, -PI()/2,0,-1, 1, "ln(EXP(x * y))")</f>
        <v>-4.8954764335535514E-2</v>
      </c>
      <c r="L103" cm="1">
        <f t="array" ref="L103" xml:space="preserve"> mc(1000, -PI()/2,0,-1, 1, "ln(EXP(x * y))")</f>
        <v>0.11630455426164123</v>
      </c>
      <c r="N103" cm="1">
        <f t="array" ref="N103" xml:space="preserve"> mc(100, -PI()/2,PI()/2, 0, 1, "sin(cos(x + y))")-1.48235</f>
        <v>-5.5692609281797312E-2</v>
      </c>
      <c r="O103" cm="1">
        <f t="array" ref="O103" xml:space="preserve"> mc(500, -PI()/2,PI()/2, 0, 1, "sin(cos(x + y))")-1.48235</f>
        <v>-1.9170556632288394E-2</v>
      </c>
      <c r="P103" cm="1">
        <f t="array" ref="P103" xml:space="preserve"> mc(1000, -PI()/2,PI()/2, 0, 1, "sin(cos(x + y))")-1.48235</f>
        <v>-2.9167009829217383E-2</v>
      </c>
    </row>
    <row r="104" spans="1:16" x14ac:dyDescent="0.3">
      <c r="A104">
        <v>74</v>
      </c>
      <c r="B104" cm="1">
        <f t="array" ref="B104" xml:space="preserve"> mc(100, 0, 4, 1, 2, "x^2+y^2")-92/3</f>
        <v>-3.0010370569071334</v>
      </c>
      <c r="C104" cm="1">
        <f t="array" ref="C104" xml:space="preserve"> mc(500, 0, 4, 1, 2, "x^2+y^2")-92/3</f>
        <v>-0.56527486576257857</v>
      </c>
      <c r="D104" cm="1">
        <f t="array" ref="D104" xml:space="preserve"> mc(1000, 0, 4, 1, 2, "x^2+y^2")-92/3</f>
        <v>2.5242582643777212E-2</v>
      </c>
      <c r="F104" cm="1">
        <f t="array" ref="F104" xml:space="preserve"> ( mc(100, 3, 4, -1, 1, "EXP(x * sin(y))") ) - 7.39981</f>
        <v>-0.47649810884992139</v>
      </c>
      <c r="G104" cm="1">
        <f t="array" ref="G104" xml:space="preserve"> ( mc(500, 3, 4, -1, 1, "EXP(x * sin(y))") ) - 7.39981</f>
        <v>0.1980702112313768</v>
      </c>
      <c r="H104" cm="1">
        <f t="array" ref="H104" xml:space="preserve"> ( mc(1000, 3, 4, -1, 1, "EXP(x * sin(y))") ) - 7.39981</f>
        <v>8.0764091961407658E-2</v>
      </c>
      <c r="J104" cm="1">
        <f t="array" ref="J104" xml:space="preserve"> mc(100, -PI()/2,0,-1, 1, "ln(EXP(x * y))")</f>
        <v>-6.6420456566018121E-3</v>
      </c>
      <c r="K104" cm="1">
        <f t="array" ref="K104" xml:space="preserve"> mc(500, -PI()/2,0,-1, 1, "ln(EXP(x * y))")</f>
        <v>5.5596417449705691E-2</v>
      </c>
      <c r="L104" cm="1">
        <f t="array" ref="L104" xml:space="preserve"> mc(1000, -PI()/2,0,-1, 1, "ln(EXP(x * y))")</f>
        <v>-1.6246618821292445E-2</v>
      </c>
      <c r="N104" cm="1">
        <f t="array" ref="N104" xml:space="preserve"> mc(100, -PI()/2,PI()/2, 0, 1, "sin(cos(x + y))")-1.48235</f>
        <v>4.104387702994261E-2</v>
      </c>
      <c r="O104" cm="1">
        <f t="array" ref="O104" xml:space="preserve"> mc(500, -PI()/2,PI()/2, 0, 1, "sin(cos(x + y))")-1.48235</f>
        <v>1.9774913916013714E-2</v>
      </c>
      <c r="P104" cm="1">
        <f t="array" ref="P104" xml:space="preserve"> mc(1000, -PI()/2,PI()/2, 0, 1, "sin(cos(x + y))")-1.48235</f>
        <v>-8.8264112322722355E-4</v>
      </c>
    </row>
    <row r="105" spans="1:16" x14ac:dyDescent="0.3">
      <c r="A105">
        <v>75</v>
      </c>
      <c r="B105" cm="1">
        <f t="array" ref="B105" xml:space="preserve"> mc(100, 0, 4, 1, 2, "x^2+y^2")-92/3</f>
        <v>0.71401481728993232</v>
      </c>
      <c r="C105" cm="1">
        <f t="array" ref="C105" xml:space="preserve"> mc(500, 0, 4, 1, 2, "x^2+y^2")-92/3</f>
        <v>-0.71418484806289584</v>
      </c>
      <c r="D105" cm="1">
        <f t="array" ref="D105" xml:space="preserve"> mc(1000, 0, 4, 1, 2, "x^2+y^2")-92/3</f>
        <v>-0.12957157095841509</v>
      </c>
      <c r="F105" cm="1">
        <f t="array" ref="F105" xml:space="preserve"> ( mc(100, 3, 4, -1, 1, "EXP(x * sin(y))") ) - 7.39981</f>
        <v>-7.1026459690262556E-2</v>
      </c>
      <c r="G105" cm="1">
        <f t="array" ref="G105" xml:space="preserve"> ( mc(500, 3, 4, -1, 1, "EXP(x * sin(y))") ) - 7.39981</f>
        <v>-0.33464590880324963</v>
      </c>
      <c r="H105" cm="1">
        <f t="array" ref="H105" xml:space="preserve"> ( mc(1000, 3, 4, -1, 1, "EXP(x * sin(y))") ) - 7.39981</f>
        <v>-2.6713791654249697E-2</v>
      </c>
      <c r="J105" cm="1">
        <f t="array" ref="J105" xml:space="preserve"> mc(100, -PI()/2,0,-1, 1, "ln(EXP(x * y))")</f>
        <v>0.32888517923805749</v>
      </c>
      <c r="K105" cm="1">
        <f t="array" ref="K105" xml:space="preserve"> mc(500, -PI()/2,0,-1, 1, "ln(EXP(x * y))")</f>
        <v>-9.9933837428222053E-2</v>
      </c>
      <c r="L105" cm="1">
        <f t="array" ref="L105" xml:space="preserve"> mc(1000, -PI()/2,0,-1, 1, "ln(EXP(x * y))")</f>
        <v>-2.3756313484787895E-2</v>
      </c>
      <c r="N105" cm="1">
        <f t="array" ref="N105" xml:space="preserve"> mc(100, -PI()/2,PI()/2, 0, 1, "sin(cos(x + y))")-1.48235</f>
        <v>5.952028095459827E-2</v>
      </c>
      <c r="O105" cm="1">
        <f t="array" ref="O105" xml:space="preserve"> mc(500, -PI()/2,PI()/2, 0, 1, "sin(cos(x + y))")-1.48235</f>
        <v>-6.7160018965755519E-2</v>
      </c>
      <c r="P105" cm="1">
        <f t="array" ref="P105" xml:space="preserve"> mc(1000, -PI()/2,PI()/2, 0, 1, "sin(cos(x + y))")-1.48235</f>
        <v>1.7954505451770464E-2</v>
      </c>
    </row>
    <row r="106" spans="1:16" x14ac:dyDescent="0.3">
      <c r="A106">
        <v>76</v>
      </c>
      <c r="B106" cm="1">
        <f t="array" ref="B106" xml:space="preserve"> mc(100, 0, 4, 1, 2, "x^2+y^2")-92/3</f>
        <v>0.41618986559508642</v>
      </c>
      <c r="C106" cm="1">
        <f t="array" ref="C106" xml:space="preserve"> mc(500, 0, 4, 1, 2, "x^2+y^2")-92/3</f>
        <v>0.16433750658275414</v>
      </c>
      <c r="D106" cm="1">
        <f t="array" ref="D106" xml:space="preserve"> mc(1000, 0, 4, 1, 2, "x^2+y^2")-92/3</f>
        <v>1.1123767105729314</v>
      </c>
      <c r="F106" cm="1">
        <f t="array" ref="F106" xml:space="preserve"> ( mc(100, 3, 4, -1, 1, "EXP(x * sin(y))") ) - 7.39981</f>
        <v>-0.26594038450775681</v>
      </c>
      <c r="G106" cm="1">
        <f t="array" ref="G106" xml:space="preserve"> ( mc(500, 3, 4, -1, 1, "EXP(x * sin(y))") ) - 7.39981</f>
        <v>-8.897137299767266E-3</v>
      </c>
      <c r="H106" cm="1">
        <f t="array" ref="H106" xml:space="preserve"> ( mc(1000, 3, 4, -1, 1, "EXP(x * sin(y))") ) - 7.39981</f>
        <v>-9.2368098253257536E-2</v>
      </c>
      <c r="J106" cm="1">
        <f t="array" ref="J106" xml:space="preserve"> mc(100, -PI()/2,0,-1, 1, "ln(EXP(x * y))")</f>
        <v>0.2018570949669172</v>
      </c>
      <c r="K106" cm="1">
        <f t="array" ref="K106" xml:space="preserve"> mc(500, -PI()/2,0,-1, 1, "ln(EXP(x * y))")</f>
        <v>0.12782476230484285</v>
      </c>
      <c r="L106" cm="1">
        <f t="array" ref="L106" xml:space="preserve"> mc(1000, -PI()/2,0,-1, 1, "ln(EXP(x * y))")</f>
        <v>-4.1481016855336381E-3</v>
      </c>
      <c r="N106" cm="1">
        <f t="array" ref="N106" xml:space="preserve"> mc(100, -PI()/2,PI()/2, 0, 1, "sin(cos(x + y))")-1.48235</f>
        <v>-6.2893873082328078E-3</v>
      </c>
      <c r="O106" cm="1">
        <f t="array" ref="O106" xml:space="preserve"> mc(500, -PI()/2,PI()/2, 0, 1, "sin(cos(x + y))")-1.48235</f>
        <v>-3.3202879393281926E-2</v>
      </c>
      <c r="P106" cm="1">
        <f t="array" ref="P106" xml:space="preserve"> mc(1000, -PI()/2,PI()/2, 0, 1, "sin(cos(x + y))")-1.48235</f>
        <v>-7.4574071278516785E-2</v>
      </c>
    </row>
    <row r="107" spans="1:16" x14ac:dyDescent="0.3">
      <c r="A107">
        <v>77</v>
      </c>
      <c r="B107" cm="1">
        <f t="array" ref="B107" xml:space="preserve"> mc(100, 0, 4, 1, 2, "x^2+y^2")-92/3</f>
        <v>-1.6926967752967244</v>
      </c>
      <c r="C107" cm="1">
        <f t="array" ref="C107" xml:space="preserve"> mc(500, 0, 4, 1, 2, "x^2+y^2")-92/3</f>
        <v>0.77115800083467434</v>
      </c>
      <c r="D107" cm="1">
        <f t="array" ref="D107" xml:space="preserve"> mc(1000, 0, 4, 1, 2, "x^2+y^2")-92/3</f>
        <v>0.65032962387114424</v>
      </c>
      <c r="F107" cm="1">
        <f t="array" ref="F107" xml:space="preserve"> ( mc(100, 3, 4, -1, 1, "EXP(x * sin(y))") ) - 7.39981</f>
        <v>-0.91252116242036863</v>
      </c>
      <c r="G107" cm="1">
        <f t="array" ref="G107" xml:space="preserve"> ( mc(500, 3, 4, -1, 1, "EXP(x * sin(y))") ) - 7.39981</f>
        <v>0.10616674432651951</v>
      </c>
      <c r="H107" cm="1">
        <f t="array" ref="H107" xml:space="preserve"> ( mc(1000, 3, 4, -1, 1, "EXP(x * sin(y))") ) - 7.39981</f>
        <v>0.17759041296638411</v>
      </c>
      <c r="J107" cm="1">
        <f t="array" ref="J107" xml:space="preserve"> mc(100, -PI()/2,0,-1, 1, "ln(EXP(x * y))")</f>
        <v>1.1264584254091325E-2</v>
      </c>
      <c r="K107" cm="1">
        <f t="array" ref="K107" xml:space="preserve"> mc(500, -PI()/2,0,-1, 1, "ln(EXP(x * y))")</f>
        <v>-4.7901675821572301E-2</v>
      </c>
      <c r="L107" cm="1">
        <f t="array" ref="L107" xml:space="preserve"> mc(1000, -PI()/2,0,-1, 1, "ln(EXP(x * y))")</f>
        <v>-3.1226138575816405E-3</v>
      </c>
      <c r="N107" cm="1">
        <f t="array" ref="N107" xml:space="preserve"> mc(100, -PI()/2,PI()/2, 0, 1, "sin(cos(x + y))")-1.48235</f>
        <v>-3.9810028008151699E-2</v>
      </c>
      <c r="O107" cm="1">
        <f t="array" ref="O107" xml:space="preserve"> mc(500, -PI()/2,PI()/2, 0, 1, "sin(cos(x + y))")-1.48235</f>
        <v>-2.2199428333039561E-2</v>
      </c>
      <c r="P107" cm="1">
        <f t="array" ref="P107" xml:space="preserve"> mc(1000, -PI()/2,PI()/2, 0, 1, "sin(cos(x + y))")-1.48235</f>
        <v>2.1126459066571623E-2</v>
      </c>
    </row>
    <row r="108" spans="1:16" x14ac:dyDescent="0.3">
      <c r="A108">
        <v>78</v>
      </c>
      <c r="B108" cm="1">
        <f t="array" ref="B108" xml:space="preserve"> mc(100, 0, 4, 1, 2, "x^2+y^2")-92/3</f>
        <v>-1.1578150820348192</v>
      </c>
      <c r="C108" cm="1">
        <f t="array" ref="C108" xml:space="preserve"> mc(500, 0, 4, 1, 2, "x^2+y^2")-92/3</f>
        <v>-1.4420876299113381</v>
      </c>
      <c r="D108" cm="1">
        <f t="array" ref="D108" xml:space="preserve"> mc(1000, 0, 4, 1, 2, "x^2+y^2")-92/3</f>
        <v>0.16219037277679149</v>
      </c>
      <c r="F108" cm="1">
        <f t="array" ref="F108" xml:space="preserve"> ( mc(100, 3, 4, -1, 1, "EXP(x * sin(y))") ) - 7.39981</f>
        <v>-0.43508386389422959</v>
      </c>
      <c r="G108" cm="1">
        <f t="array" ref="G108" xml:space="preserve"> ( mc(500, 3, 4, -1, 1, "EXP(x * sin(y))") ) - 7.39981</f>
        <v>-1.0525629311672349</v>
      </c>
      <c r="H108" cm="1">
        <f t="array" ref="H108" xml:space="preserve"> ( mc(1000, 3, 4, -1, 1, "EXP(x * sin(y))") ) - 7.39981</f>
        <v>0.29258105876612905</v>
      </c>
      <c r="J108" cm="1">
        <f t="array" ref="J108" xml:space="preserve"> mc(100, -PI()/2,0,-1, 1, "ln(EXP(x * y))")</f>
        <v>0.10723225027863247</v>
      </c>
      <c r="K108" cm="1">
        <f t="array" ref="K108" xml:space="preserve"> mc(500, -PI()/2,0,-1, 1, "ln(EXP(x * y))")</f>
        <v>-9.6192634648724198E-2</v>
      </c>
      <c r="L108" cm="1">
        <f t="array" ref="L108" xml:space="preserve"> mc(1000, -PI()/2,0,-1, 1, "ln(EXP(x * y))")</f>
        <v>-3.2610483686436403E-2</v>
      </c>
      <c r="N108" cm="1">
        <f t="array" ref="N108" xml:space="preserve"> mc(100, -PI()/2,PI()/2, 0, 1, "sin(cos(x + y))")-1.48235</f>
        <v>8.8284657373851827E-2</v>
      </c>
      <c r="O108" cm="1">
        <f t="array" ref="O108" xml:space="preserve"> mc(500, -PI()/2,PI()/2, 0, 1, "sin(cos(x + y))")-1.48235</f>
        <v>5.449216746866381E-2</v>
      </c>
      <c r="P108" cm="1">
        <f t="array" ref="P108" xml:space="preserve"> mc(1000, -PI()/2,PI()/2, 0, 1, "sin(cos(x + y))")-1.48235</f>
        <v>4.4316033355882301E-3</v>
      </c>
    </row>
    <row r="109" spans="1:16" x14ac:dyDescent="0.3">
      <c r="A109">
        <v>79</v>
      </c>
      <c r="B109" cm="1">
        <f t="array" ref="B109" xml:space="preserve"> mc(100, 0, 4, 1, 2, "x^2+y^2")-92/3</f>
        <v>0.77191873265471855</v>
      </c>
      <c r="C109" cm="1">
        <f t="array" ref="C109" xml:space="preserve"> mc(500, 0, 4, 1, 2, "x^2+y^2")-92/3</f>
        <v>0.46998918205931162</v>
      </c>
      <c r="D109" cm="1">
        <f t="array" ref="D109" xml:space="preserve"> mc(1000, 0, 4, 1, 2, "x^2+y^2")-92/3</f>
        <v>-0.38843857880087995</v>
      </c>
      <c r="F109" cm="1">
        <f t="array" ref="F109" xml:space="preserve"> ( mc(100, 3, 4, -1, 1, "EXP(x * sin(y))") ) - 7.39981</f>
        <v>0.23261460375178622</v>
      </c>
      <c r="G109" cm="1">
        <f t="array" ref="G109" xml:space="preserve"> ( mc(500, 3, 4, -1, 1, "EXP(x * sin(y))") ) - 7.39981</f>
        <v>-3.983276236762201E-2</v>
      </c>
      <c r="H109" cm="1">
        <f t="array" ref="H109" xml:space="preserve"> ( mc(1000, 3, 4, -1, 1, "EXP(x * sin(y))") ) - 7.39981</f>
        <v>0.20075294726120774</v>
      </c>
      <c r="J109" cm="1">
        <f t="array" ref="J109" xml:space="preserve"> mc(100, -PI()/2,0,-1, 1, "ln(EXP(x * y))")</f>
        <v>0.41958892196679293</v>
      </c>
      <c r="K109" cm="1">
        <f t="array" ref="K109" xml:space="preserve"> mc(500, -PI()/2,0,-1, 1, "ln(EXP(x * y))")</f>
        <v>-0.10637915106891552</v>
      </c>
      <c r="L109" cm="1">
        <f t="array" ref="L109" xml:space="preserve"> mc(1000, -PI()/2,0,-1, 1, "ln(EXP(x * y))")</f>
        <v>5.0053667100317702E-2</v>
      </c>
      <c r="N109" cm="1">
        <f t="array" ref="N109" xml:space="preserve"> mc(100, -PI()/2,PI()/2, 0, 1, "sin(cos(x + y))")-1.48235</f>
        <v>-1.7810167431512092E-2</v>
      </c>
      <c r="O109" cm="1">
        <f t="array" ref="O109" xml:space="preserve"> mc(500, -PI()/2,PI()/2, 0, 1, "sin(cos(x + y))")-1.48235</f>
        <v>3.4955349915870348E-2</v>
      </c>
      <c r="P109" cm="1">
        <f t="array" ref="P109" xml:space="preserve"> mc(1000, -PI()/2,PI()/2, 0, 1, "sin(cos(x + y))")-1.48235</f>
        <v>-6.9062953012823947E-3</v>
      </c>
    </row>
    <row r="110" spans="1:16" x14ac:dyDescent="0.3">
      <c r="A110">
        <v>80</v>
      </c>
      <c r="B110" cm="1">
        <f t="array" ref="B110" xml:space="preserve"> mc(100, 0, 4, 1, 2, "x^2+y^2")-92/3</f>
        <v>-2.3128282238670721</v>
      </c>
      <c r="C110" cm="1">
        <f t="array" ref="C110" xml:space="preserve"> mc(500, 0, 4, 1, 2, "x^2+y^2")-92/3</f>
        <v>-1.3082798438234811</v>
      </c>
      <c r="D110" cm="1">
        <f t="array" ref="D110" xml:space="preserve"> mc(1000, 0, 4, 1, 2, "x^2+y^2")-92/3</f>
        <v>0.55501648724239416</v>
      </c>
      <c r="F110" cm="1">
        <f t="array" ref="F110" xml:space="preserve"> ( mc(100, 3, 4, -1, 1, "EXP(x * sin(y))") ) - 7.39981</f>
        <v>0.10918702403160285</v>
      </c>
      <c r="G110" cm="1">
        <f t="array" ref="G110" xml:space="preserve"> ( mc(500, 3, 4, -1, 1, "EXP(x * sin(y))") ) - 7.39981</f>
        <v>0.27580534946027413</v>
      </c>
      <c r="H110" cm="1">
        <f t="array" ref="H110" xml:space="preserve"> ( mc(1000, 3, 4, -1, 1, "EXP(x * sin(y))") ) - 7.39981</f>
        <v>0.22412470743991442</v>
      </c>
      <c r="J110" cm="1">
        <f t="array" ref="J110" xml:space="preserve"> mc(100, -PI()/2,0,-1, 1, "ln(EXP(x * y))")</f>
        <v>-0.14733104806303082</v>
      </c>
      <c r="K110" cm="1">
        <f t="array" ref="K110" xml:space="preserve"> mc(500, -PI()/2,0,-1, 1, "ln(EXP(x * y))")</f>
        <v>3.7013784530866588E-2</v>
      </c>
      <c r="L110" cm="1">
        <f t="array" ref="L110" xml:space="preserve"> mc(1000, -PI()/2,0,-1, 1, "ln(EXP(x * y))")</f>
        <v>3.9115662293390058E-2</v>
      </c>
      <c r="N110" cm="1">
        <f t="array" ref="N110" xml:space="preserve"> mc(100, -PI()/2,PI()/2, 0, 1, "sin(cos(x + y))")-1.48235</f>
        <v>-0.12628992016053053</v>
      </c>
      <c r="O110" cm="1">
        <f t="array" ref="O110" xml:space="preserve"> mc(500, -PI()/2,PI()/2, 0, 1, "sin(cos(x + y))")-1.48235</f>
        <v>0.12946515867064456</v>
      </c>
      <c r="P110" cm="1">
        <f t="array" ref="P110" xml:space="preserve"> mc(1000, -PI()/2,PI()/2, 0, 1, "sin(cos(x + y))")-1.48235</f>
        <v>-1.3737071745359763E-2</v>
      </c>
    </row>
    <row r="111" spans="1:16" x14ac:dyDescent="0.3">
      <c r="A111">
        <v>81</v>
      </c>
      <c r="B111" cm="1">
        <f t="array" ref="B111" xml:space="preserve"> mc(100, 0, 4, 1, 2, "x^2+y^2")-92/3</f>
        <v>1.2507330779626109</v>
      </c>
      <c r="C111" cm="1">
        <f t="array" ref="C111" xml:space="preserve"> mc(500, 0, 4, 1, 2, "x^2+y^2")-92/3</f>
        <v>-1.5819720846988758</v>
      </c>
      <c r="D111" cm="1">
        <f t="array" ref="D111" xml:space="preserve"> mc(1000, 0, 4, 1, 2, "x^2+y^2")-92/3</f>
        <v>-0.24034655260053839</v>
      </c>
      <c r="F111" cm="1">
        <f t="array" ref="F111" xml:space="preserve"> ( mc(100, 3, 4, -1, 1, "EXP(x * sin(y))") ) - 7.39981</f>
        <v>0.75962422138534436</v>
      </c>
      <c r="G111" cm="1">
        <f t="array" ref="G111" xml:space="preserve"> ( mc(500, 3, 4, -1, 1, "EXP(x * sin(y))") ) - 7.39981</f>
        <v>0.48086359161794778</v>
      </c>
      <c r="H111" cm="1">
        <f t="array" ref="H111" xml:space="preserve"> ( mc(1000, 3, 4, -1, 1, "EXP(x * sin(y))") ) - 7.39981</f>
        <v>-5.2872887317215955E-2</v>
      </c>
      <c r="J111" cm="1">
        <f t="array" ref="J111" xml:space="preserve"> mc(100, -PI()/2,0,-1, 1, "ln(EXP(x * y))")</f>
        <v>9.9547697271226185E-2</v>
      </c>
      <c r="K111" cm="1">
        <f t="array" ref="K111" xml:space="preserve"> mc(500, -PI()/2,0,-1, 1, "ln(EXP(x * y))")</f>
        <v>-4.6212035991212264E-2</v>
      </c>
      <c r="L111" cm="1">
        <f t="array" ref="L111" xml:space="preserve"> mc(1000, -PI()/2,0,-1, 1, "ln(EXP(x * y))")</f>
        <v>3.4328448106070462E-2</v>
      </c>
      <c r="N111" cm="1">
        <f t="array" ref="N111" xml:space="preserve"> mc(100, -PI()/2,PI()/2, 0, 1, "sin(cos(x + y))")-1.48235</f>
        <v>-0.10728615978309053</v>
      </c>
      <c r="O111" cm="1">
        <f t="array" ref="O111" xml:space="preserve"> mc(500, -PI()/2,PI()/2, 0, 1, "sin(cos(x + y))")-1.48235</f>
        <v>-6.2002993299011155E-2</v>
      </c>
      <c r="P111" cm="1">
        <f t="array" ref="P111" xml:space="preserve"> mc(1000, -PI()/2,PI()/2, 0, 1, "sin(cos(x + y))")-1.48235</f>
        <v>4.4819050446614828E-2</v>
      </c>
    </row>
    <row r="112" spans="1:16" x14ac:dyDescent="0.3">
      <c r="A112">
        <v>82</v>
      </c>
      <c r="B112" cm="1">
        <f t="array" ref="B112" xml:space="preserve"> mc(100, 0, 4, 1, 2, "x^2+y^2")-92/3</f>
        <v>-3.2570902003502766E-2</v>
      </c>
      <c r="C112" cm="1">
        <f t="array" ref="C112" xml:space="preserve"> mc(500, 0, 4, 1, 2, "x^2+y^2")-92/3</f>
        <v>0.59238371174057747</v>
      </c>
      <c r="D112" cm="1">
        <f t="array" ref="D112" xml:space="preserve"> mc(1000, 0, 4, 1, 2, "x^2+y^2")-92/3</f>
        <v>-0.50711950984764087</v>
      </c>
      <c r="F112" cm="1">
        <f t="array" ref="F112" xml:space="preserve"> ( mc(100, 3, 4, -1, 1, "EXP(x * sin(y))") ) - 7.39981</f>
        <v>1.0579596535384805</v>
      </c>
      <c r="G112" cm="1">
        <f t="array" ref="G112" xml:space="preserve"> ( mc(500, 3, 4, -1, 1, "EXP(x * sin(y))") ) - 7.39981</f>
        <v>-0.28796313637116366</v>
      </c>
      <c r="H112" cm="1">
        <f t="array" ref="H112" xml:space="preserve"> ( mc(1000, 3, 4, -1, 1, "EXP(x * sin(y))") ) - 7.39981</f>
        <v>-0.13911602661316902</v>
      </c>
      <c r="J112" cm="1">
        <f t="array" ref="J112" xml:space="preserve"> mc(100, -PI()/2,0,-1, 1, "ln(EXP(x * y))")</f>
        <v>0.10856939347800129</v>
      </c>
      <c r="K112" cm="1">
        <f t="array" ref="K112" xml:space="preserve"> mc(500, -PI()/2,0,-1, 1, "ln(EXP(x * y))")</f>
        <v>1.2378612333657545E-2</v>
      </c>
      <c r="L112" cm="1">
        <f t="array" ref="L112" xml:space="preserve"> mc(1000, -PI()/2,0,-1, 1, "ln(EXP(x * y))")</f>
        <v>0.13691959777906265</v>
      </c>
      <c r="N112" cm="1">
        <f t="array" ref="N112" xml:space="preserve"> mc(100, -PI()/2,PI()/2, 0, 1, "sin(cos(x + y))")-1.48235</f>
        <v>-0.19467252134970625</v>
      </c>
      <c r="O112" cm="1">
        <f t="array" ref="O112" xml:space="preserve"> mc(500, -PI()/2,PI()/2, 0, 1, "sin(cos(x + y))")-1.48235</f>
        <v>-7.450585048613112E-2</v>
      </c>
      <c r="P112" cm="1">
        <f t="array" ref="P112" xml:space="preserve"> mc(1000, -PI()/2,PI()/2, 0, 1, "sin(cos(x + y))")-1.48235</f>
        <v>-2.5614124951303996E-2</v>
      </c>
    </row>
    <row r="113" spans="1:16" x14ac:dyDescent="0.3">
      <c r="A113">
        <v>83</v>
      </c>
      <c r="B113" cm="1">
        <f t="array" ref="B113" xml:space="preserve"> mc(100, 0, 4, 1, 2, "x^2+y^2")-92/3</f>
        <v>-3.0659865896410174</v>
      </c>
      <c r="C113" cm="1">
        <f t="array" ref="C113" xml:space="preserve"> mc(500, 0, 4, 1, 2, "x^2+y^2")-92/3</f>
        <v>0.15506387233347141</v>
      </c>
      <c r="D113" cm="1">
        <f t="array" ref="D113" xml:space="preserve"> mc(1000, 0, 4, 1, 2, "x^2+y^2")-92/3</f>
        <v>0.49419215033498887</v>
      </c>
      <c r="F113" cm="1">
        <f t="array" ref="F113" xml:space="preserve"> ( mc(100, 3, 4, -1, 1, "EXP(x * sin(y))") ) - 7.39981</f>
        <v>-1.0516816949763399</v>
      </c>
      <c r="G113" cm="1">
        <f t="array" ref="G113" xml:space="preserve"> ( mc(500, 3, 4, -1, 1, "EXP(x * sin(y))") ) - 7.39981</f>
        <v>-0.21165855107940335</v>
      </c>
      <c r="H113" cm="1">
        <f t="array" ref="H113" xml:space="preserve"> ( mc(1000, 3, 4, -1, 1, "EXP(x * sin(y))") ) - 7.39981</f>
        <v>0.22339473809714061</v>
      </c>
      <c r="J113" cm="1">
        <f t="array" ref="J113" xml:space="preserve"> mc(100, -PI()/2,0,-1, 1, "ln(EXP(x * y))")</f>
        <v>-0.11220626039646241</v>
      </c>
      <c r="K113" cm="1">
        <f t="array" ref="K113" xml:space="preserve"> mc(500, -PI()/2,0,-1, 1, "ln(EXP(x * y))")</f>
        <v>-0.14226889054415845</v>
      </c>
      <c r="L113" cm="1">
        <f t="array" ref="L113" xml:space="preserve"> mc(1000, -PI()/2,0,-1, 1, "ln(EXP(x * y))")</f>
        <v>4.1264484717959578E-2</v>
      </c>
      <c r="N113" cm="1">
        <f t="array" ref="N113" xml:space="preserve"> mc(100, -PI()/2,PI()/2, 0, 1, "sin(cos(x + y))")-1.48235</f>
        <v>0.16352587781834615</v>
      </c>
      <c r="O113" cm="1">
        <f t="array" ref="O113" xml:space="preserve"> mc(500, -PI()/2,PI()/2, 0, 1, "sin(cos(x + y))")-1.48235</f>
        <v>0.11822381733785514</v>
      </c>
      <c r="P113" cm="1">
        <f t="array" ref="P113" xml:space="preserve"> mc(1000, -PI()/2,PI()/2, 0, 1, "sin(cos(x + y))")-1.48235</f>
        <v>2.6926611983015158E-2</v>
      </c>
    </row>
    <row r="114" spans="1:16" x14ac:dyDescent="0.3">
      <c r="A114">
        <v>84</v>
      </c>
      <c r="B114" cm="1">
        <f t="array" ref="B114" xml:space="preserve"> mc(100, 0, 4, 1, 2, "x^2+y^2")-92/3</f>
        <v>1.3884913685538329</v>
      </c>
      <c r="C114" cm="1">
        <f t="array" ref="C114" xml:space="preserve"> mc(500, 0, 4, 1, 2, "x^2+y^2")-92/3</f>
        <v>1.8810537143519213E-2</v>
      </c>
      <c r="D114" cm="1">
        <f t="array" ref="D114" xml:space="preserve"> mc(1000, 0, 4, 1, 2, "x^2+y^2")-92/3</f>
        <v>-0.3100844162455445</v>
      </c>
      <c r="F114" cm="1">
        <f t="array" ref="F114" xml:space="preserve"> ( mc(100, 3, 4, -1, 1, "EXP(x * sin(y))") ) - 7.39981</f>
        <v>0.72675064120765143</v>
      </c>
      <c r="G114" cm="1">
        <f t="array" ref="G114" xml:space="preserve"> ( mc(500, 3, 4, -1, 1, "EXP(x * sin(y))") ) - 7.39981</f>
        <v>-0.59580486858169124</v>
      </c>
      <c r="H114" cm="1">
        <f t="array" ref="H114" xml:space="preserve"> ( mc(1000, 3, 4, -1, 1, "EXP(x * sin(y))") ) - 7.39981</f>
        <v>-4.5601667123984946E-2</v>
      </c>
      <c r="J114" cm="1">
        <f t="array" ref="J114" xml:space="preserve"> mc(100, -PI()/2,0,-1, 1, "ln(EXP(x * y))")</f>
        <v>-7.5903854484987529E-2</v>
      </c>
      <c r="K114" cm="1">
        <f t="array" ref="K114" xml:space="preserve"> mc(500, -PI()/2,0,-1, 1, "ln(EXP(x * y))")</f>
        <v>4.0119110698476788E-3</v>
      </c>
      <c r="L114" cm="1">
        <f t="array" ref="L114" xml:space="preserve"> mc(1000, -PI()/2,0,-1, 1, "ln(EXP(x * y))")</f>
        <v>1.8653654699102733E-2</v>
      </c>
      <c r="N114" cm="1">
        <f t="array" ref="N114" xml:space="preserve"> mc(100, -PI()/2,PI()/2, 0, 1, "sin(cos(x + y))")-1.48235</f>
        <v>2.8488634736165253E-2</v>
      </c>
      <c r="O114" cm="1">
        <f t="array" ref="O114" xml:space="preserve"> mc(500, -PI()/2,PI()/2, 0, 1, "sin(cos(x + y))")-1.48235</f>
        <v>8.3259691483197562E-2</v>
      </c>
      <c r="P114" cm="1">
        <f t="array" ref="P114" xml:space="preserve"> mc(1000, -PI()/2,PI()/2, 0, 1, "sin(cos(x + y))")-1.48235</f>
        <v>2.4686026529135319E-2</v>
      </c>
    </row>
    <row r="115" spans="1:16" x14ac:dyDescent="0.3">
      <c r="A115">
        <v>85</v>
      </c>
      <c r="B115" cm="1">
        <f t="array" ref="B115" xml:space="preserve"> mc(100, 0, 4, 1, 2, "x^2+y^2")-92/3</f>
        <v>-2.5174673208730809</v>
      </c>
      <c r="C115" cm="1">
        <f t="array" ref="C115" xml:space="preserve"> mc(500, 0, 4, 1, 2, "x^2+y^2")-92/3</f>
        <v>-0.4392380498123778</v>
      </c>
      <c r="D115" cm="1">
        <f t="array" ref="D115" xml:space="preserve"> mc(1000, 0, 4, 1, 2, "x^2+y^2")-92/3</f>
        <v>6.1187941626968723E-2</v>
      </c>
      <c r="F115" cm="1">
        <f t="array" ref="F115" xml:space="preserve"> ( mc(100, 3, 4, -1, 1, "EXP(x * sin(y))") ) - 7.39981</f>
        <v>-2.0765307500916705</v>
      </c>
      <c r="G115" cm="1">
        <f t="array" ref="G115" xml:space="preserve"> ( mc(500, 3, 4, -1, 1, "EXP(x * sin(y))") ) - 7.39981</f>
        <v>7.6692193019745503E-2</v>
      </c>
      <c r="H115" cm="1">
        <f t="array" ref="H115" xml:space="preserve"> ( mc(1000, 3, 4, -1, 1, "EXP(x * sin(y))") ) - 7.39981</f>
        <v>-0.83832340048683296</v>
      </c>
      <c r="J115" cm="1">
        <f t="array" ref="J115" xml:space="preserve"> mc(100, -PI()/2,0,-1, 1, "ln(EXP(x * y))")</f>
        <v>7.6137157502400049E-2</v>
      </c>
      <c r="K115" cm="1">
        <f t="array" ref="K115" xml:space="preserve"> mc(500, -PI()/2,0,-1, 1, "ln(EXP(x * y))")</f>
        <v>-0.13474907306682521</v>
      </c>
      <c r="L115" cm="1">
        <f t="array" ref="L115" xml:space="preserve"> mc(1000, -PI()/2,0,-1, 1, "ln(EXP(x * y))")</f>
        <v>-2.8291616554911147E-2</v>
      </c>
      <c r="N115" cm="1">
        <f t="array" ref="N115" xml:space="preserve"> mc(100, -PI()/2,PI()/2, 0, 1, "sin(cos(x + y))")-1.48235</f>
        <v>3.8652368836855633E-3</v>
      </c>
      <c r="O115" cm="1">
        <f t="array" ref="O115" xml:space="preserve"> mc(500, -PI()/2,PI()/2, 0, 1, "sin(cos(x + y))")-1.48235</f>
        <v>3.3558026210308789E-2</v>
      </c>
      <c r="P115" cm="1">
        <f t="array" ref="P115" xml:space="preserve"> mc(1000, -PI()/2,PI()/2, 0, 1, "sin(cos(x + y))")-1.48235</f>
        <v>8.4479604094407357E-3</v>
      </c>
    </row>
    <row r="116" spans="1:16" x14ac:dyDescent="0.3">
      <c r="A116">
        <v>86</v>
      </c>
      <c r="B116" cm="1">
        <f t="array" ref="B116" xml:space="preserve"> mc(100, 0, 4, 1, 2, "x^2+y^2")-92/3</f>
        <v>-0.22207600851628584</v>
      </c>
      <c r="C116" cm="1">
        <f t="array" ref="C116" xml:space="preserve"> mc(500, 0, 4, 1, 2, "x^2+y^2")-92/3</f>
        <v>0.39400346766662153</v>
      </c>
      <c r="D116" cm="1">
        <f t="array" ref="D116" xml:space="preserve"> mc(1000, 0, 4, 1, 2, "x^2+y^2")-92/3</f>
        <v>-0.65242598063895585</v>
      </c>
      <c r="F116" cm="1">
        <f t="array" ref="F116" xml:space="preserve"> ( mc(100, 3, 4, -1, 1, "EXP(x * sin(y))") ) - 7.39981</f>
        <v>0.89454607798082719</v>
      </c>
      <c r="G116" cm="1">
        <f t="array" ref="G116" xml:space="preserve"> ( mc(500, 3, 4, -1, 1, "EXP(x * sin(y))") ) - 7.39981</f>
        <v>-0.13037470250848049</v>
      </c>
      <c r="H116" cm="1">
        <f t="array" ref="H116" xml:space="preserve"> ( mc(1000, 3, 4, -1, 1, "EXP(x * sin(y))") ) - 7.39981</f>
        <v>1.5969069637280953E-2</v>
      </c>
      <c r="J116" cm="1">
        <f t="array" ref="J116" xml:space="preserve"> mc(100, -PI()/2,0,-1, 1, "ln(EXP(x * y))")</f>
        <v>0.10671335114380259</v>
      </c>
      <c r="K116" cm="1">
        <f t="array" ref="K116" xml:space="preserve"> mc(500, -PI()/2,0,-1, 1, "ln(EXP(x * y))")</f>
        <v>-0.13137064950811195</v>
      </c>
      <c r="L116" cm="1">
        <f t="array" ref="L116" xml:space="preserve"> mc(1000, -PI()/2,0,-1, 1, "ln(EXP(x * y))")</f>
        <v>7.6674017696108532E-3</v>
      </c>
      <c r="N116" cm="1">
        <f t="array" ref="N116" xml:space="preserve"> mc(100, -PI()/2,PI()/2, 0, 1, "sin(cos(x + y))")-1.48235</f>
        <v>-3.3093218457732831E-2</v>
      </c>
      <c r="O116" cm="1">
        <f t="array" ref="O116" xml:space="preserve"> mc(500, -PI()/2,PI()/2, 0, 1, "sin(cos(x + y))")-1.48235</f>
        <v>1.7022269347847674E-2</v>
      </c>
      <c r="P116" cm="1">
        <f t="array" ref="P116" xml:space="preserve"> mc(1000, -PI()/2,PI()/2, 0, 1, "sin(cos(x + y))")-1.48235</f>
        <v>4.7386608772657324E-2</v>
      </c>
    </row>
    <row r="117" spans="1:16" x14ac:dyDescent="0.3">
      <c r="A117">
        <v>87</v>
      </c>
      <c r="B117" cm="1">
        <f t="array" ref="B117" xml:space="preserve"> mc(100, 0, 4, 1, 2, "x^2+y^2")-92/3</f>
        <v>1.9664624745253114</v>
      </c>
      <c r="C117" cm="1">
        <f t="array" ref="C117" xml:space="preserve"> mc(500, 0, 4, 1, 2, "x^2+y^2")-92/3</f>
        <v>1.2037799325632221</v>
      </c>
      <c r="D117" cm="1">
        <f t="array" ref="D117" xml:space="preserve"> mc(1000, 0, 4, 1, 2, "x^2+y^2")-92/3</f>
        <v>9.1711943463486989E-2</v>
      </c>
      <c r="F117" cm="1">
        <f t="array" ref="F117" xml:space="preserve"> ( mc(100, 3, 4, -1, 1, "EXP(x * sin(y))") ) - 7.39981</f>
        <v>-0.89553436873287584</v>
      </c>
      <c r="G117" cm="1">
        <f t="array" ref="G117" xml:space="preserve"> ( mc(500, 3, 4, -1, 1, "EXP(x * sin(y))") ) - 7.39981</f>
        <v>-0.27371459264167797</v>
      </c>
      <c r="H117" cm="1">
        <f t="array" ref="H117" xml:space="preserve"> ( mc(1000, 3, 4, -1, 1, "EXP(x * sin(y))") ) - 7.39981</f>
        <v>9.3549118184776958E-2</v>
      </c>
      <c r="J117" cm="1">
        <f t="array" ref="J117" xml:space="preserve"> mc(100, -PI()/2,0,-1, 1, "ln(EXP(x * y))")</f>
        <v>0.1387837555228873</v>
      </c>
      <c r="K117" cm="1">
        <f t="array" ref="K117" xml:space="preserve"> mc(500, -PI()/2,0,-1, 1, "ln(EXP(x * y))")</f>
        <v>4.0727388182695015E-2</v>
      </c>
      <c r="L117" cm="1">
        <f t="array" ref="L117" xml:space="preserve"> mc(1000, -PI()/2,0,-1, 1, "ln(EXP(x * y))")</f>
        <v>1.0617204182506864E-2</v>
      </c>
      <c r="N117" cm="1">
        <f t="array" ref="N117" xml:space="preserve"> mc(100, -PI()/2,PI()/2, 0, 1, "sin(cos(x + y))")-1.48235</f>
        <v>-0.34839836854850126</v>
      </c>
      <c r="O117" cm="1">
        <f t="array" ref="O117" xml:space="preserve"> mc(500, -PI()/2,PI()/2, 0, 1, "sin(cos(x + y))")-1.48235</f>
        <v>1.7887899334796176E-2</v>
      </c>
      <c r="P117" cm="1">
        <f t="array" ref="P117" xml:space="preserve"> mc(1000, -PI()/2,PI()/2, 0, 1, "sin(cos(x + y))")-1.48235</f>
        <v>4.629979967136677E-2</v>
      </c>
    </row>
    <row r="118" spans="1:16" x14ac:dyDescent="0.3">
      <c r="A118">
        <v>88</v>
      </c>
      <c r="B118" cm="1">
        <f t="array" ref="B118" xml:space="preserve"> mc(100, 0, 4, 1, 2, "x^2+y^2")-92/3</f>
        <v>-8.0374156704664301E-2</v>
      </c>
      <c r="C118" cm="1">
        <f t="array" ref="C118" xml:space="preserve"> mc(500, 0, 4, 1, 2, "x^2+y^2")-92/3</f>
        <v>0.57548464659513954</v>
      </c>
      <c r="D118" cm="1">
        <f t="array" ref="D118" xml:space="preserve"> mc(1000, 0, 4, 1, 2, "x^2+y^2")-92/3</f>
        <v>0.82514897406284149</v>
      </c>
      <c r="F118" cm="1">
        <f t="array" ref="F118" xml:space="preserve"> ( mc(100, 3, 4, -1, 1, "EXP(x * sin(y))") ) - 7.39981</f>
        <v>2.4793333833692124</v>
      </c>
      <c r="G118" cm="1">
        <f t="array" ref="G118" xml:space="preserve"> ( mc(500, 3, 4, -1, 1, "EXP(x * sin(y))") ) - 7.39981</f>
        <v>-0.21704871129692282</v>
      </c>
      <c r="H118" cm="1">
        <f t="array" ref="H118" xml:space="preserve"> ( mc(1000, 3, 4, -1, 1, "EXP(x * sin(y))") ) - 7.39981</f>
        <v>0.2014935836489169</v>
      </c>
      <c r="J118" cm="1">
        <f t="array" ref="J118" xml:space="preserve"> mc(100, -PI()/2,0,-1, 1, "ln(EXP(x * y))")</f>
        <v>-2.6460038577184566E-2</v>
      </c>
      <c r="K118" cm="1">
        <f t="array" ref="K118" xml:space="preserve"> mc(500, -PI()/2,0,-1, 1, "ln(EXP(x * y))")</f>
        <v>3.8438461861494126E-2</v>
      </c>
      <c r="L118" cm="1">
        <f t="array" ref="L118" xml:space="preserve"> mc(1000, -PI()/2,0,-1, 1, "ln(EXP(x * y))")</f>
        <v>-2.9701939394192106E-2</v>
      </c>
      <c r="N118" cm="1">
        <f t="array" ref="N118" xml:space="preserve"> mc(100, -PI()/2,PI()/2, 0, 1, "sin(cos(x + y))")-1.48235</f>
        <v>-9.7182478102562753E-2</v>
      </c>
      <c r="O118" cm="1">
        <f t="array" ref="O118" xml:space="preserve"> mc(500, -PI()/2,PI()/2, 0, 1, "sin(cos(x + y))")-1.48235</f>
        <v>-2.1836247197555281E-3</v>
      </c>
      <c r="P118" cm="1">
        <f t="array" ref="P118" xml:space="preserve"> mc(1000, -PI()/2,PI()/2, 0, 1, "sin(cos(x + y))")-1.48235</f>
        <v>-6.4637987889811122E-2</v>
      </c>
    </row>
    <row r="119" spans="1:16" x14ac:dyDescent="0.3">
      <c r="A119">
        <v>89</v>
      </c>
      <c r="B119" cm="1">
        <f t="array" ref="B119" xml:space="preserve"> mc(100, 0, 4, 1, 2, "x^2+y^2")-92/3</f>
        <v>3.0043925868795576</v>
      </c>
      <c r="C119" cm="1">
        <f t="array" ref="C119" xml:space="preserve"> mc(500, 0, 4, 1, 2, "x^2+y^2")-92/3</f>
        <v>-0.55048603239072591</v>
      </c>
      <c r="D119" cm="1">
        <f t="array" ref="D119" xml:space="preserve"> mc(1000, 0, 4, 1, 2, "x^2+y^2")-92/3</f>
        <v>-1.334639698247468</v>
      </c>
      <c r="F119" cm="1">
        <f t="array" ref="F119" xml:space="preserve"> ( mc(100, 3, 4, -1, 1, "EXP(x * sin(y))") ) - 7.39981</f>
        <v>-1.5425931664939538</v>
      </c>
      <c r="G119" cm="1">
        <f t="array" ref="G119" xml:space="preserve"> ( mc(500, 3, 4, -1, 1, "EXP(x * sin(y))") ) - 7.39981</f>
        <v>-0.11059818889191853</v>
      </c>
      <c r="H119" cm="1">
        <f t="array" ref="H119" xml:space="preserve"> ( mc(1000, 3, 4, -1, 1, "EXP(x * sin(y))") ) - 7.39981</f>
        <v>-7.0950459250187059E-2</v>
      </c>
      <c r="J119" cm="1">
        <f t="array" ref="J119" xml:space="preserve"> mc(100, -PI()/2,0,-1, 1, "ln(EXP(x * y))")</f>
        <v>0.1547521240528168</v>
      </c>
      <c r="K119" cm="1">
        <f t="array" ref="K119" xml:space="preserve"> mc(500, -PI()/2,0,-1, 1, "ln(EXP(x * y))")</f>
        <v>5.1300853175159145E-2</v>
      </c>
      <c r="L119" cm="1">
        <f t="array" ref="L119" xml:space="preserve"> mc(1000, -PI()/2,0,-1, 1, "ln(EXP(x * y))")</f>
        <v>-2.4816176178904786E-2</v>
      </c>
      <c r="N119" cm="1">
        <f t="array" ref="N119" xml:space="preserve"> mc(100, -PI()/2,PI()/2, 0, 1, "sin(cos(x + y))")-1.48235</f>
        <v>2.5254016663667223E-3</v>
      </c>
      <c r="O119" cm="1">
        <f t="array" ref="O119" xml:space="preserve"> mc(500, -PI()/2,PI()/2, 0, 1, "sin(cos(x + y))")-1.48235</f>
        <v>5.5393546646286929E-2</v>
      </c>
      <c r="P119" cm="1">
        <f t="array" ref="P119" xml:space="preserve"> mc(1000, -PI()/2,PI()/2, 0, 1, "sin(cos(x + y))")-1.48235</f>
        <v>-3.4334542080303621E-2</v>
      </c>
    </row>
    <row r="120" spans="1:16" x14ac:dyDescent="0.3">
      <c r="A120">
        <v>90</v>
      </c>
      <c r="B120" cm="1">
        <f t="array" ref="B120" xml:space="preserve"> mc(100, 0, 4, 1, 2, "x^2+y^2")-92/3</f>
        <v>1.3213308539206494</v>
      </c>
      <c r="C120" cm="1">
        <f t="array" ref="C120" xml:space="preserve"> mc(500, 0, 4, 1, 2, "x^2+y^2")-92/3</f>
        <v>-0.98618976703690464</v>
      </c>
      <c r="D120" cm="1">
        <f t="array" ref="D120" xml:space="preserve"> mc(1000, 0, 4, 1, 2, "x^2+y^2")-92/3</f>
        <v>-0.18848535562798219</v>
      </c>
      <c r="F120" cm="1">
        <f t="array" ref="F120" xml:space="preserve"> ( mc(100, 3, 4, -1, 1, "EXP(x * sin(y))") ) - 7.39981</f>
        <v>-1.0931037425289096</v>
      </c>
      <c r="G120" cm="1">
        <f t="array" ref="G120" xml:space="preserve"> ( mc(500, 3, 4, -1, 1, "EXP(x * sin(y))") ) - 7.39981</f>
        <v>-0.7737926171439149</v>
      </c>
      <c r="H120" cm="1">
        <f t="array" ref="H120" xml:space="preserve"> ( mc(1000, 3, 4, -1, 1, "EXP(x * sin(y))") ) - 7.39981</f>
        <v>0.25335316051036294</v>
      </c>
      <c r="J120" cm="1">
        <f t="array" ref="J120" xml:space="preserve"> mc(100, -PI()/2,0,-1, 1, "ln(EXP(x * y))")</f>
        <v>0.14262452331193126</v>
      </c>
      <c r="K120" cm="1">
        <f t="array" ref="K120" xml:space="preserve"> mc(500, -PI()/2,0,-1, 1, "ln(EXP(x * y))")</f>
        <v>2.9136633684182844E-2</v>
      </c>
      <c r="L120" cm="1">
        <f t="array" ref="L120" xml:space="preserve"> mc(1000, -PI()/2,0,-1, 1, "ln(EXP(x * y))")</f>
        <v>8.5552086804477734E-2</v>
      </c>
      <c r="N120" cm="1">
        <f t="array" ref="N120" xml:space="preserve"> mc(100, -PI()/2,PI()/2, 0, 1, "sin(cos(x + y))")-1.48235</f>
        <v>-5.7603207038362525E-2</v>
      </c>
      <c r="O120" cm="1">
        <f t="array" ref="O120" xml:space="preserve"> mc(500, -PI()/2,PI()/2, 0, 1, "sin(cos(x + y))")-1.48235</f>
        <v>4.2724657515285758E-2</v>
      </c>
      <c r="P120" cm="1">
        <f t="array" ref="P120" xml:space="preserve"> mc(1000, -PI()/2,PI()/2, 0, 1, "sin(cos(x + y))")-1.48235</f>
        <v>2.1232881116904911E-2</v>
      </c>
    </row>
    <row r="121" spans="1:16" x14ac:dyDescent="0.3">
      <c r="A121">
        <v>91</v>
      </c>
      <c r="B121" cm="1">
        <f t="array" ref="B121" xml:space="preserve"> mc(100, 0, 4, 1, 2, "x^2+y^2")-92/3</f>
        <v>-1.8942961511712042</v>
      </c>
      <c r="C121" cm="1">
        <f t="array" ref="C121" xml:space="preserve"> mc(500, 0, 4, 1, 2, "x^2+y^2")-92/3</f>
        <v>-0.30893647232916166</v>
      </c>
      <c r="D121" cm="1">
        <f t="array" ref="D121" xml:space="preserve"> mc(1000, 0, 4, 1, 2, "x^2+y^2")-92/3</f>
        <v>-0.60792295605789448</v>
      </c>
      <c r="F121" cm="1">
        <f t="array" ref="F121" xml:space="preserve"> ( mc(100, 3, 4, -1, 1, "EXP(x * sin(y))") ) - 7.39981</f>
        <v>-0.18313534395534425</v>
      </c>
      <c r="G121" cm="1">
        <f t="array" ref="G121" xml:space="preserve"> ( mc(500, 3, 4, -1, 1, "EXP(x * sin(y))") ) - 7.39981</f>
        <v>0.3218496376618063</v>
      </c>
      <c r="H121" cm="1">
        <f t="array" ref="H121" xml:space="preserve"> ( mc(1000, 3, 4, -1, 1, "EXP(x * sin(y))") ) - 7.39981</f>
        <v>0.26067444644620874</v>
      </c>
      <c r="J121" cm="1">
        <f t="array" ref="J121" xml:space="preserve"> mc(100, -PI()/2,0,-1, 1, "ln(EXP(x * y))")</f>
        <v>-9.1366970192011565E-2</v>
      </c>
      <c r="K121" cm="1">
        <f t="array" ref="K121" xml:space="preserve"> mc(500, -PI()/2,0,-1, 1, "ln(EXP(x * y))")</f>
        <v>-7.6707697340220232E-2</v>
      </c>
      <c r="L121" cm="1">
        <f t="array" ref="L121" xml:space="preserve"> mc(1000, -PI()/2,0,-1, 1, "ln(EXP(x * y))")</f>
        <v>5.6277061014510112E-2</v>
      </c>
      <c r="N121" cm="1">
        <f t="array" ref="N121" xml:space="preserve"> mc(100, -PI()/2,PI()/2, 0, 1, "sin(cos(x + y))")-1.48235</f>
        <v>4.9794969458494043E-2</v>
      </c>
      <c r="O121" cm="1">
        <f t="array" ref="O121" xml:space="preserve"> mc(500, -PI()/2,PI()/2, 0, 1, "sin(cos(x + y))")-1.48235</f>
        <v>-5.7048432722098141E-2</v>
      </c>
      <c r="P121" cm="1">
        <f t="array" ref="P121" xml:space="preserve"> mc(1000, -PI()/2,PI()/2, 0, 1, "sin(cos(x + y))")-1.48235</f>
        <v>-1.0941463273756558E-2</v>
      </c>
    </row>
    <row r="122" spans="1:16" x14ac:dyDescent="0.3">
      <c r="A122">
        <v>92</v>
      </c>
      <c r="B122" cm="1">
        <f t="array" ref="B122" xml:space="preserve"> mc(100, 0, 4, 1, 2, "x^2+y^2")-92/3</f>
        <v>2.1129904023252841</v>
      </c>
      <c r="C122" cm="1">
        <f t="array" ref="C122" xml:space="preserve"> mc(500, 0, 4, 1, 2, "x^2+y^2")-92/3</f>
        <v>1.3840950339620939</v>
      </c>
      <c r="D122" cm="1">
        <f t="array" ref="D122" xml:space="preserve"> mc(1000, 0, 4, 1, 2, "x^2+y^2")-92/3</f>
        <v>-0.72229557588358517</v>
      </c>
      <c r="F122" cm="1">
        <f t="array" ref="F122" xml:space="preserve"> ( mc(100, 3, 4, -1, 1, "EXP(x * sin(y))") ) - 7.39981</f>
        <v>1.1691228364345658</v>
      </c>
      <c r="G122" cm="1">
        <f t="array" ref="G122" xml:space="preserve"> ( mc(500, 3, 4, -1, 1, "EXP(x * sin(y))") ) - 7.39981</f>
        <v>-7.2127276422250475E-2</v>
      </c>
      <c r="H122" cm="1">
        <f t="array" ref="H122" xml:space="preserve"> ( mc(1000, 3, 4, -1, 1, "EXP(x * sin(y))") ) - 7.39981</f>
        <v>-0.127436461479987</v>
      </c>
      <c r="J122" cm="1">
        <f t="array" ref="J122" xml:space="preserve"> mc(100, -PI()/2,0,-1, 1, "ln(EXP(x * y))")</f>
        <v>4.4965987008745621E-2</v>
      </c>
      <c r="K122" cm="1">
        <f t="array" ref="K122" xml:space="preserve"> mc(500, -PI()/2,0,-1, 1, "ln(EXP(x * y))")</f>
        <v>9.3295120781186399E-3</v>
      </c>
      <c r="L122" cm="1">
        <f t="array" ref="L122" xml:space="preserve"> mc(1000, -PI()/2,0,-1, 1, "ln(EXP(x * y))")</f>
        <v>-4.920842500266133E-2</v>
      </c>
      <c r="N122" cm="1">
        <f t="array" ref="N122" xml:space="preserve"> mc(100, -PI()/2,PI()/2, 0, 1, "sin(cos(x + y))")-1.48235</f>
        <v>6.1772450076947205E-2</v>
      </c>
      <c r="O122" cm="1">
        <f t="array" ref="O122" xml:space="preserve"> mc(500, -PI()/2,PI()/2, 0, 1, "sin(cos(x + y))")-1.48235</f>
        <v>-7.5808183165991139E-2</v>
      </c>
      <c r="P122" cm="1">
        <f t="array" ref="P122" xml:space="preserve"> mc(1000, -PI()/2,PI()/2, 0, 1, "sin(cos(x + y))")-1.48235</f>
        <v>-1.7532509261910523E-2</v>
      </c>
    </row>
    <row r="123" spans="1:16" x14ac:dyDescent="0.3">
      <c r="A123">
        <v>93</v>
      </c>
      <c r="B123" cm="1">
        <f t="array" ref="B123" xml:space="preserve"> mc(100, 0, 4, 1, 2, "x^2+y^2")-92/3</f>
        <v>-1.2709244649462086</v>
      </c>
      <c r="C123" cm="1">
        <f t="array" ref="C123" xml:space="preserve"> mc(500, 0, 4, 1, 2, "x^2+y^2")-92/3</f>
        <v>-0.2256526719436458</v>
      </c>
      <c r="D123" cm="1">
        <f t="array" ref="D123" xml:space="preserve"> mc(1000, 0, 4, 1, 2, "x^2+y^2")-92/3</f>
        <v>-0.55383830192321781</v>
      </c>
      <c r="F123" cm="1">
        <f t="array" ref="F123" xml:space="preserve"> ( mc(100, 3, 4, -1, 1, "EXP(x * sin(y))") ) - 7.39981</f>
        <v>7.393722676954706E-2</v>
      </c>
      <c r="G123" cm="1">
        <f t="array" ref="G123" xml:space="preserve"> ( mc(500, 3, 4, -1, 1, "EXP(x * sin(y))") ) - 7.39981</f>
        <v>-0.33079750148152964</v>
      </c>
      <c r="H123" cm="1">
        <f t="array" ref="H123" xml:space="preserve"> ( mc(1000, 3, 4, -1, 1, "EXP(x * sin(y))") ) - 7.39981</f>
        <v>4.2784767208662977E-2</v>
      </c>
      <c r="J123" cm="1">
        <f t="array" ref="J123" xml:space="preserve"> mc(100, -PI()/2,0,-1, 1, "ln(EXP(x * y))")</f>
        <v>-5.8168864217442807E-2</v>
      </c>
      <c r="K123" cm="1">
        <f t="array" ref="K123" xml:space="preserve"> mc(500, -PI()/2,0,-1, 1, "ln(EXP(x * y))")</f>
        <v>-1.4987258620755402E-2</v>
      </c>
      <c r="L123" cm="1">
        <f t="array" ref="L123" xml:space="preserve"> mc(1000, -PI()/2,0,-1, 1, "ln(EXP(x * y))")</f>
        <v>-4.2873001295240916E-2</v>
      </c>
      <c r="N123" cm="1">
        <f t="array" ref="N123" xml:space="preserve"> mc(100, -PI()/2,PI()/2, 0, 1, "sin(cos(x + y))")-1.48235</f>
        <v>-3.9009774687803755E-4</v>
      </c>
      <c r="O123" cm="1">
        <f t="array" ref="O123" xml:space="preserve"> mc(500, -PI()/2,PI()/2, 0, 1, "sin(cos(x + y))")-1.48235</f>
        <v>-3.3651180791596014E-2</v>
      </c>
      <c r="P123" cm="1">
        <f t="array" ref="P123" xml:space="preserve"> mc(1000, -PI()/2,PI()/2, 0, 1, "sin(cos(x + y))")-1.48235</f>
        <v>-7.5173355132669428E-3</v>
      </c>
    </row>
    <row r="124" spans="1:16" x14ac:dyDescent="0.3">
      <c r="A124">
        <v>94</v>
      </c>
      <c r="B124" cm="1">
        <f t="array" ref="B124" xml:space="preserve"> mc(100, 0, 4, 1, 2, "x^2+y^2")-92/3</f>
        <v>-0.29862786334146563</v>
      </c>
      <c r="C124" cm="1">
        <f t="array" ref="C124" xml:space="preserve"> mc(500, 0, 4, 1, 2, "x^2+y^2")-92/3</f>
        <v>-0.56712530572757558</v>
      </c>
      <c r="D124" cm="1">
        <f t="array" ref="D124" xml:space="preserve"> mc(1000, 0, 4, 1, 2, "x^2+y^2")-92/3</f>
        <v>0.62384958566260451</v>
      </c>
      <c r="F124" cm="1">
        <f t="array" ref="F124" xml:space="preserve"> ( mc(100, 3, 4, -1, 1, "EXP(x * sin(y))") ) - 7.39981</f>
        <v>0.8357389780084592</v>
      </c>
      <c r="G124" cm="1">
        <f t="array" ref="G124" xml:space="preserve"> ( mc(500, 3, 4, -1, 1, "EXP(x * sin(y))") ) - 7.39981</f>
        <v>0.36020298867769096</v>
      </c>
      <c r="H124" cm="1">
        <f t="array" ref="H124" xml:space="preserve"> ( mc(1000, 3, 4, -1, 1, "EXP(x * sin(y))") ) - 7.39981</f>
        <v>0.33067064960580783</v>
      </c>
      <c r="J124" cm="1">
        <f t="array" ref="J124" xml:space="preserve"> mc(100, -PI()/2,0,-1, 1, "ln(EXP(x * y))")</f>
        <v>2.6755977081887039E-2</v>
      </c>
      <c r="K124" cm="1">
        <f t="array" ref="K124" xml:space="preserve"> mc(500, -PI()/2,0,-1, 1, "ln(EXP(x * y))")</f>
        <v>0.11967494250149821</v>
      </c>
      <c r="L124" cm="1">
        <f t="array" ref="L124" xml:space="preserve"> mc(1000, -PI()/2,0,-1, 1, "ln(EXP(x * y))")</f>
        <v>8.7729925328270068E-3</v>
      </c>
      <c r="N124" cm="1">
        <f t="array" ref="N124" xml:space="preserve"> mc(100, -PI()/2,PI()/2, 0, 1, "sin(cos(x + y))")-1.48235</f>
        <v>7.6329737536517506E-2</v>
      </c>
      <c r="O124" cm="1">
        <f t="array" ref="O124" xml:space="preserve"> mc(500, -PI()/2,PI()/2, 0, 1, "sin(cos(x + y))")-1.48235</f>
        <v>6.9338825777603752E-2</v>
      </c>
      <c r="P124" cm="1">
        <f t="array" ref="P124" xml:space="preserve"> mc(1000, -PI()/2,PI()/2, 0, 1, "sin(cos(x + y))")-1.48235</f>
        <v>5.2166573922413528E-2</v>
      </c>
    </row>
    <row r="125" spans="1:16" x14ac:dyDescent="0.3">
      <c r="A125">
        <v>95</v>
      </c>
      <c r="B125" cm="1">
        <f t="array" ref="B125" xml:space="preserve"> mc(100, 0, 4, 1, 2, "x^2+y^2")-92/3</f>
        <v>-1.0450892657800956</v>
      </c>
      <c r="C125" cm="1">
        <f t="array" ref="C125" xml:space="preserve"> mc(500, 0, 4, 1, 2, "x^2+y^2")-92/3</f>
        <v>0.84035372111420514</v>
      </c>
      <c r="D125" cm="1">
        <f t="array" ref="D125" xml:space="preserve"> mc(1000, 0, 4, 1, 2, "x^2+y^2")-92/3</f>
        <v>-0.87818340405450357</v>
      </c>
      <c r="F125" cm="1">
        <f t="array" ref="F125" xml:space="preserve"> ( mc(100, 3, 4, -1, 1, "EXP(x * sin(y))") ) - 7.39981</f>
        <v>-0.90568089605394153</v>
      </c>
      <c r="G125" cm="1">
        <f t="array" ref="G125" xml:space="preserve"> ( mc(500, 3, 4, -1, 1, "EXP(x * sin(y))") ) - 7.39981</f>
        <v>0.24086276425776632</v>
      </c>
      <c r="H125" cm="1">
        <f t="array" ref="H125" xml:space="preserve"> ( mc(1000, 3, 4, -1, 1, "EXP(x * sin(y))") ) - 7.39981</f>
        <v>0.18687665071965753</v>
      </c>
      <c r="J125" cm="1">
        <f t="array" ref="J125" xml:space="preserve"> mc(100, -PI()/2,0,-1, 1, "ln(EXP(x * y))")</f>
        <v>-6.1505374369860026E-2</v>
      </c>
      <c r="K125" cm="1">
        <f t="array" ref="K125" xml:space="preserve"> mc(500, -PI()/2,0,-1, 1, "ln(EXP(x * y))")</f>
        <v>-9.0310484965812746E-2</v>
      </c>
      <c r="L125" cm="1">
        <f t="array" ref="L125" xml:space="preserve"> mc(1000, -PI()/2,0,-1, 1, "ln(EXP(x * y))")</f>
        <v>-1.7069174712782343E-2</v>
      </c>
      <c r="N125" cm="1">
        <f t="array" ref="N125" xml:space="preserve"> mc(100, -PI()/2,PI()/2, 0, 1, "sin(cos(x + y))")-1.48235</f>
        <v>0.22219463434303188</v>
      </c>
      <c r="O125" cm="1">
        <f t="array" ref="O125" xml:space="preserve"> mc(500, -PI()/2,PI()/2, 0, 1, "sin(cos(x + y))")-1.48235</f>
        <v>3.2491390099649298E-3</v>
      </c>
      <c r="P125" cm="1">
        <f t="array" ref="P125" xml:space="preserve"> mc(1000, -PI()/2,PI()/2, 0, 1, "sin(cos(x + y))")-1.48235</f>
        <v>2.5165881202903861E-2</v>
      </c>
    </row>
    <row r="126" spans="1:16" x14ac:dyDescent="0.3">
      <c r="A126">
        <v>96</v>
      </c>
      <c r="B126" cm="1">
        <f t="array" ref="B126" xml:space="preserve"> mc(100, 0, 4, 1, 2, "x^2+y^2")-92/3</f>
        <v>-0.4034506870313237</v>
      </c>
      <c r="C126" cm="1">
        <f t="array" ref="C126" xml:space="preserve"> mc(500, 0, 4, 1, 2, "x^2+y^2")-92/3</f>
        <v>-0.17985053866453171</v>
      </c>
      <c r="D126" cm="1">
        <f t="array" ref="D126" xml:space="preserve"> mc(1000, 0, 4, 1, 2, "x^2+y^2")-92/3</f>
        <v>0.599403902194382</v>
      </c>
      <c r="F126" cm="1">
        <f t="array" ref="F126" xml:space="preserve"> ( mc(100, 3, 4, -1, 1, "EXP(x * sin(y))") ) - 7.39981</f>
        <v>-0.73761517284371525</v>
      </c>
      <c r="G126" cm="1">
        <f t="array" ref="G126" xml:space="preserve"> ( mc(500, 3, 4, -1, 1, "EXP(x * sin(y))") ) - 7.39981</f>
        <v>0.62789159728927046</v>
      </c>
      <c r="H126" cm="1">
        <f t="array" ref="H126" xml:space="preserve"> ( mc(1000, 3, 4, -1, 1, "EXP(x * sin(y))") ) - 7.39981</f>
        <v>0.2049746079187269</v>
      </c>
      <c r="J126" cm="1">
        <f t="array" ref="J126" xml:space="preserve"> mc(100, -PI()/2,0,-1, 1, "ln(EXP(x * y))")</f>
        <v>-2.6751522720915584E-2</v>
      </c>
      <c r="K126" cm="1">
        <f t="array" ref="K126" xml:space="preserve"> mc(500, -PI()/2,0,-1, 1, "ln(EXP(x * y))")</f>
        <v>3.2857879166036531E-2</v>
      </c>
      <c r="L126" cm="1">
        <f t="array" ref="L126" xml:space="preserve"> mc(1000, -PI()/2,0,-1, 1, "ln(EXP(x * y))")</f>
        <v>5.4535611231842626E-2</v>
      </c>
      <c r="N126" cm="1">
        <f t="array" ref="N126" xml:space="preserve"> mc(100, -PI()/2,PI()/2, 0, 1, "sin(cos(x + y))")-1.48235</f>
        <v>-5.4199296819500642E-2</v>
      </c>
      <c r="O126" cm="1">
        <f t="array" ref="O126" xml:space="preserve"> mc(500, -PI()/2,PI()/2, 0, 1, "sin(cos(x + y))")-1.48235</f>
        <v>-8.9849489412663797E-2</v>
      </c>
      <c r="P126" cm="1">
        <f t="array" ref="P126" xml:space="preserve"> mc(1000, -PI()/2,PI()/2, 0, 1, "sin(cos(x + y))")-1.48235</f>
        <v>6.8556944364412953E-3</v>
      </c>
    </row>
    <row r="127" spans="1:16" x14ac:dyDescent="0.3">
      <c r="A127">
        <v>97</v>
      </c>
      <c r="B127" cm="1">
        <f t="array" ref="B127" xml:space="preserve"> mc(100, 0, 4, 1, 2, "x^2+y^2")-92/3</f>
        <v>-1.7879549011625748</v>
      </c>
      <c r="C127" cm="1">
        <f t="array" ref="C127" xml:space="preserve"> mc(500, 0, 4, 1, 2, "x^2+y^2")-92/3</f>
        <v>0.23288320189177014</v>
      </c>
      <c r="D127" cm="1">
        <f t="array" ref="D127" xml:space="preserve"> mc(1000, 0, 4, 1, 2, "x^2+y^2")-92/3</f>
        <v>0.29063045657994024</v>
      </c>
      <c r="F127" cm="1">
        <f t="array" ref="F127" xml:space="preserve"> ( mc(100, 3, 4, -1, 1, "EXP(x * sin(y))") ) - 7.39981</f>
        <v>0.58065021016662133</v>
      </c>
      <c r="G127" cm="1">
        <f t="array" ref="G127" xml:space="preserve"> ( mc(500, 3, 4, -1, 1, "EXP(x * sin(y))") ) - 7.39981</f>
        <v>-0.30481227367811048</v>
      </c>
      <c r="H127" cm="1">
        <f t="array" ref="H127" xml:space="preserve"> ( mc(1000, 3, 4, -1, 1, "EXP(x * sin(y))") ) - 7.39981</f>
        <v>0.11071911193185624</v>
      </c>
      <c r="J127" cm="1">
        <f t="array" ref="J127" xml:space="preserve"> mc(100, -PI()/2,0,-1, 1, "ln(EXP(x * y))")</f>
        <v>-0.17861469427783888</v>
      </c>
      <c r="K127" cm="1">
        <f t="array" ref="K127" xml:space="preserve"> mc(500, -PI()/2,0,-1, 1, "ln(EXP(x * y))")</f>
        <v>-8.6411343737833018E-2</v>
      </c>
      <c r="L127" cm="1">
        <f t="array" ref="L127" xml:space="preserve"> mc(1000, -PI()/2,0,-1, 1, "ln(EXP(x * y))")</f>
        <v>8.9496612638102171E-2</v>
      </c>
      <c r="N127" cm="1">
        <f t="array" ref="N127" xml:space="preserve"> mc(100, -PI()/2,PI()/2, 0, 1, "sin(cos(x + y))")-1.48235</f>
        <v>-7.9149255020256826E-2</v>
      </c>
      <c r="O127" cm="1">
        <f t="array" ref="O127" xml:space="preserve"> mc(500, -PI()/2,PI()/2, 0, 1, "sin(cos(x + y))")-1.48235</f>
        <v>0.10302494340644452</v>
      </c>
      <c r="P127" cm="1">
        <f t="array" ref="P127" xml:space="preserve"> mc(1000, -PI()/2,PI()/2, 0, 1, "sin(cos(x + y))")-1.48235</f>
        <v>6.3731451837008013E-3</v>
      </c>
    </row>
    <row r="128" spans="1:16" x14ac:dyDescent="0.3">
      <c r="A128">
        <v>98</v>
      </c>
      <c r="B128" cm="1">
        <f t="array" ref="B128" xml:space="preserve"> mc(100, 0, 4, 1, 2, "x^2+y^2")-92/3</f>
        <v>-3.1197185243046164</v>
      </c>
      <c r="C128" cm="1">
        <f t="array" ref="C128" xml:space="preserve"> mc(500, 0, 4, 1, 2, "x^2+y^2")-92/3</f>
        <v>-1.3616767186119922</v>
      </c>
      <c r="D128" cm="1">
        <f t="array" ref="D128" xml:space="preserve"> mc(1000, 0, 4, 1, 2, "x^2+y^2")-92/3</f>
        <v>0.84734322699613429</v>
      </c>
      <c r="F128" cm="1">
        <f t="array" ref="F128" xml:space="preserve"> ( mc(100, 3, 4, -1, 1, "EXP(x * sin(y))") ) - 7.39981</f>
        <v>-1.8478207175995109</v>
      </c>
      <c r="G128" cm="1">
        <f t="array" ref="G128" xml:space="preserve"> ( mc(500, 3, 4, -1, 1, "EXP(x * sin(y))") ) - 7.39981</f>
        <v>-0.48264799870447384</v>
      </c>
      <c r="H128" cm="1">
        <f t="array" ref="H128" xml:space="preserve"> ( mc(1000, 3, 4, -1, 1, "EXP(x * sin(y))") ) - 7.39981</f>
        <v>-0.44174414413180685</v>
      </c>
      <c r="J128" cm="1">
        <f t="array" ref="J128" xml:space="preserve"> mc(100, -PI()/2,0,-1, 1, "ln(EXP(x * y))")</f>
        <v>-4.6397029714808817E-3</v>
      </c>
      <c r="K128" cm="1">
        <f t="array" ref="K128" xml:space="preserve"> mc(500, -PI()/2,0,-1, 1, "ln(EXP(x * y))")</f>
        <v>-2.0764564363398703E-2</v>
      </c>
      <c r="L128" cm="1">
        <f t="array" ref="L128" xml:space="preserve"> mc(1000, -PI()/2,0,-1, 1, "ln(EXP(x * y))")</f>
        <v>-3.2035960199936528E-2</v>
      </c>
      <c r="N128" cm="1">
        <f t="array" ref="N128" xml:space="preserve"> mc(100, -PI()/2,PI()/2, 0, 1, "sin(cos(x + y))")-1.48235</f>
        <v>7.978870915946823E-2</v>
      </c>
      <c r="O128" cm="1">
        <f t="array" ref="O128" xml:space="preserve"> mc(500, -PI()/2,PI()/2, 0, 1, "sin(cos(x + y))")-1.48235</f>
        <v>-6.4731826725408004E-2</v>
      </c>
      <c r="P128" cm="1">
        <f t="array" ref="P128" xml:space="preserve"> mc(1000, -PI()/2,PI()/2, 0, 1, "sin(cos(x + y))")-1.48235</f>
        <v>-7.3387022439015404E-3</v>
      </c>
    </row>
    <row r="129" spans="1:16" x14ac:dyDescent="0.3">
      <c r="A129">
        <v>99</v>
      </c>
      <c r="B129" cm="1">
        <f t="array" ref="B129" xml:space="preserve"> mc(100, 0, 4, 1, 2, "x^2+y^2")-92/3</f>
        <v>2.3464251010577932</v>
      </c>
      <c r="C129" cm="1">
        <f t="array" ref="C129" xml:space="preserve"> mc(500, 0, 4, 1, 2, "x^2+y^2")-92/3</f>
        <v>-1.0435256185122057</v>
      </c>
      <c r="D129" cm="1">
        <f t="array" ref="D129" xml:space="preserve"> mc(1000, 0, 4, 1, 2, "x^2+y^2")-92/3</f>
        <v>0.45709263069257489</v>
      </c>
      <c r="F129" cm="1">
        <f t="array" ref="F129" xml:space="preserve"> ( mc(100, 3, 4, -1, 1, "EXP(x * sin(y))") ) - 7.39981</f>
        <v>-1.6042823790186418</v>
      </c>
      <c r="G129" cm="1">
        <f t="array" ref="G129" xml:space="preserve"> ( mc(500, 3, 4, -1, 1, "EXP(x * sin(y))") ) - 7.39981</f>
        <v>0.39443963727562448</v>
      </c>
      <c r="H129" cm="1">
        <f t="array" ref="H129" xml:space="preserve"> ( mc(1000, 3, 4, -1, 1, "EXP(x * sin(y))") ) - 7.39981</f>
        <v>0.18881143121757127</v>
      </c>
      <c r="J129" cm="1">
        <f t="array" ref="J129" xml:space="preserve"> mc(100, -PI()/2,0,-1, 1, "ln(EXP(x * y))")</f>
        <v>2.0187780912845704E-2</v>
      </c>
      <c r="K129" cm="1">
        <f t="array" ref="K129" xml:space="preserve"> mc(500, -PI()/2,0,-1, 1, "ln(EXP(x * y))")</f>
        <v>1.3147595083087625E-2</v>
      </c>
      <c r="L129" cm="1">
        <f t="array" ref="L129" xml:space="preserve"> mc(1000, -PI()/2,0,-1, 1, "ln(EXP(x * y))")</f>
        <v>-4.8442615412994876E-2</v>
      </c>
      <c r="N129" cm="1">
        <f t="array" ref="N129" xml:space="preserve"> mc(100, -PI()/2,PI()/2, 0, 1, "sin(cos(x + y))")-1.48235</f>
        <v>9.6897674313217053E-2</v>
      </c>
      <c r="O129" cm="1">
        <f t="array" ref="O129" xml:space="preserve"> mc(500, -PI()/2,PI()/2, 0, 1, "sin(cos(x + y))")-1.48235</f>
        <v>-9.5749220587761696E-2</v>
      </c>
      <c r="P129" cm="1">
        <f t="array" ref="P129" xml:space="preserve"> mc(1000, -PI()/2,PI()/2, 0, 1, "sin(cos(x + y))")-1.48235</f>
        <v>-8.9755881438950968E-3</v>
      </c>
    </row>
    <row r="130" spans="1:16" x14ac:dyDescent="0.3">
      <c r="A130">
        <v>100</v>
      </c>
      <c r="B130" cm="1">
        <f t="array" ref="B130" xml:space="preserve"> mc(100, 0, 4, 1, 2, "x^2+y^2")-92/3</f>
        <v>-1.0356906157746586</v>
      </c>
      <c r="C130" cm="1">
        <f t="array" ref="C130" xml:space="preserve"> mc(500, 0, 4, 1, 2, "x^2+y^2")-92/3</f>
        <v>-7.9455783731603447E-2</v>
      </c>
      <c r="D130" cm="1">
        <f t="array" ref="D130" xml:space="preserve"> mc(1000, 0, 4, 1, 2, "x^2+y^2")-92/3</f>
        <v>0.71413479844922989</v>
      </c>
      <c r="F130" cm="1">
        <f t="array" ref="F130" xml:space="preserve"> ( mc(100, 3, 4, -1, 1, "EXP(x * sin(y))") ) - 7.39981</f>
        <v>-0.49946914549710097</v>
      </c>
      <c r="G130" cm="1">
        <f t="array" ref="G130" xml:space="preserve"> ( mc(500, 3, 4, -1, 1, "EXP(x * sin(y))") ) - 7.39981</f>
        <v>0.15463629148084834</v>
      </c>
      <c r="H130" cm="1">
        <f t="array" ref="H130" xml:space="preserve"> ( mc(1000, 3, 4, -1, 1, "EXP(x * sin(y))") ) - 7.39981</f>
        <v>-0.33652812290213507</v>
      </c>
      <c r="J130" cm="1">
        <f t="array" ref="J130" xml:space="preserve"> mc(100, -PI()/2,0,-1, 1, "ln(EXP(x * y))")</f>
        <v>-0.22571346035508719</v>
      </c>
      <c r="K130" cm="1">
        <f t="array" ref="K130" xml:space="preserve"> mc(500, -PI()/2,0,-1, 1, "ln(EXP(x * y))")</f>
        <v>-3.6247953150623853E-2</v>
      </c>
      <c r="L130" cm="1">
        <f t="array" ref="L130" xml:space="preserve"> mc(1000, -PI()/2,0,-1, 1, "ln(EXP(x * y))")</f>
        <v>-2.8136598474045793E-3</v>
      </c>
      <c r="N130" cm="1">
        <f t="array" ref="N130" xml:space="preserve"> mc(100, -PI()/2,PI()/2, 0, 1, "sin(cos(x + y))")-1.48235</f>
        <v>-8.7239481933453211E-2</v>
      </c>
      <c r="O130" cm="1">
        <f t="array" ref="O130" xml:space="preserve"> mc(500, -PI()/2,PI()/2, 0, 1, "sin(cos(x + y))")-1.48235</f>
        <v>2.028870670338101E-2</v>
      </c>
      <c r="P130" cm="1">
        <f t="array" ref="P130" xml:space="preserve"> mc(1000, -PI()/2,PI()/2, 0, 1, "sin(cos(x + y))")-1.48235</f>
        <v>6.7079786111894357E-3</v>
      </c>
    </row>
    <row r="131" spans="1:16" x14ac:dyDescent="0.3">
      <c r="A131">
        <v>101</v>
      </c>
      <c r="B131" cm="1">
        <f t="array" ref="B131" xml:space="preserve"> mc(100, 0, 4, 1, 2, "x^2+y^2")-92/3</f>
        <v>1.327616859769325</v>
      </c>
      <c r="C131" cm="1">
        <f t="array" ref="C131" xml:space="preserve"> mc(500, 0, 4, 1, 2, "x^2+y^2")-92/3</f>
        <v>0.27792057835997497</v>
      </c>
      <c r="D131" cm="1">
        <f t="array" ref="D131" xml:space="preserve"> mc(1000, 0, 4, 1, 2, "x^2+y^2")-92/3</f>
        <v>-5.8179340500704058E-2</v>
      </c>
      <c r="F131" cm="1">
        <f t="array" ref="F131" xml:space="preserve"> ( mc(100, 3, 4, -1, 1, "EXP(x * sin(y))") ) - 7.39981</f>
        <v>0.2621254481274633</v>
      </c>
      <c r="G131" cm="1">
        <f t="array" ref="G131" xml:space="preserve"> ( mc(500, 3, 4, -1, 1, "EXP(x * sin(y))") ) - 7.39981</f>
        <v>0.80931888212570335</v>
      </c>
      <c r="H131" cm="1">
        <f t="array" ref="H131" xml:space="preserve"> ( mc(1000, 3, 4, -1, 1, "EXP(x * sin(y))") ) - 7.39981</f>
        <v>-0.20558995301112581</v>
      </c>
      <c r="J131" cm="1">
        <f t="array" ref="J131" xml:space="preserve"> mc(100, -PI()/2,0,-1, 1, "ln(EXP(x * y))")</f>
        <v>-0.21115337833457182</v>
      </c>
      <c r="K131" cm="1">
        <f t="array" ref="K131" xml:space="preserve"> mc(500, -PI()/2,0,-1, 1, "ln(EXP(x * y))")</f>
        <v>4.2122809704616439E-2</v>
      </c>
      <c r="L131" cm="1">
        <f t="array" ref="L131" xml:space="preserve"> mc(1000, -PI()/2,0,-1, 1, "ln(EXP(x * y))")</f>
        <v>-2.2811201858523363E-2</v>
      </c>
      <c r="N131" cm="1">
        <f t="array" ref="N131" xml:space="preserve"> mc(100, -PI()/2,PI()/2, 0, 1, "sin(cos(x + y))")-1.48235</f>
        <v>1.5769612390676313E-2</v>
      </c>
      <c r="O131" cm="1">
        <f t="array" ref="O131" xml:space="preserve"> mc(500, -PI()/2,PI()/2, 0, 1, "sin(cos(x + y))")-1.48235</f>
        <v>-1.8305824987688402E-2</v>
      </c>
      <c r="P131" cm="1">
        <f t="array" ref="P131" xml:space="preserve"> mc(1000, -PI()/2,PI()/2, 0, 1, "sin(cos(x + y))")-1.48235</f>
        <v>-4.4167602978553822E-2</v>
      </c>
    </row>
    <row r="132" spans="1:16" x14ac:dyDescent="0.3">
      <c r="A132">
        <v>102</v>
      </c>
      <c r="B132" cm="1">
        <f t="array" ref="B132" xml:space="preserve"> mc(100, 0, 4, 1, 2, "x^2+y^2")-92/3</f>
        <v>0.37566468850434731</v>
      </c>
      <c r="C132" cm="1">
        <f t="array" ref="C132" xml:space="preserve"> mc(500, 0, 4, 1, 2, "x^2+y^2")-92/3</f>
        <v>-0.75076646426849436</v>
      </c>
      <c r="D132" cm="1">
        <f t="array" ref="D132" xml:space="preserve"> mc(1000, 0, 4, 1, 2, "x^2+y^2")-92/3</f>
        <v>0.45764393970074124</v>
      </c>
      <c r="F132" cm="1">
        <f t="array" ref="F132" xml:space="preserve"> ( mc(100, 3, 4, -1, 1, "EXP(x * sin(y))") ) - 7.39981</f>
        <v>-2.644636956240376E-2</v>
      </c>
      <c r="G132" cm="1">
        <f t="array" ref="G132" xml:space="preserve"> ( mc(500, 3, 4, -1, 1, "EXP(x * sin(y))") ) - 7.39981</f>
        <v>-0.56617861433954975</v>
      </c>
      <c r="H132" cm="1">
        <f t="array" ref="H132" xml:space="preserve"> ( mc(1000, 3, 4, -1, 1, "EXP(x * sin(y))") ) - 7.39981</f>
        <v>0.23578233284511896</v>
      </c>
      <c r="J132" cm="1">
        <f t="array" ref="J132" xml:space="preserve"> mc(100, -PI()/2,0,-1, 1, "ln(EXP(x * y))")</f>
        <v>0.26572290176511021</v>
      </c>
      <c r="K132" cm="1">
        <f t="array" ref="K132" xml:space="preserve"> mc(500, -PI()/2,0,-1, 1, "ln(EXP(x * y))")</f>
        <v>-0.12179570277272417</v>
      </c>
      <c r="L132" cm="1">
        <f t="array" ref="L132" xml:space="preserve"> mc(1000, -PI()/2,0,-1, 1, "ln(EXP(x * y))")</f>
        <v>4.6676362753501642E-2</v>
      </c>
      <c r="N132" cm="1">
        <f t="array" ref="N132" xml:space="preserve"> mc(100, -PI()/2,PI()/2, 0, 1, "sin(cos(x + y))")-1.48235</f>
        <v>0.10752234292773699</v>
      </c>
      <c r="O132" cm="1">
        <f t="array" ref="O132" xml:space="preserve"> mc(500, -PI()/2,PI()/2, 0, 1, "sin(cos(x + y))")-1.48235</f>
        <v>-9.8314038102934598E-2</v>
      </c>
      <c r="P132" cm="1">
        <f t="array" ref="P132" xml:space="preserve"> mc(1000, -PI()/2,PI()/2, 0, 1, "sin(cos(x + y))")-1.48235</f>
        <v>8.5195451826596491E-2</v>
      </c>
    </row>
    <row r="133" spans="1:16" x14ac:dyDescent="0.3">
      <c r="A133">
        <v>103</v>
      </c>
      <c r="B133" cm="1">
        <f t="array" ref="B133" xml:space="preserve"> mc(100, 0, 4, 1, 2, "x^2+y^2")-92/3</f>
        <v>-0.96220249805771729</v>
      </c>
      <c r="C133" cm="1">
        <f t="array" ref="C133" xml:space="preserve"> mc(500, 0, 4, 1, 2, "x^2+y^2")-92/3</f>
        <v>0.59301075892400235</v>
      </c>
      <c r="D133" cm="1">
        <f t="array" ref="D133" xml:space="preserve"> mc(1000, 0, 4, 1, 2, "x^2+y^2")-92/3</f>
        <v>1.5936472454672668E-2</v>
      </c>
      <c r="F133" cm="1">
        <f t="array" ref="F133" xml:space="preserve"> ( mc(100, 3, 4, -1, 1, "EXP(x * sin(y))") ) - 7.39981</f>
        <v>-1.4775584337994934</v>
      </c>
      <c r="G133" cm="1">
        <f t="array" ref="G133" xml:space="preserve"> ( mc(500, 3, 4, -1, 1, "EXP(x * sin(y))") ) - 7.39981</f>
        <v>0.19312989382851153</v>
      </c>
      <c r="H133" cm="1">
        <f t="array" ref="H133" xml:space="preserve"> ( mc(1000, 3, 4, -1, 1, "EXP(x * sin(y))") ) - 7.39981</f>
        <v>0.27363190336584875</v>
      </c>
      <c r="J133" cm="1">
        <f t="array" ref="J133" xml:space="preserve"> mc(100, -PI()/2,0,-1, 1, "ln(EXP(x * y))")</f>
        <v>-8.8817142224025591E-2</v>
      </c>
      <c r="K133" cm="1">
        <f t="array" ref="K133" xml:space="preserve"> mc(500, -PI()/2,0,-1, 1, "ln(EXP(x * y))")</f>
        <v>-1.0784719514831618E-2</v>
      </c>
      <c r="L133" cm="1">
        <f t="array" ref="L133" xml:space="preserve"> mc(1000, -PI()/2,0,-1, 1, "ln(EXP(x * y))")</f>
        <v>-3.879527886592718E-2</v>
      </c>
      <c r="N133" cm="1">
        <f t="array" ref="N133" xml:space="preserve"> mc(100, -PI()/2,PI()/2, 0, 1, "sin(cos(x + y))")-1.48235</f>
        <v>0.14889544775453412</v>
      </c>
      <c r="O133" cm="1">
        <f t="array" ref="O133" xml:space="preserve"> mc(500, -PI()/2,PI()/2, 0, 1, "sin(cos(x + y))")-1.48235</f>
        <v>-3.7481408333815747E-2</v>
      </c>
      <c r="P133" cm="1">
        <f t="array" ref="P133" xml:space="preserve"> mc(1000, -PI()/2,PI()/2, 0, 1, "sin(cos(x + y))")-1.48235</f>
        <v>-3.37610827742858E-2</v>
      </c>
    </row>
    <row r="134" spans="1:16" x14ac:dyDescent="0.3">
      <c r="A134">
        <v>104</v>
      </c>
      <c r="B134" cm="1">
        <f t="array" ref="B134" xml:space="preserve"> mc(100, 0, 4, 1, 2, "x^2+y^2")-92/3</f>
        <v>1.2150332493644065</v>
      </c>
      <c r="C134" cm="1">
        <f t="array" ref="C134" xml:space="preserve"> mc(500, 0, 4, 1, 2, "x^2+y^2")-92/3</f>
        <v>1.1402566296546688</v>
      </c>
      <c r="D134" cm="1">
        <f t="array" ref="D134" xml:space="preserve"> mc(1000, 0, 4, 1, 2, "x^2+y^2")-92/3</f>
        <v>0.27230981495553408</v>
      </c>
      <c r="F134" cm="1">
        <f t="array" ref="F134" xml:space="preserve"> ( mc(100, 3, 4, -1, 1, "EXP(x * sin(y))") ) - 7.39981</f>
        <v>0.36719636678209877</v>
      </c>
      <c r="G134" cm="1">
        <f t="array" ref="G134" xml:space="preserve"> ( mc(500, 3, 4, -1, 1, "EXP(x * sin(y))") ) - 7.39981</f>
        <v>0.70814121809799779</v>
      </c>
      <c r="H134" cm="1">
        <f t="array" ref="H134" xml:space="preserve"> ( mc(1000, 3, 4, -1, 1, "EXP(x * sin(y))") ) - 7.39981</f>
        <v>0.50247428751283429</v>
      </c>
      <c r="J134" cm="1">
        <f t="array" ref="J134" xml:space="preserve"> mc(100, -PI()/2,0,-1, 1, "ln(EXP(x * y))")</f>
        <v>0.14762276597495499</v>
      </c>
      <c r="K134" cm="1">
        <f t="array" ref="K134" xml:space="preserve"> mc(500, -PI()/2,0,-1, 1, "ln(EXP(x * y))")</f>
        <v>-4.0984860813897794E-2</v>
      </c>
      <c r="L134" cm="1">
        <f t="array" ref="L134" xml:space="preserve"> mc(1000, -PI()/2,0,-1, 1, "ln(EXP(x * y))")</f>
        <v>1.4189933545303023E-2</v>
      </c>
      <c r="N134" cm="1">
        <f t="array" ref="N134" xml:space="preserve"> mc(100, -PI()/2,PI()/2, 0, 1, "sin(cos(x + y))")-1.48235</f>
        <v>-9.8482824082375631E-2</v>
      </c>
      <c r="O134" cm="1">
        <f t="array" ref="O134" xml:space="preserve"> mc(500, -PI()/2,PI()/2, 0, 1, "sin(cos(x + y))")-1.48235</f>
        <v>-6.6681882152753946E-2</v>
      </c>
      <c r="P134" cm="1">
        <f t="array" ref="P134" xml:space="preserve"> mc(1000, -PI()/2,PI()/2, 0, 1, "sin(cos(x + y))")-1.48235</f>
        <v>3.9159762301239631E-3</v>
      </c>
    </row>
    <row r="135" spans="1:16" x14ac:dyDescent="0.3">
      <c r="A135">
        <v>105</v>
      </c>
      <c r="B135" cm="1">
        <f t="array" ref="B135" xml:space="preserve"> mc(100, 0, 4, 1, 2, "x^2+y^2")-92/3</f>
        <v>0.5903271572534976</v>
      </c>
      <c r="C135" cm="1">
        <f t="array" ref="C135" xml:space="preserve"> mc(500, 0, 4, 1, 2, "x^2+y^2")-92/3</f>
        <v>-0.46233540795373784</v>
      </c>
      <c r="D135" cm="1">
        <f t="array" ref="D135" xml:space="preserve"> mc(1000, 0, 4, 1, 2, "x^2+y^2")-92/3</f>
        <v>-1.8792011137865217E-2</v>
      </c>
      <c r="F135" cm="1">
        <f t="array" ref="F135" xml:space="preserve"> ( mc(100, 3, 4, -1, 1, "EXP(x * sin(y))") ) - 7.39981</f>
        <v>-1.878477418306141</v>
      </c>
      <c r="G135" cm="1">
        <f t="array" ref="G135" xml:space="preserve"> ( mc(500, 3, 4, -1, 1, "EXP(x * sin(y))") ) - 7.39981</f>
        <v>-0.65448418726166224</v>
      </c>
      <c r="H135" cm="1">
        <f t="array" ref="H135" xml:space="preserve"> ( mc(1000, 3, 4, -1, 1, "EXP(x * sin(y))") ) - 7.39981</f>
        <v>0.21463839489262071</v>
      </c>
      <c r="J135" cm="1">
        <f t="array" ref="J135" xml:space="preserve"> mc(100, -PI()/2,0,-1, 1, "ln(EXP(x * y))")</f>
        <v>4.9521473386553029E-2</v>
      </c>
      <c r="K135" cm="1">
        <f t="array" ref="K135" xml:space="preserve"> mc(500, -PI()/2,0,-1, 1, "ln(EXP(x * y))")</f>
        <v>4.7031425710583774E-2</v>
      </c>
      <c r="L135" cm="1">
        <f t="array" ref="L135" xml:space="preserve"> mc(1000, -PI()/2,0,-1, 1, "ln(EXP(x * y))")</f>
        <v>1.4234404397876045E-2</v>
      </c>
      <c r="N135" cm="1">
        <f t="array" ref="N135" xml:space="preserve"> mc(100, -PI()/2,PI()/2, 0, 1, "sin(cos(x + y))")-1.48235</f>
        <v>-0.21248245746079863</v>
      </c>
      <c r="O135" cm="1">
        <f t="array" ref="O135" xml:space="preserve"> mc(500, -PI()/2,PI()/2, 0, 1, "sin(cos(x + y))")-1.48235</f>
        <v>-4.3680815586206068E-2</v>
      </c>
      <c r="P135" cm="1">
        <f t="array" ref="P135" xml:space="preserve"> mc(1000, -PI()/2,PI()/2, 0, 1, "sin(cos(x + y))")-1.48235</f>
        <v>-2.7239249980830937E-2</v>
      </c>
    </row>
    <row r="136" spans="1:16" x14ac:dyDescent="0.3">
      <c r="A136">
        <v>106</v>
      </c>
      <c r="B136" cm="1">
        <f t="array" ref="B136" xml:space="preserve"> mc(100, 0, 4, 1, 2, "x^2+y^2")-92/3</f>
        <v>7.0248281859441875E-2</v>
      </c>
      <c r="C136" cm="1">
        <f t="array" ref="C136" xml:space="preserve"> mc(500, 0, 4, 1, 2, "x^2+y^2")-92/3</f>
        <v>0.35507807339878639</v>
      </c>
      <c r="D136" cm="1">
        <f t="array" ref="D136" xml:space="preserve"> mc(1000, 0, 4, 1, 2, "x^2+y^2")-92/3</f>
        <v>-1.1823474089849277</v>
      </c>
      <c r="F136" cm="1">
        <f t="array" ref="F136" xml:space="preserve"> ( mc(100, 3, 4, -1, 1, "EXP(x * sin(y))") ) - 7.39981</f>
        <v>0.31605982879665984</v>
      </c>
      <c r="G136" cm="1">
        <f t="array" ref="G136" xml:space="preserve"> ( mc(500, 3, 4, -1, 1, "EXP(x * sin(y))") ) - 7.39981</f>
        <v>0.49184705057197764</v>
      </c>
      <c r="H136" cm="1">
        <f t="array" ref="H136" xml:space="preserve"> ( mc(1000, 3, 4, -1, 1, "EXP(x * sin(y))") ) - 7.39981</f>
        <v>-0.26811174615389888</v>
      </c>
      <c r="J136" cm="1">
        <f t="array" ref="J136" xml:space="preserve"> mc(100, -PI()/2,0,-1, 1, "ln(EXP(x * y))")</f>
        <v>-6.4723269876428513E-2</v>
      </c>
      <c r="K136" cm="1">
        <f t="array" ref="K136" xml:space="preserve"> mc(500, -PI()/2,0,-1, 1, "ln(EXP(x * y))")</f>
        <v>-5.6560644682127764E-2</v>
      </c>
      <c r="L136" cm="1">
        <f t="array" ref="L136" xml:space="preserve"> mc(1000, -PI()/2,0,-1, 1, "ln(EXP(x * y))")</f>
        <v>-4.4514173405810695E-2</v>
      </c>
      <c r="N136" cm="1">
        <f t="array" ref="N136" xml:space="preserve"> mc(100, -PI()/2,PI()/2, 0, 1, "sin(cos(x + y))")-1.48235</f>
        <v>8.6330732151190803E-2</v>
      </c>
      <c r="O136" cm="1">
        <f t="array" ref="O136" xml:space="preserve"> mc(500, -PI()/2,PI()/2, 0, 1, "sin(cos(x + y))")-1.48235</f>
        <v>-1.9553535665804089E-2</v>
      </c>
      <c r="P136" cm="1">
        <f t="array" ref="P136" xml:space="preserve"> mc(1000, -PI()/2,PI()/2, 0, 1, "sin(cos(x + y))")-1.48235</f>
        <v>-1.6740453129048927E-2</v>
      </c>
    </row>
    <row r="137" spans="1:16" x14ac:dyDescent="0.3">
      <c r="A137">
        <v>107</v>
      </c>
      <c r="B137" cm="1">
        <f t="array" ref="B137" xml:space="preserve"> mc(100, 0, 4, 1, 2, "x^2+y^2")-92/3</f>
        <v>-0.41126397625167854</v>
      </c>
      <c r="C137" cm="1">
        <f t="array" ref="C137" xml:space="preserve"> mc(500, 0, 4, 1, 2, "x^2+y^2")-92/3</f>
        <v>6.8436806440885789E-3</v>
      </c>
      <c r="D137" cm="1">
        <f t="array" ref="D137" xml:space="preserve"> mc(1000, 0, 4, 1, 2, "x^2+y^2")-92/3</f>
        <v>0.47684071506100167</v>
      </c>
      <c r="F137" cm="1">
        <f t="array" ref="F137" xml:space="preserve"> ( mc(100, 3, 4, -1, 1, "EXP(x * sin(y))") ) - 7.39981</f>
        <v>0.16703841413831899</v>
      </c>
      <c r="G137" cm="1">
        <f t="array" ref="G137" xml:space="preserve"> ( mc(500, 3, 4, -1, 1, "EXP(x * sin(y))") ) - 7.39981</f>
        <v>0.23514480254028669</v>
      </c>
      <c r="H137" cm="1">
        <f t="array" ref="H137" xml:space="preserve"> ( mc(1000, 3, 4, -1, 1, "EXP(x * sin(y))") ) - 7.39981</f>
        <v>-0.16154721587860088</v>
      </c>
      <c r="J137" cm="1">
        <f t="array" ref="J137" xml:space="preserve"> mc(100, -PI()/2,0,-1, 1, "ln(EXP(x * y))")</f>
        <v>0.20876722340443624</v>
      </c>
      <c r="K137" cm="1">
        <f t="array" ref="K137" xml:space="preserve"> mc(500, -PI()/2,0,-1, 1, "ln(EXP(x * y))")</f>
        <v>-3.2911141078646615E-2</v>
      </c>
      <c r="L137" cm="1">
        <f t="array" ref="L137" xml:space="preserve"> mc(1000, -PI()/2,0,-1, 1, "ln(EXP(x * y))")</f>
        <v>-4.0742693370542952E-3</v>
      </c>
      <c r="N137" cm="1">
        <f t="array" ref="N137" xml:space="preserve"> mc(100, -PI()/2,PI()/2, 0, 1, "sin(cos(x + y))")-1.48235</f>
        <v>6.5315776142175874E-2</v>
      </c>
      <c r="O137" cm="1">
        <f t="array" ref="O137" xml:space="preserve"> mc(500, -PI()/2,PI()/2, 0, 1, "sin(cos(x + y))")-1.48235</f>
        <v>1.9712166141558463E-2</v>
      </c>
      <c r="P137" cm="1">
        <f t="array" ref="P137" xml:space="preserve"> mc(1000, -PI()/2,PI()/2, 0, 1, "sin(cos(x + y))")-1.48235</f>
        <v>1.6004422464141577E-2</v>
      </c>
    </row>
    <row r="138" spans="1:16" x14ac:dyDescent="0.3">
      <c r="A138">
        <v>108</v>
      </c>
      <c r="B138" cm="1">
        <f t="array" ref="B138" xml:space="preserve"> mc(100, 0, 4, 1, 2, "x^2+y^2")-92/3</f>
        <v>-2.0653205422626932</v>
      </c>
      <c r="C138" cm="1">
        <f t="array" ref="C138" xml:space="preserve"> mc(500, 0, 4, 1, 2, "x^2+y^2")-92/3</f>
        <v>-1.2899617306629985</v>
      </c>
      <c r="D138" cm="1">
        <f t="array" ref="D138" xml:space="preserve"> mc(1000, 0, 4, 1, 2, "x^2+y^2")-92/3</f>
        <v>-0.53067835921931916</v>
      </c>
      <c r="F138" cm="1">
        <f t="array" ref="F138" xml:space="preserve"> ( mc(100, 3, 4, -1, 1, "EXP(x * sin(y))") ) - 7.39981</f>
        <v>0.51437504995014649</v>
      </c>
      <c r="G138" cm="1">
        <f t="array" ref="G138" xml:space="preserve"> ( mc(500, 3, 4, -1, 1, "EXP(x * sin(y))") ) - 7.39981</f>
        <v>-0.50372795880355969</v>
      </c>
      <c r="H138" cm="1">
        <f t="array" ref="H138" xml:space="preserve"> ( mc(1000, 3, 4, -1, 1, "EXP(x * sin(y))") ) - 7.39981</f>
        <v>0.30195095482257095</v>
      </c>
      <c r="J138" cm="1">
        <f t="array" ref="J138" xml:space="preserve"> mc(100, -PI()/2,0,-1, 1, "ln(EXP(x * y))")</f>
        <v>-0.11570583981782401</v>
      </c>
      <c r="K138" cm="1">
        <f t="array" ref="K138" xml:space="preserve"> mc(500, -PI()/2,0,-1, 1, "ln(EXP(x * y))")</f>
        <v>0.18856315986680328</v>
      </c>
      <c r="L138" cm="1">
        <f t="array" ref="L138" xml:space="preserve"> mc(1000, -PI()/2,0,-1, 1, "ln(EXP(x * y))")</f>
        <v>-6.8623151191999798E-2</v>
      </c>
      <c r="N138" cm="1">
        <f t="array" ref="N138" xml:space="preserve"> mc(100, -PI()/2,PI()/2, 0, 1, "sin(cos(x + y))")-1.48235</f>
        <v>-0.19208307010001691</v>
      </c>
      <c r="O138" cm="1">
        <f t="array" ref="O138" xml:space="preserve"> mc(500, -PI()/2,PI()/2, 0, 1, "sin(cos(x + y))")-1.48235</f>
        <v>1.1711563441366923E-2</v>
      </c>
      <c r="P138" cm="1">
        <f t="array" ref="P138" xml:space="preserve"> mc(1000, -PI()/2,PI()/2, 0, 1, "sin(cos(x + y))")-1.48235</f>
        <v>-3.2298883362392061E-2</v>
      </c>
    </row>
    <row r="139" spans="1:16" x14ac:dyDescent="0.3">
      <c r="A139">
        <v>109</v>
      </c>
      <c r="B139" cm="1">
        <f t="array" ref="B139" xml:space="preserve"> mc(100, 0, 4, 1, 2, "x^2+y^2")-92/3</f>
        <v>-1.3824854621232028</v>
      </c>
      <c r="C139" cm="1">
        <f t="array" ref="C139" xml:space="preserve"> mc(500, 0, 4, 1, 2, "x^2+y^2")-92/3</f>
        <v>0.57729485670873615</v>
      </c>
      <c r="D139" cm="1">
        <f t="array" ref="D139" xml:space="preserve"> mc(1000, 0, 4, 1, 2, "x^2+y^2")-92/3</f>
        <v>-0.48133001303198242</v>
      </c>
      <c r="F139" cm="1">
        <f t="array" ref="F139" xml:space="preserve"> ( mc(100, 3, 4, -1, 1, "EXP(x * sin(y))") ) - 7.39981</f>
        <v>-0.98894801649401476</v>
      </c>
      <c r="G139" cm="1">
        <f t="array" ref="G139" xml:space="preserve"> ( mc(500, 3, 4, -1, 1, "EXP(x * sin(y))") ) - 7.39981</f>
        <v>0.60733656402616099</v>
      </c>
      <c r="H139" cm="1">
        <f t="array" ref="H139" xml:space="preserve"> ( mc(1000, 3, 4, -1, 1, "EXP(x * sin(y))") ) - 7.39981</f>
        <v>-0.40761122251342652</v>
      </c>
      <c r="J139" cm="1">
        <f t="array" ref="J139" xml:space="preserve"> mc(100, -PI()/2,0,-1, 1, "ln(EXP(x * y))")</f>
        <v>0.29041000948459861</v>
      </c>
      <c r="K139" cm="1">
        <f t="array" ref="K139" xml:space="preserve"> mc(500, -PI()/2,0,-1, 1, "ln(EXP(x * y))")</f>
        <v>6.1371359691213934E-2</v>
      </c>
      <c r="L139" cm="1">
        <f t="array" ref="L139" xml:space="preserve"> mc(1000, -PI()/2,0,-1, 1, "ln(EXP(x * y))")</f>
        <v>1.1864886559962488E-2</v>
      </c>
      <c r="N139" cm="1">
        <f t="array" ref="N139" xml:space="preserve"> mc(100, -PI()/2,PI()/2, 0, 1, "sin(cos(x + y))")-1.48235</f>
        <v>5.8856024440365751E-3</v>
      </c>
      <c r="O139" cm="1">
        <f t="array" ref="O139" xml:space="preserve"> mc(500, -PI()/2,PI()/2, 0, 1, "sin(cos(x + y))")-1.48235</f>
        <v>-3.9158472237410535E-2</v>
      </c>
      <c r="P139" cm="1">
        <f t="array" ref="P139" xml:space="preserve"> mc(1000, -PI()/2,PI()/2, 0, 1, "sin(cos(x + y))")-1.48235</f>
        <v>-1.7410008999315885E-2</v>
      </c>
    </row>
    <row r="140" spans="1:16" x14ac:dyDescent="0.3">
      <c r="A140">
        <v>110</v>
      </c>
      <c r="B140" cm="1">
        <f t="array" ref="B140" xml:space="preserve"> mc(100, 0, 4, 1, 2, "x^2+y^2")-92/3</f>
        <v>2.28907695435554</v>
      </c>
      <c r="C140" cm="1">
        <f t="array" ref="C140" xml:space="preserve"> mc(500, 0, 4, 1, 2, "x^2+y^2")-92/3</f>
        <v>-0.33775823660437965</v>
      </c>
      <c r="D140" cm="1">
        <f t="array" ref="D140" xml:space="preserve"> mc(1000, 0, 4, 1, 2, "x^2+y^2")-92/3</f>
        <v>0.24496878730922234</v>
      </c>
      <c r="F140" cm="1">
        <f t="array" ref="F140" xml:space="preserve"> ( mc(100, 3, 4, -1, 1, "EXP(x * sin(y))") ) - 7.39981</f>
        <v>-1.2343758587159508</v>
      </c>
      <c r="G140" cm="1">
        <f t="array" ref="G140" xml:space="preserve"> ( mc(500, 3, 4, -1, 1, "EXP(x * sin(y))") ) - 7.39981</f>
        <v>0.78072773097945714</v>
      </c>
      <c r="H140" cm="1">
        <f t="array" ref="H140" xml:space="preserve"> ( mc(1000, 3, 4, -1, 1, "EXP(x * sin(y))") ) - 7.39981</f>
        <v>0.11802713300106316</v>
      </c>
      <c r="J140" cm="1">
        <f t="array" ref="J140" xml:space="preserve"> mc(100, -PI()/2,0,-1, 1, "ln(EXP(x * y))")</f>
        <v>0.16469322526611835</v>
      </c>
      <c r="K140" cm="1">
        <f t="array" ref="K140" xml:space="preserve"> mc(500, -PI()/2,0,-1, 1, "ln(EXP(x * y))")</f>
        <v>-1.4740806094798472E-2</v>
      </c>
      <c r="L140" cm="1">
        <f t="array" ref="L140" xml:space="preserve"> mc(1000, -PI()/2,0,-1, 1, "ln(EXP(x * y))")</f>
        <v>-3.3273990872418849E-2</v>
      </c>
      <c r="N140" cm="1">
        <f t="array" ref="N140" xml:space="preserve"> mc(100, -PI()/2,PI()/2, 0, 1, "sin(cos(x + y))")-1.48235</f>
        <v>6.8720665745130693E-2</v>
      </c>
      <c r="O140" cm="1">
        <f t="array" ref="O140" xml:space="preserve"> mc(500, -PI()/2,PI()/2, 0, 1, "sin(cos(x + y))")-1.48235</f>
        <v>6.9849431913189486E-2</v>
      </c>
      <c r="P140" cm="1">
        <f t="array" ref="P140" xml:space="preserve"> mc(1000, -PI()/2,PI()/2, 0, 1, "sin(cos(x + y))")-1.48235</f>
        <v>9.0854540489968549E-3</v>
      </c>
    </row>
    <row r="141" spans="1:16" x14ac:dyDescent="0.3">
      <c r="A141">
        <v>111</v>
      </c>
      <c r="B141" cm="1">
        <f t="array" ref="B141" xml:space="preserve"> mc(100, 0, 4, 1, 2, "x^2+y^2")-92/3</f>
        <v>2.298011610239822</v>
      </c>
      <c r="C141" cm="1">
        <f t="array" ref="C141" xml:space="preserve"> mc(500, 0, 4, 1, 2, "x^2+y^2")-92/3</f>
        <v>1.2535566576077031</v>
      </c>
      <c r="D141" cm="1">
        <f t="array" ref="D141" xml:space="preserve"> mc(1000, 0, 4, 1, 2, "x^2+y^2")-92/3</f>
        <v>-0.27153468459419017</v>
      </c>
      <c r="F141" cm="1">
        <f t="array" ref="F141" xml:space="preserve"> ( mc(100, 3, 4, -1, 1, "EXP(x * sin(y))") ) - 7.39981</f>
        <v>-0.55092434154414871</v>
      </c>
      <c r="G141" cm="1">
        <f t="array" ref="G141" xml:space="preserve"> ( mc(500, 3, 4, -1, 1, "EXP(x * sin(y))") ) - 7.39981</f>
        <v>0.55717063570815206</v>
      </c>
      <c r="H141" cm="1">
        <f t="array" ref="H141" xml:space="preserve"> ( mc(1000, 3, 4, -1, 1, "EXP(x * sin(y))") ) - 7.39981</f>
        <v>-2.334260815956668E-2</v>
      </c>
      <c r="J141" cm="1">
        <f t="array" ref="J141" xml:space="preserve"> mc(100, -PI()/2,0,-1, 1, "ln(EXP(x * y))")</f>
        <v>0.1059758620070784</v>
      </c>
      <c r="K141" cm="1">
        <f t="array" ref="K141" xml:space="preserve"> mc(500, -PI()/2,0,-1, 1, "ln(EXP(x * y))")</f>
        <v>3.2791004712615639E-2</v>
      </c>
      <c r="L141" cm="1">
        <f t="array" ref="L141" xml:space="preserve"> mc(1000, -PI()/2,0,-1, 1, "ln(EXP(x * y))")</f>
        <v>7.3955695896556151E-2</v>
      </c>
      <c r="N141" cm="1">
        <f t="array" ref="N141" xml:space="preserve"> mc(100, -PI()/2,PI()/2, 0, 1, "sin(cos(x + y))")-1.48235</f>
        <v>-0.21601911448949651</v>
      </c>
      <c r="O141" cm="1">
        <f t="array" ref="O141" xml:space="preserve"> mc(500, -PI()/2,PI()/2, 0, 1, "sin(cos(x + y))")-1.48235</f>
        <v>5.139074684152467E-2</v>
      </c>
      <c r="P141" cm="1">
        <f t="array" ref="P141" xml:space="preserve"> mc(1000, -PI()/2,PI()/2, 0, 1, "sin(cos(x + y))")-1.48235</f>
        <v>-4.9313117956417907E-2</v>
      </c>
    </row>
    <row r="142" spans="1:16" x14ac:dyDescent="0.3">
      <c r="A142">
        <v>112</v>
      </c>
      <c r="B142" cm="1">
        <f t="array" ref="B142" xml:space="preserve"> mc(100, 0, 4, 1, 2, "x^2+y^2")-92/3</f>
        <v>3.5602317361378049</v>
      </c>
      <c r="C142" cm="1">
        <f t="array" ref="C142" xml:space="preserve"> mc(500, 0, 4, 1, 2, "x^2+y^2")-92/3</f>
        <v>-0.33098253169307057</v>
      </c>
      <c r="D142" cm="1">
        <f t="array" ref="D142" xml:space="preserve"> mc(1000, 0, 4, 1, 2, "x^2+y^2")-92/3</f>
        <v>0.37470838446853705</v>
      </c>
      <c r="F142" cm="1">
        <f t="array" ref="F142" xml:space="preserve"> ( mc(100, 3, 4, -1, 1, "EXP(x * sin(y))") ) - 7.39981</f>
        <v>1.9714512086573937</v>
      </c>
      <c r="G142" cm="1">
        <f t="array" ref="G142" xml:space="preserve"> ( mc(500, 3, 4, -1, 1, "EXP(x * sin(y))") ) - 7.39981</f>
        <v>0.24906205450819563</v>
      </c>
      <c r="H142" cm="1">
        <f t="array" ref="H142" xml:space="preserve"> ( mc(1000, 3, 4, -1, 1, "EXP(x * sin(y))") ) - 7.39981</f>
        <v>0.38539931219672852</v>
      </c>
      <c r="J142" cm="1">
        <f t="array" ref="J142" xml:space="preserve"> mc(100, -PI()/2,0,-1, 1, "ln(EXP(x * y))")</f>
        <v>-0.13264290095157366</v>
      </c>
      <c r="K142" cm="1">
        <f t="array" ref="K142" xml:space="preserve"> mc(500, -PI()/2,0,-1, 1, "ln(EXP(x * y))")</f>
        <v>-0.12295616040337753</v>
      </c>
      <c r="L142" cm="1">
        <f t="array" ref="L142" xml:space="preserve"> mc(1000, -PI()/2,0,-1, 1, "ln(EXP(x * y))")</f>
        <v>-6.0684857399003776E-2</v>
      </c>
      <c r="N142" cm="1">
        <f t="array" ref="N142" xml:space="preserve"> mc(100, -PI()/2,PI()/2, 0, 1, "sin(cos(x + y))")-1.48235</f>
        <v>-0.29976104971551121</v>
      </c>
      <c r="O142" cm="1">
        <f t="array" ref="O142" xml:space="preserve"> mc(500, -PI()/2,PI()/2, 0, 1, "sin(cos(x + y))")-1.48235</f>
        <v>-9.8865179167299644E-2</v>
      </c>
      <c r="P142" cm="1">
        <f t="array" ref="P142" xml:space="preserve"> mc(1000, -PI()/2,PI()/2, 0, 1, "sin(cos(x + y))")-1.48235</f>
        <v>5.9775805616472555E-2</v>
      </c>
    </row>
    <row r="143" spans="1:16" x14ac:dyDescent="0.3">
      <c r="A143">
        <v>113</v>
      </c>
      <c r="B143" cm="1">
        <f t="array" ref="B143" xml:space="preserve"> mc(100, 0, 4, 1, 2, "x^2+y^2")-92/3</f>
        <v>0.96648848198190862</v>
      </c>
      <c r="C143" cm="1">
        <f t="array" ref="C143" xml:space="preserve"> mc(500, 0, 4, 1, 2, "x^2+y^2")-92/3</f>
        <v>0.24292781155217824</v>
      </c>
      <c r="D143" cm="1">
        <f t="array" ref="D143" xml:space="preserve"> mc(1000, 0, 4, 1, 2, "x^2+y^2")-92/3</f>
        <v>-0.22824995447070862</v>
      </c>
      <c r="F143" cm="1">
        <f t="array" ref="F143" xml:space="preserve"> ( mc(100, 3, 4, -1, 1, "EXP(x * sin(y))") ) - 7.39981</f>
        <v>0.21040881434086245</v>
      </c>
      <c r="G143" cm="1">
        <f t="array" ref="G143" xml:space="preserve"> ( mc(500, 3, 4, -1, 1, "EXP(x * sin(y))") ) - 7.39981</f>
        <v>0.18933527996482358</v>
      </c>
      <c r="H143" cm="1">
        <f t="array" ref="H143" xml:space="preserve"> ( mc(1000, 3, 4, -1, 1, "EXP(x * sin(y))") ) - 7.39981</f>
        <v>-0.26523989982329521</v>
      </c>
      <c r="J143" cm="1">
        <f t="array" ref="J143" xml:space="preserve"> mc(100, -PI()/2,0,-1, 1, "ln(EXP(x * y))")</f>
        <v>-0.19816508668471913</v>
      </c>
      <c r="K143" cm="1">
        <f t="array" ref="K143" xml:space="preserve"> mc(500, -PI()/2,0,-1, 1, "ln(EXP(x * y))")</f>
        <v>6.7633995403102208E-3</v>
      </c>
      <c r="L143" cm="1">
        <f t="array" ref="L143" xml:space="preserve"> mc(1000, -PI()/2,0,-1, 1, "ln(EXP(x * y))")</f>
        <v>8.3749556970414401E-3</v>
      </c>
      <c r="N143" cm="1">
        <f t="array" ref="N143" xml:space="preserve"> mc(100, -PI()/2,PI()/2, 0, 1, "sin(cos(x + y))")-1.48235</f>
        <v>-0.19463106680623166</v>
      </c>
      <c r="O143" cm="1">
        <f t="array" ref="O143" xml:space="preserve"> mc(500, -PI()/2,PI()/2, 0, 1, "sin(cos(x + y))")-1.48235</f>
        <v>-8.4819192370020335E-3</v>
      </c>
      <c r="P143" cm="1">
        <f t="array" ref="P143" xml:space="preserve"> mc(1000, -PI()/2,PI()/2, 0, 1, "sin(cos(x + y))")-1.48235</f>
        <v>-1.386981552587252E-2</v>
      </c>
    </row>
    <row r="144" spans="1:16" x14ac:dyDescent="0.3">
      <c r="A144">
        <v>114</v>
      </c>
      <c r="B144" cm="1">
        <f t="array" ref="B144" xml:space="preserve"> mc(100, 0, 4, 1, 2, "x^2+y^2")-92/3</f>
        <v>-1.5477325322879842</v>
      </c>
      <c r="C144" cm="1">
        <f t="array" ref="C144" xml:space="preserve"> mc(500, 0, 4, 1, 2, "x^2+y^2")-92/3</f>
        <v>1.3924859765919244</v>
      </c>
      <c r="D144" cm="1">
        <f t="array" ref="D144" xml:space="preserve"> mc(1000, 0, 4, 1, 2, "x^2+y^2")-92/3</f>
        <v>-0.68379970872567952</v>
      </c>
      <c r="F144" cm="1">
        <f t="array" ref="F144" xml:space="preserve"> ( mc(100, 3, 4, -1, 1, "EXP(x * sin(y))") ) - 7.39981</f>
        <v>0.45638729203490858</v>
      </c>
      <c r="G144" cm="1">
        <f t="array" ref="G144" xml:space="preserve"> ( mc(500, 3, 4, -1, 1, "EXP(x * sin(y))") ) - 7.39981</f>
        <v>0.56091488362407027</v>
      </c>
      <c r="H144" cm="1">
        <f t="array" ref="H144" xml:space="preserve"> ( mc(1000, 3, 4, -1, 1, "EXP(x * sin(y))") ) - 7.39981</f>
        <v>-0.18175438863832127</v>
      </c>
      <c r="J144" cm="1">
        <f t="array" ref="J144" xml:space="preserve"> mc(100, -PI()/2,0,-1, 1, "ln(EXP(x * y))")</f>
        <v>4.3963380261653362E-2</v>
      </c>
      <c r="K144" cm="1">
        <f t="array" ref="K144" xml:space="preserve"> mc(500, -PI()/2,0,-1, 1, "ln(EXP(x * y))")</f>
        <v>-7.4900701970355352E-2</v>
      </c>
      <c r="L144" cm="1">
        <f t="array" ref="L144" xml:space="preserve"> mc(1000, -PI()/2,0,-1, 1, "ln(EXP(x * y))")</f>
        <v>-1.4022211980996509E-2</v>
      </c>
      <c r="N144" cm="1">
        <f t="array" ref="N144" xml:space="preserve"> mc(100, -PI()/2,PI()/2, 0, 1, "sin(cos(x + y))")-1.48235</f>
        <v>-7.535673056740988E-2</v>
      </c>
      <c r="O144" cm="1">
        <f t="array" ref="O144" xml:space="preserve"> mc(500, -PI()/2,PI()/2, 0, 1, "sin(cos(x + y))")-1.48235</f>
        <v>5.0859433705145562E-2</v>
      </c>
      <c r="P144" cm="1">
        <f t="array" ref="P144" xml:space="preserve"> mc(1000, -PI()/2,PI()/2, 0, 1, "sin(cos(x + y))")-1.48235</f>
        <v>-2.3932521084168323E-2</v>
      </c>
    </row>
    <row r="145" spans="1:16" x14ac:dyDescent="0.3">
      <c r="A145">
        <v>115</v>
      </c>
      <c r="B145" cm="1">
        <f t="array" ref="B145" xml:space="preserve"> mc(100, 0, 4, 1, 2, "x^2+y^2")-92/3</f>
        <v>-1.7515425719741202</v>
      </c>
      <c r="C145" cm="1">
        <f t="array" ref="C145" xml:space="preserve"> mc(500, 0, 4, 1, 2, "x^2+y^2")-92/3</f>
        <v>-0.78850019206783628</v>
      </c>
      <c r="D145" cm="1">
        <f t="array" ref="D145" xml:space="preserve"> mc(1000, 0, 4, 1, 2, "x^2+y^2")-92/3</f>
        <v>-0.79665893899554874</v>
      </c>
      <c r="F145" cm="1">
        <f t="array" ref="F145" xml:space="preserve"> ( mc(100, 3, 4, -1, 1, "EXP(x * sin(y))") ) - 7.39981</f>
        <v>-0.43756660134831371</v>
      </c>
      <c r="G145" cm="1">
        <f t="array" ref="G145" xml:space="preserve"> ( mc(500, 3, 4, -1, 1, "EXP(x * sin(y))") ) - 7.39981</f>
        <v>-0.25240960535879786</v>
      </c>
      <c r="H145" cm="1">
        <f t="array" ref="H145" xml:space="preserve"> ( mc(1000, 3, 4, -1, 1, "EXP(x * sin(y))") ) - 7.39981</f>
        <v>5.2928355112479508E-2</v>
      </c>
      <c r="J145" cm="1">
        <f t="array" ref="J145" xml:space="preserve"> mc(100, -PI()/2,0,-1, 1, "ln(EXP(x * y))")</f>
        <v>6.0175617855072116E-3</v>
      </c>
      <c r="K145" cm="1">
        <f t="array" ref="K145" xml:space="preserve"> mc(500, -PI()/2,0,-1, 1, "ln(EXP(x * y))")</f>
        <v>-1.0112940874950667E-2</v>
      </c>
      <c r="L145" cm="1">
        <f t="array" ref="L145" xml:space="preserve"> mc(1000, -PI()/2,0,-1, 1, "ln(EXP(x * y))")</f>
        <v>-0.10205558273303993</v>
      </c>
      <c r="N145" cm="1">
        <f t="array" ref="N145" xml:space="preserve"> mc(100, -PI()/2,PI()/2, 0, 1, "sin(cos(x + y))")-1.48235</f>
        <v>8.2011261562429105E-3</v>
      </c>
      <c r="O145" cm="1">
        <f t="array" ref="O145" xml:space="preserve"> mc(500, -PI()/2,PI()/2, 0, 1, "sin(cos(x + y))")-1.48235</f>
        <v>9.3156629019597537E-2</v>
      </c>
      <c r="P145" cm="1">
        <f t="array" ref="P145" xml:space="preserve"> mc(1000, -PI()/2,PI()/2, 0, 1, "sin(cos(x + y))")-1.48235</f>
        <v>4.4211341809589522E-2</v>
      </c>
    </row>
    <row r="146" spans="1:16" x14ac:dyDescent="0.3">
      <c r="A146">
        <v>116</v>
      </c>
      <c r="B146" cm="1">
        <f t="array" ref="B146" xml:space="preserve"> mc(100, 0, 4, 1, 2, "x^2+y^2")-92/3</f>
        <v>2.824982555584679</v>
      </c>
      <c r="C146" cm="1">
        <f t="array" ref="C146" xml:space="preserve"> mc(500, 0, 4, 1, 2, "x^2+y^2")-92/3</f>
        <v>0.96304722293355738</v>
      </c>
      <c r="D146" cm="1">
        <f t="array" ref="D146" xml:space="preserve"> mc(1000, 0, 4, 1, 2, "x^2+y^2")-92/3</f>
        <v>0.52257719927523638</v>
      </c>
      <c r="F146" cm="1">
        <f t="array" ref="F146" xml:space="preserve"> ( mc(100, 3, 4, -1, 1, "EXP(x * sin(y))") ) - 7.39981</f>
        <v>-0.29350492471719214</v>
      </c>
      <c r="G146" cm="1">
        <f t="array" ref="G146" xml:space="preserve"> ( mc(500, 3, 4, -1, 1, "EXP(x * sin(y))") ) - 7.39981</f>
        <v>0.86380443310813959</v>
      </c>
      <c r="H146" cm="1">
        <f t="array" ref="H146" xml:space="preserve"> ( mc(1000, 3, 4, -1, 1, "EXP(x * sin(y))") ) - 7.39981</f>
        <v>7.8912158587042924E-2</v>
      </c>
      <c r="J146" cm="1">
        <f t="array" ref="J146" xml:space="preserve"> mc(100, -PI()/2,0,-1, 1, "ln(EXP(x * y))")</f>
        <v>-0.22573716161326135</v>
      </c>
      <c r="K146" cm="1">
        <f t="array" ref="K146" xml:space="preserve"> mc(500, -PI()/2,0,-1, 1, "ln(EXP(x * y))")</f>
        <v>5.8381909938312979E-2</v>
      </c>
      <c r="L146" cm="1">
        <f t="array" ref="L146" xml:space="preserve"> mc(1000, -PI()/2,0,-1, 1, "ln(EXP(x * y))")</f>
        <v>-2.0681886321865711E-2</v>
      </c>
      <c r="N146" cm="1">
        <f t="array" ref="N146" xml:space="preserve"> mc(100, -PI()/2,PI()/2, 0, 1, "sin(cos(x + y))")-1.48235</f>
        <v>-4.6183520816773349E-2</v>
      </c>
      <c r="O146" cm="1">
        <f t="array" ref="O146" xml:space="preserve"> mc(500, -PI()/2,PI()/2, 0, 1, "sin(cos(x + y))")-1.48235</f>
        <v>9.131911021875494E-3</v>
      </c>
      <c r="P146" cm="1">
        <f t="array" ref="P146" xml:space="preserve"> mc(1000, -PI()/2,PI()/2, 0, 1, "sin(cos(x + y))")-1.48235</f>
        <v>1.0387692169049556E-2</v>
      </c>
    </row>
    <row r="147" spans="1:16" x14ac:dyDescent="0.3">
      <c r="A147">
        <v>117</v>
      </c>
      <c r="B147" cm="1">
        <f t="array" ref="B147" xml:space="preserve"> mc(100, 0, 4, 1, 2, "x^2+y^2")-92/3</f>
        <v>2.3719811551255354</v>
      </c>
      <c r="C147" cm="1">
        <f t="array" ref="C147" xml:space="preserve"> mc(500, 0, 4, 1, 2, "x^2+y^2")-92/3</f>
        <v>-1.3633050426743765</v>
      </c>
      <c r="D147" cm="1">
        <f t="array" ref="D147" xml:space="preserve"> mc(1000, 0, 4, 1, 2, "x^2+y^2")-92/3</f>
        <v>1.2891486683087052</v>
      </c>
      <c r="F147" cm="1">
        <f t="array" ref="F147" xml:space="preserve"> ( mc(100, 3, 4, -1, 1, "EXP(x * sin(y))") ) - 7.39981</f>
        <v>9.0862957579894932E-2</v>
      </c>
      <c r="G147" cm="1">
        <f t="array" ref="G147" xml:space="preserve"> ( mc(500, 3, 4, -1, 1, "EXP(x * sin(y))") ) - 7.39981</f>
        <v>0.8830323972440759</v>
      </c>
      <c r="H147" cm="1">
        <f t="array" ref="H147" xml:space="preserve"> ( mc(1000, 3, 4, -1, 1, "EXP(x * sin(y))") ) - 7.39981</f>
        <v>-0.26885776841674414</v>
      </c>
      <c r="J147" cm="1">
        <f t="array" ref="J147" xml:space="preserve"> mc(100, -PI()/2,0,-1, 1, "ln(EXP(x * y))")</f>
        <v>0.14721260863425439</v>
      </c>
      <c r="K147" cm="1">
        <f t="array" ref="K147" xml:space="preserve"> mc(500, -PI()/2,0,-1, 1, "ln(EXP(x * y))")</f>
        <v>9.5300257833242585E-2</v>
      </c>
      <c r="L147" cm="1">
        <f t="array" ref="L147" xml:space="preserve"> mc(1000, -PI()/2,0,-1, 1, "ln(EXP(x * y))")</f>
        <v>-5.7361982367279594E-2</v>
      </c>
      <c r="N147" cm="1">
        <f t="array" ref="N147" xml:space="preserve"> mc(100, -PI()/2,PI()/2, 0, 1, "sin(cos(x + y))")-1.48235</f>
        <v>0.23251271155645159</v>
      </c>
      <c r="O147" cm="1">
        <f t="array" ref="O147" xml:space="preserve"> mc(500, -PI()/2,PI()/2, 0, 1, "sin(cos(x + y))")-1.48235</f>
        <v>3.9035826744378443E-2</v>
      </c>
      <c r="P147" cm="1">
        <f t="array" ref="P147" xml:space="preserve"> mc(1000, -PI()/2,PI()/2, 0, 1, "sin(cos(x + y))")-1.48235</f>
        <v>4.6975350817957562E-2</v>
      </c>
    </row>
    <row r="148" spans="1:16" x14ac:dyDescent="0.3">
      <c r="A148">
        <v>118</v>
      </c>
      <c r="B148" cm="1">
        <f t="array" ref="B148" xml:space="preserve"> mc(100, 0, 4, 1, 2, "x^2+y^2")-92/3</f>
        <v>0.59328462417102656</v>
      </c>
      <c r="C148" cm="1">
        <f t="array" ref="C148" xml:space="preserve"> mc(500, 0, 4, 1, 2, "x^2+y^2")-92/3</f>
        <v>-0.31079860092672007</v>
      </c>
      <c r="D148" cm="1">
        <f t="array" ref="D148" xml:space="preserve"> mc(1000, 0, 4, 1, 2, "x^2+y^2")-92/3</f>
        <v>-0.9117705982993769</v>
      </c>
      <c r="F148" cm="1">
        <f t="array" ref="F148" xml:space="preserve"> ( mc(100, 3, 4, -1, 1, "EXP(x * sin(y))") ) - 7.39981</f>
        <v>1.9335676200234282</v>
      </c>
      <c r="G148" cm="1">
        <f t="array" ref="G148" xml:space="preserve"> ( mc(500, 3, 4, -1, 1, "EXP(x * sin(y))") ) - 7.39981</f>
        <v>-0.24758965689596124</v>
      </c>
      <c r="H148" cm="1">
        <f t="array" ref="H148" xml:space="preserve"> ( mc(1000, 3, 4, -1, 1, "EXP(x * sin(y))") ) - 7.39981</f>
        <v>-0.27810609786130769</v>
      </c>
      <c r="J148" cm="1">
        <f t="array" ref="J148" xml:space="preserve"> mc(100, -PI()/2,0,-1, 1, "ln(EXP(x * y))")</f>
        <v>-9.6978180947089432E-2</v>
      </c>
      <c r="K148" cm="1">
        <f t="array" ref="K148" xml:space="preserve"> mc(500, -PI()/2,0,-1, 1, "ln(EXP(x * y))")</f>
        <v>-8.0432135691333353E-2</v>
      </c>
      <c r="L148" cm="1">
        <f t="array" ref="L148" xml:space="preserve"> mc(1000, -PI()/2,0,-1, 1, "ln(EXP(x * y))")</f>
        <v>2.8422164045410547E-2</v>
      </c>
      <c r="N148" cm="1">
        <f t="array" ref="N148" xml:space="preserve"> mc(100, -PI()/2,PI()/2, 0, 1, "sin(cos(x + y))")-1.48235</f>
        <v>-5.4434976526014811E-2</v>
      </c>
      <c r="O148" cm="1">
        <f t="array" ref="O148" xml:space="preserve"> mc(500, -PI()/2,PI()/2, 0, 1, "sin(cos(x + y))")-1.48235</f>
        <v>-4.0421436399815658E-2</v>
      </c>
      <c r="P148" cm="1">
        <f t="array" ref="P148" xml:space="preserve"> mc(1000, -PI()/2,PI()/2, 0, 1, "sin(cos(x + y))")-1.48235</f>
        <v>-4.9101261209064218E-2</v>
      </c>
    </row>
    <row r="149" spans="1:16" x14ac:dyDescent="0.3">
      <c r="A149">
        <v>119</v>
      </c>
      <c r="B149" cm="1">
        <f t="array" ref="B149" xml:space="preserve"> mc(100, 0, 4, 1, 2, "x^2+y^2")-92/3</f>
        <v>-1.6183433039430035</v>
      </c>
      <c r="C149" cm="1">
        <f t="array" ref="C149" xml:space="preserve"> mc(500, 0, 4, 1, 2, "x^2+y^2")-92/3</f>
        <v>0.33780140914533163</v>
      </c>
      <c r="D149" cm="1">
        <f t="array" ref="D149" xml:space="preserve"> mc(1000, 0, 4, 1, 2, "x^2+y^2")-92/3</f>
        <v>2.5504735095939424E-2</v>
      </c>
      <c r="F149" cm="1">
        <f t="array" ref="F149" xml:space="preserve"> ( mc(100, 3, 4, -1, 1, "EXP(x * sin(y))") ) - 7.39981</f>
        <v>-0.53953651499345501</v>
      </c>
      <c r="G149" cm="1">
        <f t="array" ref="G149" xml:space="preserve"> ( mc(500, 3, 4, -1, 1, "EXP(x * sin(y))") ) - 7.39981</f>
        <v>1.659432271554806E-2</v>
      </c>
      <c r="H149" cm="1">
        <f t="array" ref="H149" xml:space="preserve"> ( mc(1000, 3, 4, -1, 1, "EXP(x * sin(y))") ) - 7.39981</f>
        <v>-0.24726198888576878</v>
      </c>
      <c r="J149" cm="1">
        <f t="array" ref="J149" xml:space="preserve"> mc(100, -PI()/2,0,-1, 1, "ln(EXP(x * y))")</f>
        <v>0.11776158710666193</v>
      </c>
      <c r="K149" cm="1">
        <f t="array" ref="K149" xml:space="preserve"> mc(500, -PI()/2,0,-1, 1, "ln(EXP(x * y))")</f>
        <v>5.4489434855537214E-2</v>
      </c>
      <c r="L149" cm="1">
        <f t="array" ref="L149" xml:space="preserve"> mc(1000, -PI()/2,0,-1, 1, "ln(EXP(x * y))")</f>
        <v>-4.8537637571963957E-2</v>
      </c>
      <c r="N149" cm="1">
        <f t="array" ref="N149" xml:space="preserve"> mc(100, -PI()/2,PI()/2, 0, 1, "sin(cos(x + y))")-1.48235</f>
        <v>-6.7099406518538407E-2</v>
      </c>
      <c r="O149" cm="1">
        <f t="array" ref="O149" xml:space="preserve"> mc(500, -PI()/2,PI()/2, 0, 1, "sin(cos(x + y))")-1.48235</f>
        <v>3.9764186865472118E-2</v>
      </c>
      <c r="P149" cm="1">
        <f t="array" ref="P149" xml:space="preserve"> mc(1000, -PI()/2,PI()/2, 0, 1, "sin(cos(x + y))")-1.48235</f>
        <v>4.6414661043673977E-2</v>
      </c>
    </row>
    <row r="150" spans="1:16" x14ac:dyDescent="0.3">
      <c r="A150">
        <v>120</v>
      </c>
      <c r="B150" cm="1">
        <f t="array" ref="B150" xml:space="preserve"> mc(100, 0, 4, 1, 2, "x^2+y^2")-92/3</f>
        <v>0.26524872188436888</v>
      </c>
      <c r="C150" cm="1">
        <f t="array" ref="C150" xml:space="preserve"> mc(500, 0, 4, 1, 2, "x^2+y^2")-92/3</f>
        <v>-0.85840877265971116</v>
      </c>
      <c r="D150" cm="1">
        <f t="array" ref="D150" xml:space="preserve"> mc(1000, 0, 4, 1, 2, "x^2+y^2")-92/3</f>
        <v>-0.25030260223728362</v>
      </c>
      <c r="F150" cm="1">
        <f t="array" ref="F150" xml:space="preserve"> ( mc(100, 3, 4, -1, 1, "EXP(x * sin(y))") ) - 7.39981</f>
        <v>8.8427257966160688E-2</v>
      </c>
      <c r="G150" cm="1">
        <f t="array" ref="G150" xml:space="preserve"> ( mc(500, 3, 4, -1, 1, "EXP(x * sin(y))") ) - 7.39981</f>
        <v>-0.99943958263360155</v>
      </c>
      <c r="H150" cm="1">
        <f t="array" ref="H150" xml:space="preserve"> ( mc(1000, 3, 4, -1, 1, "EXP(x * sin(y))") ) - 7.39981</f>
        <v>-5.3509704081343479E-2</v>
      </c>
      <c r="J150" cm="1">
        <f t="array" ref="J150" xml:space="preserve"> mc(100, -PI()/2,0,-1, 1, "ln(EXP(x * y))")</f>
        <v>0.11725225771275716</v>
      </c>
      <c r="K150" cm="1">
        <f t="array" ref="K150" xml:space="preserve"> mc(500, -PI()/2,0,-1, 1, "ln(EXP(x * y))")</f>
        <v>2.8940754593768056E-3</v>
      </c>
      <c r="L150" cm="1">
        <f t="array" ref="L150" xml:space="preserve"> mc(1000, -PI()/2,0,-1, 1, "ln(EXP(x * y))")</f>
        <v>2.1735191948217589E-2</v>
      </c>
      <c r="N150" cm="1">
        <f t="array" ref="N150" xml:space="preserve"> mc(100, -PI()/2,PI()/2, 0, 1, "sin(cos(x + y))")-1.48235</f>
        <v>4.9474110436673824E-2</v>
      </c>
      <c r="O150" cm="1">
        <f t="array" ref="O150" xml:space="preserve"> mc(500, -PI()/2,PI()/2, 0, 1, "sin(cos(x + y))")-1.48235</f>
        <v>0.11586135876145542</v>
      </c>
      <c r="P150" cm="1">
        <f t="array" ref="P150" xml:space="preserve"> mc(1000, -PI()/2,PI()/2, 0, 1, "sin(cos(x + y))")-1.48235</f>
        <v>4.3100051016641938E-2</v>
      </c>
    </row>
    <row r="151" spans="1:16" x14ac:dyDescent="0.3">
      <c r="A151">
        <v>121</v>
      </c>
      <c r="B151" cm="1">
        <f t="array" ref="B151" xml:space="preserve"> mc(100, 0, 4, 1, 2, "x^2+y^2")-92/3</f>
        <v>-0.66364114667318219</v>
      </c>
      <c r="C151" cm="1">
        <f t="array" ref="C151" xml:space="preserve"> mc(500, 0, 4, 1, 2, "x^2+y^2")-92/3</f>
        <v>-0.46191937481225054</v>
      </c>
      <c r="D151" cm="1">
        <f t="array" ref="D151" xml:space="preserve"> mc(1000, 0, 4, 1, 2, "x^2+y^2")-92/3</f>
        <v>0.6315810762677998</v>
      </c>
      <c r="F151" cm="1">
        <f t="array" ref="F151" xml:space="preserve"> ( mc(100, 3, 4, -1, 1, "EXP(x * sin(y))") ) - 7.39981</f>
        <v>-0.83155026151206712</v>
      </c>
      <c r="G151" cm="1">
        <f t="array" ref="G151" xml:space="preserve"> ( mc(500, 3, 4, -1, 1, "EXP(x * sin(y))") ) - 7.39981</f>
        <v>-0.72275659684806559</v>
      </c>
      <c r="H151" cm="1">
        <f t="array" ref="H151" xml:space="preserve"> ( mc(1000, 3, 4, -1, 1, "EXP(x * sin(y))") ) - 7.39981</f>
        <v>2.7217309592025174E-2</v>
      </c>
      <c r="J151" cm="1">
        <f t="array" ref="J151" xml:space="preserve"> mc(100, -PI()/2,0,-1, 1, "ln(EXP(x * y))")</f>
        <v>0.12610911015283396</v>
      </c>
      <c r="K151" cm="1">
        <f t="array" ref="K151" xml:space="preserve"> mc(500, -PI()/2,0,-1, 1, "ln(EXP(x * y))")</f>
        <v>-6.4913779259429719E-2</v>
      </c>
      <c r="L151" cm="1">
        <f t="array" ref="L151" xml:space="preserve"> mc(1000, -PI()/2,0,-1, 1, "ln(EXP(x * y))")</f>
        <v>4.4531785917868452E-2</v>
      </c>
      <c r="N151" cm="1">
        <f t="array" ref="N151" xml:space="preserve"> mc(100, -PI()/2,PI()/2, 0, 1, "sin(cos(x + y))")-1.48235</f>
        <v>0.17102374672241316</v>
      </c>
      <c r="O151" cm="1">
        <f t="array" ref="O151" xml:space="preserve"> mc(500, -PI()/2,PI()/2, 0, 1, "sin(cos(x + y))")-1.48235</f>
        <v>-1.9899147188380262E-3</v>
      </c>
      <c r="P151" cm="1">
        <f t="array" ref="P151" xml:space="preserve"> mc(1000, -PI()/2,PI()/2, 0, 1, "sin(cos(x + y))")-1.48235</f>
        <v>-3.7870257786597472E-2</v>
      </c>
    </row>
    <row r="152" spans="1:16" x14ac:dyDescent="0.3">
      <c r="A152">
        <v>122</v>
      </c>
      <c r="B152" cm="1">
        <f t="array" ref="B152" xml:space="preserve"> mc(100, 0, 4, 1, 2, "x^2+y^2")-92/3</f>
        <v>1.7062374457622091</v>
      </c>
      <c r="C152" cm="1">
        <f t="array" ref="C152" xml:space="preserve"> mc(500, 0, 4, 1, 2, "x^2+y^2")-92/3</f>
        <v>2.1157044662777444</v>
      </c>
      <c r="D152" cm="1">
        <f t="array" ref="D152" xml:space="preserve"> mc(1000, 0, 4, 1, 2, "x^2+y^2")-92/3</f>
        <v>0.12186803389928613</v>
      </c>
      <c r="F152" cm="1">
        <f t="array" ref="F152" xml:space="preserve"> ( mc(100, 3, 4, -1, 1, "EXP(x * sin(y))") ) - 7.39981</f>
        <v>0.77141939900667111</v>
      </c>
      <c r="G152" cm="1">
        <f t="array" ref="G152" xml:space="preserve"> ( mc(500, 3, 4, -1, 1, "EXP(x * sin(y))") ) - 7.39981</f>
        <v>-1.0793073604093095E-2</v>
      </c>
      <c r="H152" cm="1">
        <f t="array" ref="H152" xml:space="preserve"> ( mc(1000, 3, 4, -1, 1, "EXP(x * sin(y))") ) - 7.39981</f>
        <v>-0.14551874075752647</v>
      </c>
      <c r="J152" cm="1">
        <f t="array" ref="J152" xml:space="preserve"> mc(100, -PI()/2,0,-1, 1, "ln(EXP(x * y))")</f>
        <v>1.9400080956249047E-3</v>
      </c>
      <c r="K152" cm="1">
        <f t="array" ref="K152" xml:space="preserve"> mc(500, -PI()/2,0,-1, 1, "ln(EXP(x * y))")</f>
        <v>-0.11073094274207175</v>
      </c>
      <c r="L152" cm="1">
        <f t="array" ref="L152" xml:space="preserve"> mc(1000, -PI()/2,0,-1, 1, "ln(EXP(x * y))")</f>
        <v>-6.314298174321531E-2</v>
      </c>
      <c r="N152" cm="1">
        <f t="array" ref="N152" xml:space="preserve"> mc(100, -PI()/2,PI()/2, 0, 1, "sin(cos(x + y))")-1.48235</f>
        <v>-0.12200450096579174</v>
      </c>
      <c r="O152" cm="1">
        <f t="array" ref="O152" xml:space="preserve"> mc(500, -PI()/2,PI()/2, 0, 1, "sin(cos(x + y))")-1.48235</f>
        <v>-2.2875225610436312E-2</v>
      </c>
      <c r="P152" cm="1">
        <f t="array" ref="P152" xml:space="preserve"> mc(1000, -PI()/2,PI()/2, 0, 1, "sin(cos(x + y))")-1.48235</f>
        <v>-8.1398472521247989E-2</v>
      </c>
    </row>
    <row r="153" spans="1:16" x14ac:dyDescent="0.3">
      <c r="A153">
        <v>123</v>
      </c>
      <c r="B153" cm="1">
        <f t="array" ref="B153" xml:space="preserve"> mc(100, 0, 4, 1, 2, "x^2+y^2")-92/3</f>
        <v>2.9772139308041083</v>
      </c>
      <c r="C153" cm="1">
        <f t="array" ref="C153" xml:space="preserve"> mc(500, 0, 4, 1, 2, "x^2+y^2")-92/3</f>
        <v>0.9326108935706614</v>
      </c>
      <c r="D153" cm="1">
        <f t="array" ref="D153" xml:space="preserve"> mc(1000, 0, 4, 1, 2, "x^2+y^2")-92/3</f>
        <v>3.0101885050427768E-2</v>
      </c>
      <c r="F153" cm="1">
        <f t="array" ref="F153" xml:space="preserve"> ( mc(100, 3, 4, -1, 1, "EXP(x * sin(y))") ) - 7.39981</f>
        <v>-0.57082320826460275</v>
      </c>
      <c r="G153" cm="1">
        <f t="array" ref="G153" xml:space="preserve"> ( mc(500, 3, 4, -1, 1, "EXP(x * sin(y))") ) - 7.39981</f>
        <v>0.48398944365029806</v>
      </c>
      <c r="H153" cm="1">
        <f t="array" ref="H153" xml:space="preserve"> ( mc(1000, 3, 4, -1, 1, "EXP(x * sin(y))") ) - 7.39981</f>
        <v>7.6118445520152456E-2</v>
      </c>
      <c r="J153" cm="1">
        <f t="array" ref="J153" xml:space="preserve"> mc(100, -PI()/2,0,-1, 1, "ln(EXP(x * y))")</f>
        <v>-6.6438703258508622E-4</v>
      </c>
      <c r="K153" cm="1">
        <f t="array" ref="K153" xml:space="preserve"> mc(500, -PI()/2,0,-1, 1, "ln(EXP(x * y))")</f>
        <v>-5.0039715547397133E-2</v>
      </c>
      <c r="L153" cm="1">
        <f t="array" ref="L153" xml:space="preserve"> mc(1000, -PI()/2,0,-1, 1, "ln(EXP(x * y))")</f>
        <v>-9.1758628296691153E-2</v>
      </c>
      <c r="N153" cm="1">
        <f t="array" ref="N153" xml:space="preserve"> mc(100, -PI()/2,PI()/2, 0, 1, "sin(cos(x + y))")-1.48235</f>
        <v>2.2166075792668938E-2</v>
      </c>
      <c r="O153" cm="1">
        <f t="array" ref="O153" xml:space="preserve"> mc(500, -PI()/2,PI()/2, 0, 1, "sin(cos(x + y))")-1.48235</f>
        <v>-1.4695683862207432E-2</v>
      </c>
      <c r="P153" cm="1">
        <f t="array" ref="P153" xml:space="preserve"> mc(1000, -PI()/2,PI()/2, 0, 1, "sin(cos(x + y))")-1.48235</f>
        <v>-1.031082765765734E-2</v>
      </c>
    </row>
    <row r="154" spans="1:16" x14ac:dyDescent="0.3">
      <c r="A154">
        <v>124</v>
      </c>
      <c r="B154" cm="1">
        <f t="array" ref="B154" xml:space="preserve"> mc(100, 0, 4, 1, 2, "x^2+y^2")-92/3</f>
        <v>1.1337342299399467</v>
      </c>
      <c r="C154" cm="1">
        <f t="array" ref="C154" xml:space="preserve"> mc(500, 0, 4, 1, 2, "x^2+y^2")-92/3</f>
        <v>1.2856386399727384</v>
      </c>
      <c r="D154" cm="1">
        <f t="array" ref="D154" xml:space="preserve"> mc(1000, 0, 4, 1, 2, "x^2+y^2")-92/3</f>
        <v>-1.0488545029047387</v>
      </c>
      <c r="F154" cm="1">
        <f t="array" ref="F154" xml:space="preserve"> ( mc(100, 3, 4, -1, 1, "EXP(x * sin(y))") ) - 7.39981</f>
        <v>1.3511326256527063</v>
      </c>
      <c r="G154" cm="1">
        <f t="array" ref="G154" xml:space="preserve"> ( mc(500, 3, 4, -1, 1, "EXP(x * sin(y))") ) - 7.39981</f>
        <v>0.10784488866475161</v>
      </c>
      <c r="H154" cm="1">
        <f t="array" ref="H154" xml:space="preserve"> ( mc(1000, 3, 4, -1, 1, "EXP(x * sin(y))") ) - 7.39981</f>
        <v>0.17530754843253593</v>
      </c>
      <c r="J154" cm="1">
        <f t="array" ref="J154" xml:space="preserve"> mc(100, -PI()/2,0,-1, 1, "ln(EXP(x * y))")</f>
        <v>8.0856274375006781E-2</v>
      </c>
      <c r="K154" cm="1">
        <f t="array" ref="K154" xml:space="preserve"> mc(500, -PI()/2,0,-1, 1, "ln(EXP(x * y))")</f>
        <v>1.8878927169312085E-2</v>
      </c>
      <c r="L154" cm="1">
        <f t="array" ref="L154" xml:space="preserve"> mc(1000, -PI()/2,0,-1, 1, "ln(EXP(x * y))")</f>
        <v>1.3763604362189499E-2</v>
      </c>
      <c r="N154" cm="1">
        <f t="array" ref="N154" xml:space="preserve"> mc(100, -PI()/2,PI()/2, 0, 1, "sin(cos(x + y))")-1.48235</f>
        <v>-4.4760073206874917E-2</v>
      </c>
      <c r="O154" cm="1">
        <f t="array" ref="O154" xml:space="preserve"> mc(500, -PI()/2,PI()/2, 0, 1, "sin(cos(x + y))")-1.48235</f>
        <v>-4.2778565890515541E-3</v>
      </c>
      <c r="P154" cm="1">
        <f t="array" ref="P154" xml:space="preserve"> mc(1000, -PI()/2,PI()/2, 0, 1, "sin(cos(x + y))")-1.48235</f>
        <v>-5.4257680270703323E-2</v>
      </c>
    </row>
    <row r="155" spans="1:16" x14ac:dyDescent="0.3">
      <c r="A155">
        <v>125</v>
      </c>
      <c r="B155" cm="1">
        <f t="array" ref="B155" xml:space="preserve"> mc(100, 0, 4, 1, 2, "x^2+y^2")-92/3</f>
        <v>-1.0362352414254907</v>
      </c>
      <c r="C155" cm="1">
        <f t="array" ref="C155" xml:space="preserve"> mc(500, 0, 4, 1, 2, "x^2+y^2")-92/3</f>
        <v>0.57506182447505694</v>
      </c>
      <c r="D155" cm="1">
        <f t="array" ref="D155" xml:space="preserve"> mc(1000, 0, 4, 1, 2, "x^2+y^2")-92/3</f>
        <v>3.7935003165717518E-2</v>
      </c>
      <c r="F155" cm="1">
        <f t="array" ref="F155" xml:space="preserve"> ( mc(100, 3, 4, -1, 1, "EXP(x * sin(y))") ) - 7.39981</f>
        <v>-0.68223143684648946</v>
      </c>
      <c r="G155" cm="1">
        <f t="array" ref="G155" xml:space="preserve"> ( mc(500, 3, 4, -1, 1, "EXP(x * sin(y))") ) - 7.39981</f>
        <v>0.2566472038659704</v>
      </c>
      <c r="H155" cm="1">
        <f t="array" ref="H155" xml:space="preserve"> ( mc(1000, 3, 4, -1, 1, "EXP(x * sin(y))") ) - 7.39981</f>
        <v>-3.7963308717599453E-2</v>
      </c>
      <c r="J155" cm="1">
        <f t="array" ref="J155" xml:space="preserve"> mc(100, -PI()/2,0,-1, 1, "ln(EXP(x * y))")</f>
        <v>6.5146886344312052E-2</v>
      </c>
      <c r="K155" cm="1">
        <f t="array" ref="K155" xml:space="preserve"> mc(500, -PI()/2,0,-1, 1, "ln(EXP(x * y))")</f>
        <v>-4.3443137847537255E-2</v>
      </c>
      <c r="L155" cm="1">
        <f t="array" ref="L155" xml:space="preserve"> mc(1000, -PI()/2,0,-1, 1, "ln(EXP(x * y))")</f>
        <v>-2.3532899831450155E-2</v>
      </c>
      <c r="N155" cm="1">
        <f t="array" ref="N155" xml:space="preserve"> mc(100, -PI()/2,PI()/2, 0, 1, "sin(cos(x + y))")-1.48235</f>
        <v>0.11338637137462437</v>
      </c>
      <c r="O155" cm="1">
        <f t="array" ref="O155" xml:space="preserve"> mc(500, -PI()/2,PI()/2, 0, 1, "sin(cos(x + y))")-1.48235</f>
        <v>-3.1218142031184337E-2</v>
      </c>
      <c r="P155" cm="1">
        <f t="array" ref="P155" xml:space="preserve"> mc(1000, -PI()/2,PI()/2, 0, 1, "sin(cos(x + y))")-1.48235</f>
        <v>-5.225033920661426E-2</v>
      </c>
    </row>
    <row r="156" spans="1:16" x14ac:dyDescent="0.3">
      <c r="A156">
        <v>126</v>
      </c>
      <c r="B156" cm="1">
        <f t="array" ref="B156" xml:space="preserve"> mc(100, 0, 4, 1, 2, "x^2+y^2")-92/3</f>
        <v>-1.4382145280284959</v>
      </c>
      <c r="C156" cm="1">
        <f t="array" ref="C156" xml:space="preserve"> mc(500, 0, 4, 1, 2, "x^2+y^2")-92/3</f>
        <v>0.53759551151926033</v>
      </c>
      <c r="D156" cm="1">
        <f t="array" ref="D156" xml:space="preserve"> mc(1000, 0, 4, 1, 2, "x^2+y^2")-92/3</f>
        <v>3.1748177249902199E-2</v>
      </c>
      <c r="F156" cm="1">
        <f t="array" ref="F156" xml:space="preserve"> ( mc(100, 3, 4, -1, 1, "EXP(x * sin(y))") ) - 7.39981</f>
        <v>-0.29049106730746121</v>
      </c>
      <c r="G156" cm="1">
        <f t="array" ref="G156" xml:space="preserve"> ( mc(500, 3, 4, -1, 1, "EXP(x * sin(y))") ) - 7.39981</f>
        <v>0.17229170119949888</v>
      </c>
      <c r="H156" cm="1">
        <f t="array" ref="H156" xml:space="preserve"> ( mc(1000, 3, 4, -1, 1, "EXP(x * sin(y))") ) - 7.39981</f>
        <v>1.0147129897767115E-2</v>
      </c>
      <c r="J156" cm="1">
        <f t="array" ref="J156" xml:space="preserve"> mc(100, -PI()/2,0,-1, 1, "ln(EXP(x * y))")</f>
        <v>3.1271916270681398E-2</v>
      </c>
      <c r="K156" cm="1">
        <f t="array" ref="K156" xml:space="preserve"> mc(500, -PI()/2,0,-1, 1, "ln(EXP(x * y))")</f>
        <v>-6.4081222658972023E-2</v>
      </c>
      <c r="L156" cm="1">
        <f t="array" ref="L156" xml:space="preserve"> mc(1000, -PI()/2,0,-1, 1, "ln(EXP(x * y))")</f>
        <v>3.5571506372000433E-2</v>
      </c>
      <c r="N156" cm="1">
        <f t="array" ref="N156" xml:space="preserve"> mc(100, -PI()/2,PI()/2, 0, 1, "sin(cos(x + y))")-1.48235</f>
        <v>-1.1889277118306341E-2</v>
      </c>
      <c r="O156" cm="1">
        <f t="array" ref="O156" xml:space="preserve"> mc(500, -PI()/2,PI()/2, 0, 1, "sin(cos(x + y))")-1.48235</f>
        <v>-4.308544085761401E-2</v>
      </c>
      <c r="P156" cm="1">
        <f t="array" ref="P156" xml:space="preserve"> mc(1000, -PI()/2,PI()/2, 0, 1, "sin(cos(x + y))")-1.48235</f>
        <v>2.9635876638125946E-2</v>
      </c>
    </row>
    <row r="157" spans="1:16" x14ac:dyDescent="0.3">
      <c r="A157">
        <v>127</v>
      </c>
      <c r="B157" cm="1">
        <f t="array" ref="B157" xml:space="preserve"> mc(100, 0, 4, 1, 2, "x^2+y^2")-92/3</f>
        <v>-0.86961549270788296</v>
      </c>
      <c r="C157" cm="1">
        <f t="array" ref="C157" xml:space="preserve"> mc(500, 0, 4, 1, 2, "x^2+y^2")-92/3</f>
        <v>-0.60722653073482746</v>
      </c>
      <c r="D157" cm="1">
        <f t="array" ref="D157" xml:space="preserve"> mc(1000, 0, 4, 1, 2, "x^2+y^2")-92/3</f>
        <v>-0.36452052764574105</v>
      </c>
      <c r="F157" cm="1">
        <f t="array" ref="F157" xml:space="preserve"> ( mc(100, 3, 4, -1, 1, "EXP(x * sin(y))") ) - 7.39981</f>
        <v>-0.63777127893766217</v>
      </c>
      <c r="G157" cm="1">
        <f t="array" ref="G157" xml:space="preserve"> ( mc(500, 3, 4, -1, 1, "EXP(x * sin(y))") ) - 7.39981</f>
        <v>-0.37505599939060463</v>
      </c>
      <c r="H157" cm="1">
        <f t="array" ref="H157" xml:space="preserve"> ( mc(1000, 3, 4, -1, 1, "EXP(x * sin(y))") ) - 7.39981</f>
        <v>-0.46730665624461043</v>
      </c>
      <c r="J157" cm="1">
        <f t="array" ref="J157" xml:space="preserve"> mc(100, -PI()/2,0,-1, 1, "ln(EXP(x * y))")</f>
        <v>-2.6815900952030878E-2</v>
      </c>
      <c r="K157" cm="1">
        <f t="array" ref="K157" xml:space="preserve"> mc(500, -PI()/2,0,-1, 1, "ln(EXP(x * y))")</f>
        <v>3.5467707909809594E-3</v>
      </c>
      <c r="L157" cm="1">
        <f t="array" ref="L157" xml:space="preserve"> mc(1000, -PI()/2,0,-1, 1, "ln(EXP(x * y))")</f>
        <v>1.0720903430092545E-2</v>
      </c>
      <c r="N157" cm="1">
        <f t="array" ref="N157" xml:space="preserve"> mc(100, -PI()/2,PI()/2, 0, 1, "sin(cos(x + y))")-1.48235</f>
        <v>-1.6563772764564E-3</v>
      </c>
      <c r="O157" cm="1">
        <f t="array" ref="O157" xml:space="preserve"> mc(500, -PI()/2,PI()/2, 0, 1, "sin(cos(x + y))")-1.48235</f>
        <v>-7.4684347684099484E-2</v>
      </c>
      <c r="P157" cm="1">
        <f t="array" ref="P157" xml:space="preserve"> mc(1000, -PI()/2,PI()/2, 0, 1, "sin(cos(x + y))")-1.48235</f>
        <v>-2.8689004289452535E-2</v>
      </c>
    </row>
    <row r="158" spans="1:16" x14ac:dyDescent="0.3">
      <c r="A158">
        <v>128</v>
      </c>
      <c r="B158" cm="1">
        <f t="array" ref="B158" xml:space="preserve"> mc(100, 0, 4, 1, 2, "x^2+y^2")-92/3</f>
        <v>2.9665623901365272</v>
      </c>
      <c r="C158" cm="1">
        <f t="array" ref="C158" xml:space="preserve"> mc(500, 0, 4, 1, 2, "x^2+y^2")-92/3</f>
        <v>-0.54796437292593936</v>
      </c>
      <c r="D158" cm="1">
        <f t="array" ref="D158" xml:space="preserve"> mc(1000, 0, 4, 1, 2, "x^2+y^2")-92/3</f>
        <v>-0.41028530178316203</v>
      </c>
      <c r="F158" cm="1">
        <f t="array" ref="F158" xml:space="preserve"> ( mc(100, 3, 4, -1, 1, "EXP(x * sin(y))") ) - 7.39981</f>
        <v>-0.63857748532935332</v>
      </c>
      <c r="G158" cm="1">
        <f t="array" ref="G158" xml:space="preserve"> ( mc(500, 3, 4, -1, 1, "EXP(x * sin(y))") ) - 7.39981</f>
        <v>0.86762227718730145</v>
      </c>
      <c r="H158" cm="1">
        <f t="array" ref="H158" xml:space="preserve"> ( mc(1000, 3, 4, -1, 1, "EXP(x * sin(y))") ) - 7.39981</f>
        <v>0.15535237060418527</v>
      </c>
      <c r="J158" cm="1">
        <f t="array" ref="J158" xml:space="preserve"> mc(100, -PI()/2,0,-1, 1, "ln(EXP(x * y))")</f>
        <v>0.10053234148849528</v>
      </c>
      <c r="K158" cm="1">
        <f t="array" ref="K158" xml:space="preserve"> mc(500, -PI()/2,0,-1, 1, "ln(EXP(x * y))")</f>
        <v>6.6862796795903068E-2</v>
      </c>
      <c r="L158" cm="1">
        <f t="array" ref="L158" xml:space="preserve"> mc(1000, -PI()/2,0,-1, 1, "ln(EXP(x * y))")</f>
        <v>2.1172303831265345E-2</v>
      </c>
      <c r="N158" cm="1">
        <f t="array" ref="N158" xml:space="preserve"> mc(100, -PI()/2,PI()/2, 0, 1, "sin(cos(x + y))")-1.48235</f>
        <v>8.0851072269829238E-2</v>
      </c>
      <c r="O158" cm="1">
        <f t="array" ref="O158" xml:space="preserve"> mc(500, -PI()/2,PI()/2, 0, 1, "sin(cos(x + y))")-1.48235</f>
        <v>6.9248925613941914E-2</v>
      </c>
      <c r="P158" cm="1">
        <f t="array" ref="P158" xml:space="preserve"> mc(1000, -PI()/2,PI()/2, 0, 1, "sin(cos(x + y))")-1.48235</f>
        <v>-8.0991418880155042E-2</v>
      </c>
    </row>
    <row r="159" spans="1:16" x14ac:dyDescent="0.3">
      <c r="A159">
        <v>129</v>
      </c>
      <c r="B159" cm="1">
        <f t="array" ref="B159" xml:space="preserve"> mc(100, 0, 4, 1, 2, "x^2+y^2")-92/3</f>
        <v>-1.2655449530906147</v>
      </c>
      <c r="C159" cm="1">
        <f t="array" ref="C159" xml:space="preserve"> mc(500, 0, 4, 1, 2, "x^2+y^2")-92/3</f>
        <v>-0.75314028101752939</v>
      </c>
      <c r="D159" cm="1">
        <f t="array" ref="D159" xml:space="preserve"> mc(1000, 0, 4, 1, 2, "x^2+y^2")-92/3</f>
        <v>-0.61887001338485348</v>
      </c>
      <c r="F159" cm="1">
        <f t="array" ref="F159" xml:space="preserve"> ( mc(100, 3, 4, -1, 1, "EXP(x * sin(y))") ) - 7.39981</f>
        <v>0.60376945851987074</v>
      </c>
      <c r="G159" cm="1">
        <f t="array" ref="G159" xml:space="preserve"> ( mc(500, 3, 4, -1, 1, "EXP(x * sin(y))") ) - 7.39981</f>
        <v>-0.30172308767553702</v>
      </c>
      <c r="H159" cm="1">
        <f t="array" ref="H159" xml:space="preserve"> ( mc(1000, 3, 4, -1, 1, "EXP(x * sin(y))") ) - 7.39981</f>
        <v>-5.4986109866640653E-2</v>
      </c>
      <c r="J159" cm="1">
        <f t="array" ref="J159" xml:space="preserve"> mc(100, -PI()/2,0,-1, 1, "ln(EXP(x * y))")</f>
        <v>-8.1487256377408473E-2</v>
      </c>
      <c r="K159" cm="1">
        <f t="array" ref="K159" xml:space="preserve"> mc(500, -PI()/2,0,-1, 1, "ln(EXP(x * y))")</f>
        <v>2.739792231022032E-2</v>
      </c>
      <c r="L159" cm="1">
        <f t="array" ref="L159" xml:space="preserve"> mc(1000, -PI()/2,0,-1, 1, "ln(EXP(x * y))")</f>
        <v>6.3723304961308763E-2</v>
      </c>
      <c r="N159" cm="1">
        <f t="array" ref="N159" xml:space="preserve"> mc(100, -PI()/2,PI()/2, 0, 1, "sin(cos(x + y))")-1.48235</f>
        <v>0.32172773561505119</v>
      </c>
      <c r="O159" cm="1">
        <f t="array" ref="O159" xml:space="preserve"> mc(500, -PI()/2,PI()/2, 0, 1, "sin(cos(x + y))")-1.48235</f>
        <v>-6.5411116921847201E-2</v>
      </c>
      <c r="P159" cm="1">
        <f t="array" ref="P159" xml:space="preserve"> mc(1000, -PI()/2,PI()/2, 0, 1, "sin(cos(x + y))")-1.48235</f>
        <v>-4.5220702114037392E-2</v>
      </c>
    </row>
    <row r="160" spans="1:16" x14ac:dyDescent="0.3">
      <c r="A160">
        <v>130</v>
      </c>
      <c r="B160" cm="1">
        <f t="array" ref="B160" xml:space="preserve"> mc(100, 0, 4, 1, 2, "x^2+y^2")-92/3</f>
        <v>-0.84647351702947304</v>
      </c>
      <c r="C160" cm="1">
        <f t="array" ref="C160" xml:space="preserve"> mc(500, 0, 4, 1, 2, "x^2+y^2")-92/3</f>
        <v>0.65386067562759109</v>
      </c>
      <c r="D160" cm="1">
        <f t="array" ref="D160" xml:space="preserve"> mc(1000, 0, 4, 1, 2, "x^2+y^2")-92/3</f>
        <v>-1.3813543104656425</v>
      </c>
      <c r="F160" cm="1">
        <f t="array" ref="F160" xml:space="preserve"> ( mc(100, 3, 4, -1, 1, "EXP(x * sin(y))") ) - 7.39981</f>
        <v>1.2412474637895823</v>
      </c>
      <c r="G160" cm="1">
        <f t="array" ref="G160" xml:space="preserve"> ( mc(500, 3, 4, -1, 1, "EXP(x * sin(y))") ) - 7.39981</f>
        <v>0.68449156687870705</v>
      </c>
      <c r="H160" cm="1">
        <f t="array" ref="H160" xml:space="preserve"> ( mc(1000, 3, 4, -1, 1, "EXP(x * sin(y))") ) - 7.39981</f>
        <v>-2.2332805293141078E-2</v>
      </c>
      <c r="J160" cm="1">
        <f t="array" ref="J160" xml:space="preserve"> mc(100, -PI()/2,0,-1, 1, "ln(EXP(x * y))")</f>
        <v>3.8085061637349253E-2</v>
      </c>
      <c r="K160" cm="1">
        <f t="array" ref="K160" xml:space="preserve"> mc(500, -PI()/2,0,-1, 1, "ln(EXP(x * y))")</f>
        <v>7.9560170508646583E-2</v>
      </c>
      <c r="L160" cm="1">
        <f t="array" ref="L160" xml:space="preserve"> mc(1000, -PI()/2,0,-1, 1, "ln(EXP(x * y))")</f>
        <v>6.329909204635778E-2</v>
      </c>
      <c r="N160" cm="1">
        <f t="array" ref="N160" xml:space="preserve"> mc(100, -PI()/2,PI()/2, 0, 1, "sin(cos(x + y))")-1.48235</f>
        <v>-2.1709450683819131E-2</v>
      </c>
      <c r="O160" cm="1">
        <f t="array" ref="O160" xml:space="preserve"> mc(500, -PI()/2,PI()/2, 0, 1, "sin(cos(x + y))")-1.48235</f>
        <v>-4.5803081872330287E-2</v>
      </c>
      <c r="P160" cm="1">
        <f t="array" ref="P160" xml:space="preserve"> mc(1000, -PI()/2,PI()/2, 0, 1, "sin(cos(x + y))")-1.48235</f>
        <v>-0.10888286149603399</v>
      </c>
    </row>
    <row r="161" spans="1:16" x14ac:dyDescent="0.3">
      <c r="A161">
        <v>131</v>
      </c>
      <c r="B161" cm="1">
        <f t="array" ref="B161" xml:space="preserve"> mc(100, 0, 4, 1, 2, "x^2+y^2")-92/3</f>
        <v>-1.9598552854719458</v>
      </c>
      <c r="C161" cm="1">
        <f t="array" ref="C161" xml:space="preserve"> mc(500, 0, 4, 1, 2, "x^2+y^2")-92/3</f>
        <v>-0.25385126096144717</v>
      </c>
      <c r="D161" cm="1">
        <f t="array" ref="D161" xml:space="preserve"> mc(1000, 0, 4, 1, 2, "x^2+y^2")-92/3</f>
        <v>0.91432651848409563</v>
      </c>
      <c r="F161" cm="1">
        <f t="array" ref="F161" xml:space="preserve"> ( mc(100, 3, 4, -1, 1, "EXP(x * sin(y))") ) - 7.39981</f>
        <v>0.22188850805031368</v>
      </c>
      <c r="G161" cm="1">
        <f t="array" ref="G161" xml:space="preserve"> ( mc(500, 3, 4, -1, 1, "EXP(x * sin(y))") ) - 7.39981</f>
        <v>0.28202950746641076</v>
      </c>
      <c r="H161" cm="1">
        <f t="array" ref="H161" xml:space="preserve"> ( mc(1000, 3, 4, -1, 1, "EXP(x * sin(y))") ) - 7.39981</f>
        <v>5.8392641440583759E-2</v>
      </c>
      <c r="J161" cm="1">
        <f t="array" ref="J161" xml:space="preserve"> mc(100, -PI()/2,0,-1, 1, "ln(EXP(x * y))")</f>
        <v>0.16711889299742977</v>
      </c>
      <c r="K161" cm="1">
        <f t="array" ref="K161" xml:space="preserve"> mc(500, -PI()/2,0,-1, 1, "ln(EXP(x * y))")</f>
        <v>0.14895292039820304</v>
      </c>
      <c r="L161" cm="1">
        <f t="array" ref="L161" xml:space="preserve"> mc(1000, -PI()/2,0,-1, 1, "ln(EXP(x * y))")</f>
        <v>-7.3006777704386766E-2</v>
      </c>
      <c r="N161" cm="1">
        <f t="array" ref="N161" xml:space="preserve"> mc(100, -PI()/2,PI()/2, 0, 1, "sin(cos(x + y))")-1.48235</f>
        <v>-7.1630103221088204E-2</v>
      </c>
      <c r="O161" cm="1">
        <f t="array" ref="O161" xml:space="preserve"> mc(500, -PI()/2,PI()/2, 0, 1, "sin(cos(x + y))")-1.48235</f>
        <v>2.8978265208425391E-2</v>
      </c>
      <c r="P161" cm="1">
        <f t="array" ref="P161" xml:space="preserve"> mc(1000, -PI()/2,PI()/2, 0, 1, "sin(cos(x + y))")-1.48235</f>
        <v>4.0266186340842669E-3</v>
      </c>
    </row>
    <row r="162" spans="1:16" x14ac:dyDescent="0.3">
      <c r="A162">
        <v>132</v>
      </c>
      <c r="B162" cm="1">
        <f t="array" ref="B162" xml:space="preserve"> mc(100, 0, 4, 1, 2, "x^2+y^2")-92/3</f>
        <v>0.99749405799973445</v>
      </c>
      <c r="C162" cm="1">
        <f t="array" ref="C162" xml:space="preserve"> mc(500, 0, 4, 1, 2, "x^2+y^2")-92/3</f>
        <v>-0.93555856387431646</v>
      </c>
      <c r="D162" cm="1">
        <f t="array" ref="D162" xml:space="preserve"> mc(1000, 0, 4, 1, 2, "x^2+y^2")-92/3</f>
        <v>-0.12700777901193661</v>
      </c>
      <c r="F162" cm="1">
        <f t="array" ref="F162" xml:space="preserve"> ( mc(100, 3, 4, -1, 1, "EXP(x * sin(y))") ) - 7.39981</f>
        <v>-0.41230442805039313</v>
      </c>
      <c r="G162" cm="1">
        <f t="array" ref="G162" xml:space="preserve"> ( mc(500, 3, 4, -1, 1, "EXP(x * sin(y))") ) - 7.39981</f>
        <v>0.57008461690227819</v>
      </c>
      <c r="H162" cm="1">
        <f t="array" ref="H162" xml:space="preserve"> ( mc(1000, 3, 4, -1, 1, "EXP(x * sin(y))") ) - 7.39981</f>
        <v>-0.18775978137455418</v>
      </c>
      <c r="J162" cm="1">
        <f t="array" ref="J162" xml:space="preserve"> mc(100, -PI()/2,0,-1, 1, "ln(EXP(x * y))")</f>
        <v>-0.1634629754807107</v>
      </c>
      <c r="K162" cm="1">
        <f t="array" ref="K162" xml:space="preserve"> mc(500, -PI()/2,0,-1, 1, "ln(EXP(x * y))")</f>
        <v>5.2452728750699201E-2</v>
      </c>
      <c r="L162" cm="1">
        <f t="array" ref="L162" xml:space="preserve"> mc(1000, -PI()/2,0,-1, 1, "ln(EXP(x * y))")</f>
        <v>-2.3434896273162045E-2</v>
      </c>
      <c r="N162" cm="1">
        <f t="array" ref="N162" xml:space="preserve"> mc(100, -PI()/2,PI()/2, 0, 1, "sin(cos(x + y))")-1.48235</f>
        <v>2.0782913215251719E-2</v>
      </c>
      <c r="O162" cm="1">
        <f t="array" ref="O162" xml:space="preserve"> mc(500, -PI()/2,PI()/2, 0, 1, "sin(cos(x + y))")-1.48235</f>
        <v>1.7850203874133497E-2</v>
      </c>
      <c r="P162" cm="1">
        <f t="array" ref="P162" xml:space="preserve"> mc(1000, -PI()/2,PI()/2, 0, 1, "sin(cos(x + y))")-1.48235</f>
        <v>-7.5323609580755235E-3</v>
      </c>
    </row>
    <row r="163" spans="1:16" x14ac:dyDescent="0.3">
      <c r="A163">
        <v>133</v>
      </c>
      <c r="B163" cm="1">
        <f t="array" ref="B163" xml:space="preserve"> mc(100, 0, 4, 1, 2, "x^2+y^2")-92/3</f>
        <v>-3.1014188486862615</v>
      </c>
      <c r="C163" cm="1">
        <f t="array" ref="C163" xml:space="preserve"> mc(500, 0, 4, 1, 2, "x^2+y^2")-92/3</f>
        <v>9.57063775834186E-2</v>
      </c>
      <c r="D163" cm="1">
        <f t="array" ref="D163" xml:space="preserve"> mc(1000, 0, 4, 1, 2, "x^2+y^2")-92/3</f>
        <v>0.41905877247043222</v>
      </c>
      <c r="F163" cm="1">
        <f t="array" ref="F163" xml:space="preserve"> ( mc(100, 3, 4, -1, 1, "EXP(x * sin(y))") ) - 7.39981</f>
        <v>-0.98221719422191889</v>
      </c>
      <c r="G163" cm="1">
        <f t="array" ref="G163" xml:space="preserve"> ( mc(500, 3, 4, -1, 1, "EXP(x * sin(y))") ) - 7.39981</f>
        <v>0.66657928407078693</v>
      </c>
      <c r="H163" cm="1">
        <f t="array" ref="H163" xml:space="preserve"> ( mc(1000, 3, 4, -1, 1, "EXP(x * sin(y))") ) - 7.39981</f>
        <v>-2.8708860222174337E-2</v>
      </c>
      <c r="J163" cm="1">
        <f t="array" ref="J163" xml:space="preserve"> mc(100, -PI()/2,0,-1, 1, "ln(EXP(x * y))")</f>
        <v>-0.18518770534480861</v>
      </c>
      <c r="K163" cm="1">
        <f t="array" ref="K163" xml:space="preserve"> mc(500, -PI()/2,0,-1, 1, "ln(EXP(x * y))")</f>
        <v>0.13196819784330319</v>
      </c>
      <c r="L163" cm="1">
        <f t="array" ref="L163" xml:space="preserve"> mc(1000, -PI()/2,0,-1, 1, "ln(EXP(x * y))")</f>
        <v>-4.3902034336227837E-2</v>
      </c>
      <c r="N163" cm="1">
        <f t="array" ref="N163" xml:space="preserve"> mc(100, -PI()/2,PI()/2, 0, 1, "sin(cos(x + y))")-1.48235</f>
        <v>7.5490287931578193E-2</v>
      </c>
      <c r="O163" cm="1">
        <f t="array" ref="O163" xml:space="preserve"> mc(500, -PI()/2,PI()/2, 0, 1, "sin(cos(x + y))")-1.48235</f>
        <v>-7.8053372979199231E-2</v>
      </c>
      <c r="P163" cm="1">
        <f t="array" ref="P163" xml:space="preserve"> mc(1000, -PI()/2,PI()/2, 0, 1, "sin(cos(x + y))")-1.48235</f>
        <v>-3.9231295566968694E-2</v>
      </c>
    </row>
    <row r="164" spans="1:16" x14ac:dyDescent="0.3">
      <c r="A164">
        <v>134</v>
      </c>
      <c r="B164" cm="1">
        <f t="array" ref="B164" xml:space="preserve"> mc(100, 0, 4, 1, 2, "x^2+y^2")-92/3</f>
        <v>2.3726581031455929</v>
      </c>
      <c r="C164" cm="1">
        <f t="array" ref="C164" xml:space="preserve"> mc(500, 0, 4, 1, 2, "x^2+y^2")-92/3</f>
        <v>0.80572324139004436</v>
      </c>
      <c r="D164" cm="1">
        <f t="array" ref="D164" xml:space="preserve"> mc(1000, 0, 4, 1, 2, "x^2+y^2")-92/3</f>
        <v>-8.776689138238325E-2</v>
      </c>
      <c r="F164" cm="1">
        <f t="array" ref="F164" xml:space="preserve"> ( mc(100, 3, 4, -1, 1, "EXP(x * sin(y))") ) - 7.39981</f>
        <v>0.61824619582803741</v>
      </c>
      <c r="G164" cm="1">
        <f t="array" ref="G164" xml:space="preserve"> ( mc(500, 3, 4, -1, 1, "EXP(x * sin(y))") ) - 7.39981</f>
        <v>-0.33194009584766881</v>
      </c>
      <c r="H164" cm="1">
        <f t="array" ref="H164" xml:space="preserve"> ( mc(1000, 3, 4, -1, 1, "EXP(x * sin(y))") ) - 7.39981</f>
        <v>-0.13238283752521607</v>
      </c>
      <c r="J164" cm="1">
        <f t="array" ref="J164" xml:space="preserve"> mc(100, -PI()/2,0,-1, 1, "ln(EXP(x * y))")</f>
        <v>0.16367172682558312</v>
      </c>
      <c r="K164" cm="1">
        <f t="array" ref="K164" xml:space="preserve"> mc(500, -PI()/2,0,-1, 1, "ln(EXP(x * y))")</f>
        <v>1.2019848462692139E-3</v>
      </c>
      <c r="L164" cm="1">
        <f t="array" ref="L164" xml:space="preserve"> mc(1000, -PI()/2,0,-1, 1, "ln(EXP(x * y))")</f>
        <v>6.3133585779537663E-2</v>
      </c>
      <c r="N164" cm="1">
        <f t="array" ref="N164" xml:space="preserve"> mc(100, -PI()/2,PI()/2, 0, 1, "sin(cos(x + y))")-1.48235</f>
        <v>-3.0039285753037381E-2</v>
      </c>
      <c r="O164" cm="1">
        <f t="array" ref="O164" xml:space="preserve"> mc(500, -PI()/2,PI()/2, 0, 1, "sin(cos(x + y))")-1.48235</f>
        <v>-1.5222816381594839E-3</v>
      </c>
      <c r="P164" cm="1">
        <f t="array" ref="P164" xml:space="preserve"> mc(1000, -PI()/2,PI()/2, 0, 1, "sin(cos(x + y))")-1.48235</f>
        <v>2.2807786461614299E-2</v>
      </c>
    </row>
    <row r="165" spans="1:16" x14ac:dyDescent="0.3">
      <c r="A165">
        <v>135</v>
      </c>
      <c r="B165" cm="1">
        <f t="array" ref="B165" xml:space="preserve"> mc(100, 0, 4, 1, 2, "x^2+y^2")-92/3</f>
        <v>3.3349390974176707</v>
      </c>
      <c r="C165" cm="1">
        <f t="array" ref="C165" xml:space="preserve"> mc(500, 0, 4, 1, 2, "x^2+y^2")-92/3</f>
        <v>-1.7893778580629558</v>
      </c>
      <c r="D165" cm="1">
        <f t="array" ref="D165" xml:space="preserve"> mc(1000, 0, 4, 1, 2, "x^2+y^2")-92/3</f>
        <v>-0.28825505894144143</v>
      </c>
      <c r="F165" cm="1">
        <f t="array" ref="F165" xml:space="preserve"> ( mc(100, 3, 4, -1, 1, "EXP(x * sin(y))") ) - 7.39981</f>
        <v>0.50908101514769477</v>
      </c>
      <c r="G165" cm="1">
        <f t="array" ref="G165" xml:space="preserve"> ( mc(500, 3, 4, -1, 1, "EXP(x * sin(y))") ) - 7.39981</f>
        <v>-0.36966279477242914</v>
      </c>
      <c r="H165" cm="1">
        <f t="array" ref="H165" xml:space="preserve"> ( mc(1000, 3, 4, -1, 1, "EXP(x * sin(y))") ) - 7.39981</f>
        <v>0.29721996322481647</v>
      </c>
      <c r="J165" cm="1">
        <f t="array" ref="J165" xml:space="preserve"> mc(100, -PI()/2,0,-1, 1, "ln(EXP(x * y))")</f>
        <v>8.0466814193381545E-2</v>
      </c>
      <c r="K165" cm="1">
        <f t="array" ref="K165" xml:space="preserve"> mc(500, -PI()/2,0,-1, 1, "ln(EXP(x * y))")</f>
        <v>-5.1080286636744104E-2</v>
      </c>
      <c r="L165" cm="1">
        <f t="array" ref="L165" xml:space="preserve"> mc(1000, -PI()/2,0,-1, 1, "ln(EXP(x * y))")</f>
        <v>6.4127819085906118E-2</v>
      </c>
      <c r="N165" cm="1">
        <f t="array" ref="N165" xml:space="preserve"> mc(100, -PI()/2,PI()/2, 0, 1, "sin(cos(x + y))")-1.48235</f>
        <v>-5.4107539201663668E-2</v>
      </c>
      <c r="O165" cm="1">
        <f t="array" ref="O165" xml:space="preserve"> mc(500, -PI()/2,PI()/2, 0, 1, "sin(cos(x + y))")-1.48235</f>
        <v>-6.6847704102046768E-2</v>
      </c>
      <c r="P165" cm="1">
        <f t="array" ref="P165" xml:space="preserve"> mc(1000, -PI()/2,PI()/2, 0, 1, "sin(cos(x + y))")-1.48235</f>
        <v>1.3668871872734911E-2</v>
      </c>
    </row>
    <row r="166" spans="1:16" x14ac:dyDescent="0.3">
      <c r="A166">
        <v>136</v>
      </c>
      <c r="B166" cm="1">
        <f t="array" ref="B166" xml:space="preserve"> mc(100, 0, 4, 1, 2, "x^2+y^2")-92/3</f>
        <v>1.3285004142807573</v>
      </c>
      <c r="C166" cm="1">
        <f t="array" ref="C166" xml:space="preserve"> mc(500, 0, 4, 1, 2, "x^2+y^2")-92/3</f>
        <v>0.45983384658948978</v>
      </c>
      <c r="D166" cm="1">
        <f t="array" ref="D166" xml:space="preserve"> mc(1000, 0, 4, 1, 2, "x^2+y^2")-92/3</f>
        <v>-0.42121084621888016</v>
      </c>
      <c r="F166" cm="1">
        <f t="array" ref="F166" xml:space="preserve"> ( mc(100, 3, 4, -1, 1, "EXP(x * sin(y))") ) - 7.39981</f>
        <v>1.2609108519350087</v>
      </c>
      <c r="G166" cm="1">
        <f t="array" ref="G166" xml:space="preserve"> ( mc(500, 3, 4, -1, 1, "EXP(x * sin(y))") ) - 7.39981</f>
        <v>7.8828214261871921E-2</v>
      </c>
      <c r="H166" cm="1">
        <f t="array" ref="H166" xml:space="preserve"> ( mc(1000, 3, 4, -1, 1, "EXP(x * sin(y))") ) - 7.39981</f>
        <v>6.8246750794237698E-2</v>
      </c>
      <c r="J166" cm="1">
        <f t="array" ref="J166" xml:space="preserve"> mc(100, -PI()/2,0,-1, 1, "ln(EXP(x * y))")</f>
        <v>0.16830139073359521</v>
      </c>
      <c r="K166" cm="1">
        <f t="array" ref="K166" xml:space="preserve"> mc(500, -PI()/2,0,-1, 1, "ln(EXP(x * y))")</f>
        <v>1.1366297754032357E-2</v>
      </c>
      <c r="L166" cm="1">
        <f t="array" ref="L166" xml:space="preserve"> mc(1000, -PI()/2,0,-1, 1, "ln(EXP(x * y))")</f>
        <v>-2.8819787641505442E-2</v>
      </c>
      <c r="N166" cm="1">
        <f t="array" ref="N166" xml:space="preserve"> mc(100, -PI()/2,PI()/2, 0, 1, "sin(cos(x + y))")-1.48235</f>
        <v>-0.10607224067681686</v>
      </c>
      <c r="O166" cm="1">
        <f t="array" ref="O166" xml:space="preserve"> mc(500, -PI()/2,PI()/2, 0, 1, "sin(cos(x + y))")-1.48235</f>
        <v>9.0651678286974846E-3</v>
      </c>
      <c r="P166" cm="1">
        <f t="array" ref="P166" xml:space="preserve"> mc(1000, -PI()/2,PI()/2, 0, 1, "sin(cos(x + y))")-1.48235</f>
        <v>2.4508373131770123E-2</v>
      </c>
    </row>
    <row r="167" spans="1:16" x14ac:dyDescent="0.3">
      <c r="A167">
        <v>137</v>
      </c>
      <c r="B167" cm="1">
        <f t="array" ref="B167" xml:space="preserve"> mc(100, 0, 4, 1, 2, "x^2+y^2")-92/3</f>
        <v>-1.913555663946596</v>
      </c>
      <c r="C167" cm="1">
        <f t="array" ref="C167" xml:space="preserve"> mc(500, 0, 4, 1, 2, "x^2+y^2")-92/3</f>
        <v>0.73645072184930527</v>
      </c>
      <c r="D167" cm="1">
        <f t="array" ref="D167" xml:space="preserve"> mc(1000, 0, 4, 1, 2, "x^2+y^2")-92/3</f>
        <v>-0.52611568114354768</v>
      </c>
      <c r="F167" cm="1">
        <f t="array" ref="F167" xml:space="preserve"> ( mc(100, 3, 4, -1, 1, "EXP(x * sin(y))") ) - 7.39981</f>
        <v>0.36894900065663627</v>
      </c>
      <c r="G167" cm="1">
        <f t="array" ref="G167" xml:space="preserve"> ( mc(500, 3, 4, -1, 1, "EXP(x * sin(y))") ) - 7.39981</f>
        <v>-2.5381626959451786E-2</v>
      </c>
      <c r="H167" cm="1">
        <f t="array" ref="H167" xml:space="preserve"> ( mc(1000, 3, 4, -1, 1, "EXP(x * sin(y))") ) - 7.39981</f>
        <v>0.47432305497554506</v>
      </c>
      <c r="J167" cm="1">
        <f t="array" ref="J167" xml:space="preserve"> mc(100, -PI()/2,0,-1, 1, "ln(EXP(x * y))")</f>
        <v>5.8689595252420769E-2</v>
      </c>
      <c r="K167" cm="1">
        <f t="array" ref="K167" xml:space="preserve"> mc(500, -PI()/2,0,-1, 1, "ln(EXP(x * y))")</f>
        <v>0.12746101011412631</v>
      </c>
      <c r="L167" cm="1">
        <f t="array" ref="L167" xml:space="preserve"> mc(1000, -PI()/2,0,-1, 1, "ln(EXP(x * y))")</f>
        <v>-3.5087503139881251E-2</v>
      </c>
      <c r="N167" cm="1">
        <f t="array" ref="N167" xml:space="preserve"> mc(100, -PI()/2,PI()/2, 0, 1, "sin(cos(x + y))")-1.48235</f>
        <v>0.13733021819170999</v>
      </c>
      <c r="O167" cm="1">
        <f t="array" ref="O167" xml:space="preserve"> mc(500, -PI()/2,PI()/2, 0, 1, "sin(cos(x + y))")-1.48235</f>
        <v>-4.4208457468587925E-2</v>
      </c>
      <c r="P167" cm="1">
        <f t="array" ref="P167" xml:space="preserve"> mc(1000, -PI()/2,PI()/2, 0, 1, "sin(cos(x + y))")-1.48235</f>
        <v>-1.4599917310505806E-2</v>
      </c>
    </row>
    <row r="168" spans="1:16" x14ac:dyDescent="0.3">
      <c r="A168">
        <v>138</v>
      </c>
      <c r="B168" cm="1">
        <f t="array" ref="B168" xml:space="preserve"> mc(100, 0, 4, 1, 2, "x^2+y^2")-92/3</f>
        <v>-0.54175434612597329</v>
      </c>
      <c r="C168" cm="1">
        <f t="array" ref="C168" xml:space="preserve"> mc(500, 0, 4, 1, 2, "x^2+y^2")-92/3</f>
        <v>0.11824807709196605</v>
      </c>
      <c r="D168" cm="1">
        <f t="array" ref="D168" xml:space="preserve"> mc(1000, 0, 4, 1, 2, "x^2+y^2")-92/3</f>
        <v>-0.9357928460058389</v>
      </c>
      <c r="F168" cm="1">
        <f t="array" ref="F168" xml:space="preserve"> ( mc(100, 3, 4, -1, 1, "EXP(x * sin(y))") ) - 7.39981</f>
        <v>0.22061287122245954</v>
      </c>
      <c r="G168" cm="1">
        <f t="array" ref="G168" xml:space="preserve"> ( mc(500, 3, 4, -1, 1, "EXP(x * sin(y))") ) - 7.39981</f>
        <v>-0.46868999810020462</v>
      </c>
      <c r="H168" cm="1">
        <f t="array" ref="H168" xml:space="preserve"> ( mc(1000, 3, 4, -1, 1, "EXP(x * sin(y))") ) - 7.39981</f>
        <v>-0.1810077550361715</v>
      </c>
      <c r="J168" cm="1">
        <f t="array" ref="J168" xml:space="preserve"> mc(100, -PI()/2,0,-1, 1, "ln(EXP(x * y))")</f>
        <v>-3.2793387041860196E-2</v>
      </c>
      <c r="K168" cm="1">
        <f t="array" ref="K168" xml:space="preserve"> mc(500, -PI()/2,0,-1, 1, "ln(EXP(x * y))")</f>
        <v>-0.1761214873495327</v>
      </c>
      <c r="L168" cm="1">
        <f t="array" ref="L168" xml:space="preserve"> mc(1000, -PI()/2,0,-1, 1, "ln(EXP(x * y))")</f>
        <v>-1.5575987479983275E-2</v>
      </c>
      <c r="N168" cm="1">
        <f t="array" ref="N168" xml:space="preserve"> mc(100, -PI()/2,PI()/2, 0, 1, "sin(cos(x + y))")-1.48235</f>
        <v>0.15660071843064904</v>
      </c>
      <c r="O168" cm="1">
        <f t="array" ref="O168" xml:space="preserve"> mc(500, -PI()/2,PI()/2, 0, 1, "sin(cos(x + y))")-1.48235</f>
        <v>9.4421580758643486E-3</v>
      </c>
      <c r="P168" cm="1">
        <f t="array" ref="P168" xml:space="preserve"> mc(1000, -PI()/2,PI()/2, 0, 1, "sin(cos(x + y))")-1.48235</f>
        <v>-5.167558714161169E-2</v>
      </c>
    </row>
    <row r="169" spans="1:16" x14ac:dyDescent="0.3">
      <c r="A169">
        <v>139</v>
      </c>
      <c r="B169" cm="1">
        <f t="array" ref="B169" xml:space="preserve"> mc(100, 0, 4, 1, 2, "x^2+y^2")-92/3</f>
        <v>-0.50323053434950182</v>
      </c>
      <c r="C169" cm="1">
        <f t="array" ref="C169" xml:space="preserve"> mc(500, 0, 4, 1, 2, "x^2+y^2")-92/3</f>
        <v>-0.17474461772686922</v>
      </c>
      <c r="D169" cm="1">
        <f t="array" ref="D169" xml:space="preserve"> mc(1000, 0, 4, 1, 2, "x^2+y^2")-92/3</f>
        <v>-0.23599255842367484</v>
      </c>
      <c r="F169" cm="1">
        <f t="array" ref="F169" xml:space="preserve"> ( mc(100, 3, 4, -1, 1, "EXP(x * sin(y))") ) - 7.39981</f>
        <v>-1.041993985518503</v>
      </c>
      <c r="G169" cm="1">
        <f t="array" ref="G169" xml:space="preserve"> ( mc(500, 3, 4, -1, 1, "EXP(x * sin(y))") ) - 7.39981</f>
        <v>-0.5813945597950827</v>
      </c>
      <c r="H169" cm="1">
        <f t="array" ref="H169" xml:space="preserve"> ( mc(1000, 3, 4, -1, 1, "EXP(x * sin(y))") ) - 7.39981</f>
        <v>-0.15137984748042044</v>
      </c>
      <c r="J169" cm="1">
        <f t="array" ref="J169" xml:space="preserve"> mc(100, -PI()/2,0,-1, 1, "ln(EXP(x * y))")</f>
        <v>-6.4115710362239828E-2</v>
      </c>
      <c r="K169" cm="1">
        <f t="array" ref="K169" xml:space="preserve"> mc(500, -PI()/2,0,-1, 1, "ln(EXP(x * y))")</f>
        <v>-3.2213335410376812E-2</v>
      </c>
      <c r="L169" cm="1">
        <f t="array" ref="L169" xml:space="preserve"> mc(1000, -PI()/2,0,-1, 1, "ln(EXP(x * y))")</f>
        <v>-2.9604960040664003E-2</v>
      </c>
      <c r="N169" cm="1">
        <f t="array" ref="N169" xml:space="preserve"> mc(100, -PI()/2,PI()/2, 0, 1, "sin(cos(x + y))")-1.48235</f>
        <v>0.1479838500833397</v>
      </c>
      <c r="O169" cm="1">
        <f t="array" ref="O169" xml:space="preserve"> mc(500, -PI()/2,PI()/2, 0, 1, "sin(cos(x + y))")-1.48235</f>
        <v>0.11040304025741965</v>
      </c>
      <c r="P169" cm="1">
        <f t="array" ref="P169" xml:space="preserve"> mc(1000, -PI()/2,PI()/2, 0, 1, "sin(cos(x + y))")-1.48235</f>
        <v>4.6444245871640755E-2</v>
      </c>
    </row>
    <row r="170" spans="1:16" x14ac:dyDescent="0.3">
      <c r="A170">
        <v>140</v>
      </c>
      <c r="B170" cm="1">
        <f t="array" ref="B170" xml:space="preserve"> mc(100, 0, 4, 1, 2, "x^2+y^2")-92/3</f>
        <v>1.5201903783429351</v>
      </c>
      <c r="C170" cm="1">
        <f t="array" ref="C170" xml:space="preserve"> mc(500, 0, 4, 1, 2, "x^2+y^2")-92/3</f>
        <v>2.8690978064123129E-2</v>
      </c>
      <c r="D170" cm="1">
        <f t="array" ref="D170" xml:space="preserve"> mc(1000, 0, 4, 1, 2, "x^2+y^2")-92/3</f>
        <v>8.5499081530169718E-2</v>
      </c>
      <c r="F170" cm="1">
        <f t="array" ref="F170" xml:space="preserve"> ( mc(100, 3, 4, -1, 1, "EXP(x * sin(y))") ) - 7.39981</f>
        <v>1.0552309455140243</v>
      </c>
      <c r="G170" cm="1">
        <f t="array" ref="G170" xml:space="preserve"> ( mc(500, 3, 4, -1, 1, "EXP(x * sin(y))") ) - 7.39981</f>
        <v>-0.52149252167610882</v>
      </c>
      <c r="H170" cm="1">
        <f t="array" ref="H170" xml:space="preserve"> ( mc(1000, 3, 4, -1, 1, "EXP(x * sin(y))") ) - 7.39981</f>
        <v>-6.3009251017708934E-2</v>
      </c>
      <c r="J170" cm="1">
        <f t="array" ref="J170" xml:space="preserve"> mc(100, -PI()/2,0,-1, 1, "ln(EXP(x * y))")</f>
        <v>-2.1675571481059652E-2</v>
      </c>
      <c r="K170" cm="1">
        <f t="array" ref="K170" xml:space="preserve"> mc(500, -PI()/2,0,-1, 1, "ln(EXP(x * y))")</f>
        <v>-9.8522067563649229E-2</v>
      </c>
      <c r="L170" cm="1">
        <f t="array" ref="L170" xml:space="preserve"> mc(1000, -PI()/2,0,-1, 1, "ln(EXP(x * y))")</f>
        <v>-6.5719852969473636E-2</v>
      </c>
      <c r="N170" cm="1">
        <f t="array" ref="N170" xml:space="preserve"> mc(100, -PI()/2,PI()/2, 0, 1, "sin(cos(x + y))")-1.48235</f>
        <v>7.6646117978803385E-2</v>
      </c>
      <c r="O170" cm="1">
        <f t="array" ref="O170" xml:space="preserve"> mc(500, -PI()/2,PI()/2, 0, 1, "sin(cos(x + y))")-1.48235</f>
        <v>-6.5864089168943041E-2</v>
      </c>
      <c r="P170" cm="1">
        <f t="array" ref="P170" xml:space="preserve"> mc(1000, -PI()/2,PI()/2, 0, 1, "sin(cos(x + y))")-1.48235</f>
        <v>1.7303283172190431E-2</v>
      </c>
    </row>
    <row r="171" spans="1:16" x14ac:dyDescent="0.3">
      <c r="A171">
        <v>141</v>
      </c>
      <c r="B171" cm="1">
        <f t="array" ref="B171" xml:space="preserve"> mc(100, 0, 4, 1, 2, "x^2+y^2")-92/3</f>
        <v>0.77180779747093453</v>
      </c>
      <c r="C171" cm="1">
        <f t="array" ref="C171" xml:space="preserve"> mc(500, 0, 4, 1, 2, "x^2+y^2")-92/3</f>
        <v>-0.10861776786154209</v>
      </c>
      <c r="D171" cm="1">
        <f t="array" ref="D171" xml:space="preserve"> mc(1000, 0, 4, 1, 2, "x^2+y^2")-92/3</f>
        <v>-0.52885548295500939</v>
      </c>
      <c r="F171" cm="1">
        <f t="array" ref="F171" xml:space="preserve"> ( mc(100, 3, 4, -1, 1, "EXP(x * sin(y))") ) - 7.39981</f>
        <v>-1.1162225779017474</v>
      </c>
      <c r="G171" cm="1">
        <f t="array" ref="G171" xml:space="preserve"> ( mc(500, 3, 4, -1, 1, "EXP(x * sin(y))") ) - 7.39981</f>
        <v>-0.60954666656870415</v>
      </c>
      <c r="H171" cm="1">
        <f t="array" ref="H171" xml:space="preserve"> ( mc(1000, 3, 4, -1, 1, "EXP(x * sin(y))") ) - 7.39981</f>
        <v>-0.46784603485428899</v>
      </c>
      <c r="J171" cm="1">
        <f t="array" ref="J171" xml:space="preserve"> mc(100, -PI()/2,0,-1, 1, "ln(EXP(x * y))")</f>
        <v>-0.26280617272000634</v>
      </c>
      <c r="K171" cm="1">
        <f t="array" ref="K171" xml:space="preserve"> mc(500, -PI()/2,0,-1, 1, "ln(EXP(x * y))")</f>
        <v>-4.9784236306842568E-2</v>
      </c>
      <c r="L171" cm="1">
        <f t="array" ref="L171" xml:space="preserve"> mc(1000, -PI()/2,0,-1, 1, "ln(EXP(x * y))")</f>
        <v>1.3672305568910692E-2</v>
      </c>
      <c r="N171" cm="1">
        <f t="array" ref="N171" xml:space="preserve"> mc(100, -PI()/2,PI()/2, 0, 1, "sin(cos(x + y))")-1.48235</f>
        <v>0.14618881407273943</v>
      </c>
      <c r="O171" cm="1">
        <f t="array" ref="O171" xml:space="preserve"> mc(500, -PI()/2,PI()/2, 0, 1, "sin(cos(x + y))")-1.48235</f>
        <v>0.10880512221636907</v>
      </c>
      <c r="P171" cm="1">
        <f t="array" ref="P171" xml:space="preserve"> mc(1000, -PI()/2,PI()/2, 0, 1, "sin(cos(x + y))")-1.48235</f>
        <v>6.1058952180506054E-3</v>
      </c>
    </row>
    <row r="172" spans="1:16" x14ac:dyDescent="0.3">
      <c r="A172">
        <v>142</v>
      </c>
      <c r="B172" cm="1">
        <f t="array" ref="B172" xml:space="preserve"> mc(100, 0, 4, 1, 2, "x^2+y^2")-92/3</f>
        <v>3.7537405712044212</v>
      </c>
      <c r="C172" cm="1">
        <f t="array" ref="C172" xml:space="preserve"> mc(500, 0, 4, 1, 2, "x^2+y^2")-92/3</f>
        <v>-3.0195131158521349E-2</v>
      </c>
      <c r="D172" cm="1">
        <f t="array" ref="D172" xml:space="preserve"> mc(1000, 0, 4, 1, 2, "x^2+y^2")-92/3</f>
        <v>1.2359907600210107</v>
      </c>
      <c r="F172" cm="1">
        <f t="array" ref="F172" xml:space="preserve"> ( mc(100, 3, 4, -1, 1, "EXP(x * sin(y))") ) - 7.39981</f>
        <v>1.5269659027053333</v>
      </c>
      <c r="G172" cm="1">
        <f t="array" ref="G172" xml:space="preserve"> ( mc(500, 3, 4, -1, 1, "EXP(x * sin(y))") ) - 7.39981</f>
        <v>7.4069966364492146E-2</v>
      </c>
      <c r="H172" cm="1">
        <f t="array" ref="H172" xml:space="preserve"> ( mc(1000, 3, 4, -1, 1, "EXP(x * sin(y))") ) - 7.39981</f>
        <v>0.36140568074092805</v>
      </c>
      <c r="J172" cm="1">
        <f t="array" ref="J172" xml:space="preserve"> mc(100, -PI()/2,0,-1, 1, "ln(EXP(x * y))")</f>
        <v>-4.9302062097572423E-2</v>
      </c>
      <c r="K172" cm="1">
        <f t="array" ref="K172" xml:space="preserve"> mc(500, -PI()/2,0,-1, 1, "ln(EXP(x * y))")</f>
        <v>3.6254821478918398E-2</v>
      </c>
      <c r="L172" cm="1">
        <f t="array" ref="L172" xml:space="preserve"> mc(1000, -PI()/2,0,-1, 1, "ln(EXP(x * y))")</f>
        <v>1.627326530920057E-2</v>
      </c>
      <c r="N172" cm="1">
        <f t="array" ref="N172" xml:space="preserve"> mc(100, -PI()/2,PI()/2, 0, 1, "sin(cos(x + y))")-1.48235</f>
        <v>-3.056048447965698E-2</v>
      </c>
      <c r="O172" cm="1">
        <f t="array" ref="O172" xml:space="preserve"> mc(500, -PI()/2,PI()/2, 0, 1, "sin(cos(x + y))")-1.48235</f>
        <v>-1.9854919783051317E-2</v>
      </c>
      <c r="P172" cm="1">
        <f t="array" ref="P172" xml:space="preserve"> mc(1000, -PI()/2,PI()/2, 0, 1, "sin(cos(x + y))")-1.48235</f>
        <v>3.6717070576512967E-3</v>
      </c>
    </row>
    <row r="173" spans="1:16" x14ac:dyDescent="0.3">
      <c r="A173">
        <v>143</v>
      </c>
      <c r="B173" cm="1">
        <f t="array" ref="B173" xml:space="preserve"> mc(100, 0, 4, 1, 2, "x^2+y^2")-92/3</f>
        <v>-0.35511156635443797</v>
      </c>
      <c r="C173" cm="1">
        <f t="array" ref="C173" xml:space="preserve"> mc(500, 0, 4, 1, 2, "x^2+y^2")-92/3</f>
        <v>0.27705191941165452</v>
      </c>
      <c r="D173" cm="1">
        <f t="array" ref="D173" xml:space="preserve"> mc(1000, 0, 4, 1, 2, "x^2+y^2")-92/3</f>
        <v>-0.20152131051662536</v>
      </c>
      <c r="F173" cm="1">
        <f t="array" ref="F173" xml:space="preserve"> ( mc(100, 3, 4, -1, 1, "EXP(x * sin(y))") ) - 7.39981</f>
        <v>0.397281640044711</v>
      </c>
      <c r="G173" cm="1">
        <f t="array" ref="G173" xml:space="preserve"> ( mc(500, 3, 4, -1, 1, "EXP(x * sin(y))") ) - 7.39981</f>
        <v>0.62316347167891273</v>
      </c>
      <c r="H173" cm="1">
        <f t="array" ref="H173" xml:space="preserve"> ( mc(1000, 3, 4, -1, 1, "EXP(x * sin(y))") ) - 7.39981</f>
        <v>-0.11300894325900224</v>
      </c>
      <c r="J173" cm="1">
        <f t="array" ref="J173" xml:space="preserve"> mc(100, -PI()/2,0,-1, 1, "ln(EXP(x * y))")</f>
        <v>8.5785425383009525E-2</v>
      </c>
      <c r="K173" cm="1">
        <f t="array" ref="K173" xml:space="preserve"> mc(500, -PI()/2,0,-1, 1, "ln(EXP(x * y))")</f>
        <v>2.3453148098525091E-2</v>
      </c>
      <c r="L173" cm="1">
        <f t="array" ref="L173" xml:space="preserve"> mc(1000, -PI()/2,0,-1, 1, "ln(EXP(x * y))")</f>
        <v>7.3454878798269341E-2</v>
      </c>
      <c r="N173" cm="1">
        <f t="array" ref="N173" xml:space="preserve"> mc(100, -PI()/2,PI()/2, 0, 1, "sin(cos(x + y))")-1.48235</f>
        <v>0.11845485674662282</v>
      </c>
      <c r="O173" cm="1">
        <f t="array" ref="O173" xml:space="preserve"> mc(500, -PI()/2,PI()/2, 0, 1, "sin(cos(x + y))")-1.48235</f>
        <v>3.0959073727983899E-2</v>
      </c>
      <c r="P173" cm="1">
        <f t="array" ref="P173" xml:space="preserve"> mc(1000, -PI()/2,PI()/2, 0, 1, "sin(cos(x + y))")-1.48235</f>
        <v>-1.8849991069476824E-2</v>
      </c>
    </row>
    <row r="174" spans="1:16" x14ac:dyDescent="0.3">
      <c r="A174">
        <v>144</v>
      </c>
      <c r="B174" cm="1">
        <f t="array" ref="B174" xml:space="preserve"> mc(100, 0, 4, 1, 2, "x^2+y^2")-92/3</f>
        <v>3.5419471908351596E-2</v>
      </c>
      <c r="C174" cm="1">
        <f t="array" ref="C174" xml:space="preserve"> mc(500, 0, 4, 1, 2, "x^2+y^2")-92/3</f>
        <v>-0.89094653203022034</v>
      </c>
      <c r="D174" cm="1">
        <f t="array" ref="D174" xml:space="preserve"> mc(1000, 0, 4, 1, 2, "x^2+y^2")-92/3</f>
        <v>0.85802387123363744</v>
      </c>
      <c r="F174" cm="1">
        <f t="array" ref="F174" xml:space="preserve"> ( mc(100, 3, 4, -1, 1, "EXP(x * sin(y))") ) - 7.39981</f>
        <v>1.0344306958317873</v>
      </c>
      <c r="G174" cm="1">
        <f t="array" ref="G174" xml:space="preserve"> ( mc(500, 3, 4, -1, 1, "EXP(x * sin(y))") ) - 7.39981</f>
        <v>-0.48688978271607031</v>
      </c>
      <c r="H174" cm="1">
        <f t="array" ref="H174" xml:space="preserve"> ( mc(1000, 3, 4, -1, 1, "EXP(x * sin(y))") ) - 7.39981</f>
        <v>0.47444646668938972</v>
      </c>
      <c r="J174" cm="1">
        <f t="array" ref="J174" xml:space="preserve"> mc(100, -PI()/2,0,-1, 1, "ln(EXP(x * y))")</f>
        <v>1.0599318988524415E-2</v>
      </c>
      <c r="K174" cm="1">
        <f t="array" ref="K174" xml:space="preserve"> mc(500, -PI()/2,0,-1, 1, "ln(EXP(x * y))")</f>
        <v>-9.7932385309907638E-2</v>
      </c>
      <c r="L174" cm="1">
        <f t="array" ref="L174" xml:space="preserve"> mc(1000, -PI()/2,0,-1, 1, "ln(EXP(x * y))")</f>
        <v>-9.152646683192861E-2</v>
      </c>
      <c r="N174" cm="1">
        <f t="array" ref="N174" xml:space="preserve"> mc(100, -PI()/2,PI()/2, 0, 1, "sin(cos(x + y))")-1.48235</f>
        <v>-1.2404405418189324E-3</v>
      </c>
      <c r="O174" cm="1">
        <f t="array" ref="O174" xml:space="preserve"> mc(500, -PI()/2,PI()/2, 0, 1, "sin(cos(x + y))")-1.48235</f>
        <v>-0.15567900359583686</v>
      </c>
      <c r="P174" cm="1">
        <f t="array" ref="P174" xml:space="preserve"> mc(1000, -PI()/2,PI()/2, 0, 1, "sin(cos(x + y))")-1.48235</f>
        <v>-4.5105761746802031E-2</v>
      </c>
    </row>
    <row r="175" spans="1:16" x14ac:dyDescent="0.3">
      <c r="A175">
        <v>145</v>
      </c>
      <c r="B175" cm="1">
        <f t="array" ref="B175" xml:space="preserve"> mc(100, 0, 4, 1, 2, "x^2+y^2")-92/3</f>
        <v>-4.1830071526146035</v>
      </c>
      <c r="C175" cm="1">
        <f t="array" ref="C175" xml:space="preserve"> mc(500, 0, 4, 1, 2, "x^2+y^2")-92/3</f>
        <v>0.25330439871616761</v>
      </c>
      <c r="D175" cm="1">
        <f t="array" ref="D175" xml:space="preserve"> mc(1000, 0, 4, 1, 2, "x^2+y^2")-92/3</f>
        <v>1.5445726746183617</v>
      </c>
      <c r="F175" cm="1">
        <f t="array" ref="F175" xml:space="preserve"> ( mc(100, 3, 4, -1, 1, "EXP(x * sin(y))") ) - 7.39981</f>
        <v>0.48677500064817281</v>
      </c>
      <c r="G175" cm="1">
        <f t="array" ref="G175" xml:space="preserve"> ( mc(500, 3, 4, -1, 1, "EXP(x * sin(y))") ) - 7.39981</f>
        <v>4.1739284160676071E-2</v>
      </c>
      <c r="H175" cm="1">
        <f t="array" ref="H175" xml:space="preserve"> ( mc(1000, 3, 4, -1, 1, "EXP(x * sin(y))") ) - 7.39981</f>
        <v>-0.58323692435760144</v>
      </c>
      <c r="J175" cm="1">
        <f t="array" ref="J175" xml:space="preserve"> mc(100, -PI()/2,0,-1, 1, "ln(EXP(x * y))")</f>
        <v>0.12721757500859182</v>
      </c>
      <c r="K175" cm="1">
        <f t="array" ref="K175" xml:space="preserve"> mc(500, -PI()/2,0,-1, 1, "ln(EXP(x * y))")</f>
        <v>7.7146012084284487E-3</v>
      </c>
      <c r="L175" cm="1">
        <f t="array" ref="L175" xml:space="preserve"> mc(1000, -PI()/2,0,-1, 1, "ln(EXP(x * y))")</f>
        <v>3.9421084820086195E-2</v>
      </c>
      <c r="N175" cm="1">
        <f t="array" ref="N175" xml:space="preserve"> mc(100, -PI()/2,PI()/2, 0, 1, "sin(cos(x + y))")-1.48235</f>
        <v>1.5779513575546744E-2</v>
      </c>
      <c r="O175" cm="1">
        <f t="array" ref="O175" xml:space="preserve"> mc(500, -PI()/2,PI()/2, 0, 1, "sin(cos(x + y))")-1.48235</f>
        <v>-1.2955590917064219E-2</v>
      </c>
      <c r="P175" cm="1">
        <f t="array" ref="P175" xml:space="preserve"> mc(1000, -PI()/2,PI()/2, 0, 1, "sin(cos(x + y))")-1.48235</f>
        <v>1.3282062691756913E-2</v>
      </c>
    </row>
    <row r="176" spans="1:16" x14ac:dyDescent="0.3">
      <c r="A176">
        <v>146</v>
      </c>
      <c r="B176" cm="1">
        <f t="array" ref="B176" xml:space="preserve"> mc(100, 0, 4, 1, 2, "x^2+y^2")-92/3</f>
        <v>-1.9512511286053282</v>
      </c>
      <c r="C176" cm="1">
        <f t="array" ref="C176" xml:space="preserve"> mc(500, 0, 4, 1, 2, "x^2+y^2")-92/3</f>
        <v>-0.82039697415795132</v>
      </c>
      <c r="D176" cm="1">
        <f t="array" ref="D176" xml:space="preserve"> mc(1000, 0, 4, 1, 2, "x^2+y^2")-92/3</f>
        <v>-0.47696886685451645</v>
      </c>
      <c r="F176" cm="1">
        <f t="array" ref="F176" xml:space="preserve"> ( mc(100, 3, 4, -1, 1, "EXP(x * sin(y))") ) - 7.39981</f>
        <v>-0.49506340007620953</v>
      </c>
      <c r="G176" cm="1">
        <f t="array" ref="G176" xml:space="preserve"> ( mc(500, 3, 4, -1, 1, "EXP(x * sin(y))") ) - 7.39981</f>
        <v>-0.25540287750645696</v>
      </c>
      <c r="H176" cm="1">
        <f t="array" ref="H176" xml:space="preserve"> ( mc(1000, 3, 4, -1, 1, "EXP(x * sin(y))") ) - 7.39981</f>
        <v>0.38907386242831254</v>
      </c>
      <c r="J176" cm="1">
        <f t="array" ref="J176" xml:space="preserve"> mc(100, -PI()/2,0,-1, 1, "ln(EXP(x * y))")</f>
        <v>8.6174168504704551E-2</v>
      </c>
      <c r="K176" cm="1">
        <f t="array" ref="K176" xml:space="preserve"> mc(500, -PI()/2,0,-1, 1, "ln(EXP(x * y))")</f>
        <v>4.0624322787153312E-2</v>
      </c>
      <c r="L176" cm="1">
        <f t="array" ref="L176" xml:space="preserve"> mc(1000, -PI()/2,0,-1, 1, "ln(EXP(x * y))")</f>
        <v>1.1675193581817957E-2</v>
      </c>
      <c r="N176" cm="1">
        <f t="array" ref="N176" xml:space="preserve"> mc(100, -PI()/2,PI()/2, 0, 1, "sin(cos(x + y))")-1.48235</f>
        <v>-0.24149490640146309</v>
      </c>
      <c r="O176" cm="1">
        <f t="array" ref="O176" xml:space="preserve"> mc(500, -PI()/2,PI()/2, 0, 1, "sin(cos(x + y))")-1.48235</f>
        <v>1.1082432913261719E-2</v>
      </c>
      <c r="P176" cm="1">
        <f t="array" ref="P176" xml:space="preserve"> mc(1000, -PI()/2,PI()/2, 0, 1, "sin(cos(x + y))")-1.48235</f>
        <v>-3.1707277978429982E-3</v>
      </c>
    </row>
    <row r="177" spans="1:16" x14ac:dyDescent="0.3">
      <c r="A177">
        <v>147</v>
      </c>
      <c r="B177" cm="1">
        <f t="array" ref="B177" xml:space="preserve"> mc(100, 0, 4, 1, 2, "x^2+y^2")-92/3</f>
        <v>-1.7036815385111765</v>
      </c>
      <c r="C177" cm="1">
        <f t="array" ref="C177" xml:space="preserve"> mc(500, 0, 4, 1, 2, "x^2+y^2")-92/3</f>
        <v>0.82393192296247264</v>
      </c>
      <c r="D177" cm="1">
        <f t="array" ref="D177" xml:space="preserve"> mc(1000, 0, 4, 1, 2, "x^2+y^2")-92/3</f>
        <v>-0.61257181384897308</v>
      </c>
      <c r="F177" cm="1">
        <f t="array" ref="F177" xml:space="preserve"> ( mc(100, 3, 4, -1, 1, "EXP(x * sin(y))") ) - 7.39981</f>
        <v>-0.25300269353157567</v>
      </c>
      <c r="G177" cm="1">
        <f t="array" ref="G177" xml:space="preserve"> ( mc(500, 3, 4, -1, 1, "EXP(x * sin(y))") ) - 7.39981</f>
        <v>0.1010774700738013</v>
      </c>
      <c r="H177" cm="1">
        <f t="array" ref="H177" xml:space="preserve"> ( mc(1000, 3, 4, -1, 1, "EXP(x * sin(y))") ) - 7.39981</f>
        <v>-1.9012077491923129E-2</v>
      </c>
      <c r="J177" cm="1">
        <f t="array" ref="J177" xml:space="preserve"> mc(100, -PI()/2,0,-1, 1, "ln(EXP(x * y))")</f>
        <v>8.6258038224621178E-2</v>
      </c>
      <c r="K177" cm="1">
        <f t="array" ref="K177" xml:space="preserve"> mc(500, -PI()/2,0,-1, 1, "ln(EXP(x * y))")</f>
        <v>-3.7244504009422322E-2</v>
      </c>
      <c r="L177" cm="1">
        <f t="array" ref="L177" xml:space="preserve"> mc(1000, -PI()/2,0,-1, 1, "ln(EXP(x * y))")</f>
        <v>2.3112786439379168E-2</v>
      </c>
      <c r="N177" cm="1">
        <f t="array" ref="N177" xml:space="preserve"> mc(100, -PI()/2,PI()/2, 0, 1, "sin(cos(x + y))")-1.48235</f>
        <v>-0.28483965264756694</v>
      </c>
      <c r="O177" cm="1">
        <f t="array" ref="O177" xml:space="preserve"> mc(500, -PI()/2,PI()/2, 0, 1, "sin(cos(x + y))")-1.48235</f>
        <v>-1.2963406978147685E-2</v>
      </c>
      <c r="P177" cm="1">
        <f t="array" ref="P177" xml:space="preserve"> mc(1000, -PI()/2,PI()/2, 0, 1, "sin(cos(x + y))")-1.48235</f>
        <v>-6.1893403887425036E-2</v>
      </c>
    </row>
    <row r="178" spans="1:16" x14ac:dyDescent="0.3">
      <c r="A178">
        <v>148</v>
      </c>
      <c r="B178" cm="1">
        <f t="array" ref="B178" xml:space="preserve"> mc(100, 0, 4, 1, 2, "x^2+y^2")-92/3</f>
        <v>-1.7618129196355561</v>
      </c>
      <c r="C178" cm="1">
        <f t="array" ref="C178" xml:space="preserve"> mc(500, 0, 4, 1, 2, "x^2+y^2")-92/3</f>
        <v>5.8098709110439017E-3</v>
      </c>
      <c r="D178" cm="1">
        <f t="array" ref="D178" xml:space="preserve"> mc(1000, 0, 4, 1, 2, "x^2+y^2")-92/3</f>
        <v>-0.66428055792439977</v>
      </c>
      <c r="F178" cm="1">
        <f t="array" ref="F178" xml:space="preserve"> ( mc(100, 3, 4, -1, 1, "EXP(x * sin(y))") ) - 7.39981</f>
        <v>0.62961103155057785</v>
      </c>
      <c r="G178" cm="1">
        <f t="array" ref="G178" xml:space="preserve"> ( mc(500, 3, 4, -1, 1, "EXP(x * sin(y))") ) - 7.39981</f>
        <v>0.50823454241736155</v>
      </c>
      <c r="H178" cm="1">
        <f t="array" ref="H178" xml:space="preserve"> ( mc(1000, 3, 4, -1, 1, "EXP(x * sin(y))") ) - 7.39981</f>
        <v>0.19620946536860284</v>
      </c>
      <c r="J178" cm="1">
        <f t="array" ref="J178" xml:space="preserve"> mc(100, -PI()/2,0,-1, 1, "ln(EXP(x * y))")</f>
        <v>-0.35764290505507912</v>
      </c>
      <c r="K178" cm="1">
        <f t="array" ref="K178" xml:space="preserve"> mc(500, -PI()/2,0,-1, 1, "ln(EXP(x * y))")</f>
        <v>-5.1926404128807682E-2</v>
      </c>
      <c r="L178" cm="1">
        <f t="array" ref="L178" xml:space="preserve"> mc(1000, -PI()/2,0,-1, 1, "ln(EXP(x * y))")</f>
        <v>-0.1152758356818455</v>
      </c>
      <c r="N178" cm="1">
        <f t="array" ref="N178" xml:space="preserve"> mc(100, -PI()/2,PI()/2, 0, 1, "sin(cos(x + y))")-1.48235</f>
        <v>3.7373592992015814E-2</v>
      </c>
      <c r="O178" cm="1">
        <f t="array" ref="O178" xml:space="preserve"> mc(500, -PI()/2,PI()/2, 0, 1, "sin(cos(x + y))")-1.48235</f>
        <v>-0.11208741587431104</v>
      </c>
      <c r="P178" cm="1">
        <f t="array" ref="P178" xml:space="preserve"> mc(1000, -PI()/2,PI()/2, 0, 1, "sin(cos(x + y))")-1.48235</f>
        <v>-4.4676196070654317E-3</v>
      </c>
    </row>
    <row r="179" spans="1:16" x14ac:dyDescent="0.3">
      <c r="A179">
        <v>149</v>
      </c>
      <c r="B179" cm="1">
        <f t="array" ref="B179" xml:space="preserve"> mc(100, 0, 4, 1, 2, "x^2+y^2")-92/3</f>
        <v>1.2734572926969996</v>
      </c>
      <c r="C179" cm="1">
        <f t="array" ref="C179" xml:space="preserve"> mc(500, 0, 4, 1, 2, "x^2+y^2")-92/3</f>
        <v>-0.41325139485179108</v>
      </c>
      <c r="D179" cm="1">
        <f t="array" ref="D179" xml:space="preserve"> mc(1000, 0, 4, 1, 2, "x^2+y^2")-92/3</f>
        <v>7.4945568577433619E-3</v>
      </c>
      <c r="F179" cm="1">
        <f t="array" ref="F179" xml:space="preserve"> ( mc(100, 3, 4, -1, 1, "EXP(x * sin(y))") ) - 7.39981</f>
        <v>-0.98313556676926073</v>
      </c>
      <c r="G179" cm="1">
        <f t="array" ref="G179" xml:space="preserve"> ( mc(500, 3, 4, -1, 1, "EXP(x * sin(y))") ) - 7.39981</f>
        <v>0.34451507105560975</v>
      </c>
      <c r="H179" cm="1">
        <f t="array" ref="H179" xml:space="preserve"> ( mc(1000, 3, 4, -1, 1, "EXP(x * sin(y))") ) - 7.39981</f>
        <v>0.59245972880583153</v>
      </c>
      <c r="J179" cm="1">
        <f t="array" ref="J179" xml:space="preserve"> mc(100, -PI()/2,0,-1, 1, "ln(EXP(x * y))")</f>
        <v>-2.5510065217325133E-3</v>
      </c>
      <c r="K179" cm="1">
        <f t="array" ref="K179" xml:space="preserve"> mc(500, -PI()/2,0,-1, 1, "ln(EXP(x * y))")</f>
        <v>2.9275079429895386E-2</v>
      </c>
      <c r="L179" cm="1">
        <f t="array" ref="L179" xml:space="preserve"> mc(1000, -PI()/2,0,-1, 1, "ln(EXP(x * y))")</f>
        <v>-8.1043597268618636E-2</v>
      </c>
      <c r="N179" cm="1">
        <f t="array" ref="N179" xml:space="preserve"> mc(100, -PI()/2,PI()/2, 0, 1, "sin(cos(x + y))")-1.48235</f>
        <v>-0.10422024352075865</v>
      </c>
      <c r="O179" cm="1">
        <f t="array" ref="O179" xml:space="preserve"> mc(500, -PI()/2,PI()/2, 0, 1, "sin(cos(x + y))")-1.48235</f>
        <v>-8.029600842152429E-2</v>
      </c>
      <c r="P179" cm="1">
        <f t="array" ref="P179" xml:space="preserve"> mc(1000, -PI()/2,PI()/2, 0, 1, "sin(cos(x + y))")-1.48235</f>
        <v>-1.783343127592385E-2</v>
      </c>
    </row>
    <row r="180" spans="1:16" x14ac:dyDescent="0.3">
      <c r="A180">
        <v>150</v>
      </c>
      <c r="B180" cm="1">
        <f t="array" ref="B180" xml:space="preserve"> mc(100, 0, 4, 1, 2, "x^2+y^2")-92/3</f>
        <v>3.689852528897557</v>
      </c>
      <c r="C180" cm="1">
        <f t="array" ref="C180" xml:space="preserve"> mc(500, 0, 4, 1, 2, "x^2+y^2")-92/3</f>
        <v>-0.37232316680035638</v>
      </c>
      <c r="D180" cm="1">
        <f t="array" ref="D180" xml:space="preserve"> mc(1000, 0, 4, 1, 2, "x^2+y^2")-92/3</f>
        <v>0.8312316522490022</v>
      </c>
      <c r="F180" cm="1">
        <f t="array" ref="F180" xml:space="preserve"> ( mc(100, 3, 4, -1, 1, "EXP(x * sin(y))") ) - 7.39981</f>
        <v>-0.36756677305866692</v>
      </c>
      <c r="G180" cm="1">
        <f t="array" ref="G180" xml:space="preserve"> ( mc(500, 3, 4, -1, 1, "EXP(x * sin(y))") ) - 7.39981</f>
        <v>-0.36118704280323044</v>
      </c>
      <c r="H180" cm="1">
        <f t="array" ref="H180" xml:space="preserve"> ( mc(1000, 3, 4, -1, 1, "EXP(x * sin(y))") ) - 7.39981</f>
        <v>6.1205152313276834E-2</v>
      </c>
      <c r="J180" cm="1">
        <f t="array" ref="J180" xml:space="preserve"> mc(100, -PI()/2,0,-1, 1, "ln(EXP(x * y))")</f>
        <v>-3.5353396680206123E-2</v>
      </c>
      <c r="K180" cm="1">
        <f t="array" ref="K180" xml:space="preserve"> mc(500, -PI()/2,0,-1, 1, "ln(EXP(x * y))")</f>
        <v>-5.9061197022229735E-2</v>
      </c>
      <c r="L180" cm="1">
        <f t="array" ref="L180" xml:space="preserve"> mc(1000, -PI()/2,0,-1, 1, "ln(EXP(x * y))")</f>
        <v>3.9671683828525206E-3</v>
      </c>
      <c r="N180" cm="1">
        <f t="array" ref="N180" xml:space="preserve"> mc(100, -PI()/2,PI()/2, 0, 1, "sin(cos(x + y))")-1.48235</f>
        <v>0.11883148809991195</v>
      </c>
      <c r="O180" cm="1">
        <f t="array" ref="O180" xml:space="preserve"> mc(500, -PI()/2,PI()/2, 0, 1, "sin(cos(x + y))")-1.48235</f>
        <v>0.10509946756291622</v>
      </c>
      <c r="P180" cm="1">
        <f t="array" ref="P180" xml:space="preserve"> mc(1000, -PI()/2,PI()/2, 0, 1, "sin(cos(x + y))")-1.48235</f>
        <v>1.6173426032213278E-3</v>
      </c>
    </row>
    <row r="181" spans="1:16" x14ac:dyDescent="0.3">
      <c r="A181">
        <v>151</v>
      </c>
      <c r="B181" cm="1">
        <f t="array" ref="B181" xml:space="preserve"> mc(100, 0, 4, 1, 2, "x^2+y^2")-92/3</f>
        <v>-0.11561784109111528</v>
      </c>
      <c r="C181" cm="1">
        <f t="array" ref="C181" xml:space="preserve"> mc(500, 0, 4, 1, 2, "x^2+y^2")-92/3</f>
        <v>-1.3698439467301462</v>
      </c>
      <c r="D181" cm="1">
        <f t="array" ref="D181" xml:space="preserve"> mc(1000, 0, 4, 1, 2, "x^2+y^2")-92/3</f>
        <v>-0.48918959254898553</v>
      </c>
      <c r="F181" cm="1">
        <f t="array" ref="F181" xml:space="preserve"> ( mc(100, 3, 4, -1, 1, "EXP(x * sin(y))") ) - 7.39981</f>
        <v>3.5601342924178994</v>
      </c>
      <c r="G181" cm="1">
        <f t="array" ref="G181" xml:space="preserve"> ( mc(500, 3, 4, -1, 1, "EXP(x * sin(y))") ) - 7.39981</f>
        <v>0.50348001822243926</v>
      </c>
      <c r="H181" cm="1">
        <f t="array" ref="H181" xml:space="preserve"> ( mc(1000, 3, 4, -1, 1, "EXP(x * sin(y))") ) - 7.39981</f>
        <v>8.0017163542995817E-3</v>
      </c>
      <c r="J181" cm="1">
        <f t="array" ref="J181" xml:space="preserve"> mc(100, -PI()/2,0,-1, 1, "ln(EXP(x * y))")</f>
        <v>-0.22126167290496188</v>
      </c>
      <c r="K181" cm="1">
        <f t="array" ref="K181" xml:space="preserve"> mc(500, -PI()/2,0,-1, 1, "ln(EXP(x * y))")</f>
        <v>1.394509099126506E-2</v>
      </c>
      <c r="L181" cm="1">
        <f t="array" ref="L181" xml:space="preserve"> mc(1000, -PI()/2,0,-1, 1, "ln(EXP(x * y))")</f>
        <v>-6.1604785971660088E-2</v>
      </c>
      <c r="N181" cm="1">
        <f t="array" ref="N181" xml:space="preserve"> mc(100, -PI()/2,PI()/2, 0, 1, "sin(cos(x + y))")-1.48235</f>
        <v>-0.1045302533775212</v>
      </c>
      <c r="O181" cm="1">
        <f t="array" ref="O181" xml:space="preserve"> mc(500, -PI()/2,PI()/2, 0, 1, "sin(cos(x + y))")-1.48235</f>
        <v>-8.2153031943732469E-3</v>
      </c>
      <c r="P181" cm="1">
        <f t="array" ref="P181" xml:space="preserve"> mc(1000, -PI()/2,PI()/2, 0, 1, "sin(cos(x + y))")-1.48235</f>
        <v>2.2474156540068346E-2</v>
      </c>
    </row>
    <row r="182" spans="1:16" x14ac:dyDescent="0.3">
      <c r="A182">
        <v>152</v>
      </c>
      <c r="B182" cm="1">
        <f t="array" ref="B182" xml:space="preserve"> mc(100, 0, 4, 1, 2, "x^2+y^2")-92/3</f>
        <v>2.1186771454098157</v>
      </c>
      <c r="C182" cm="1">
        <f t="array" ref="C182" xml:space="preserve"> mc(500, 0, 4, 1, 2, "x^2+y^2")-92/3</f>
        <v>0.26115453779712539</v>
      </c>
      <c r="D182" cm="1">
        <f t="array" ref="D182" xml:space="preserve"> mc(1000, 0, 4, 1, 2, "x^2+y^2")-92/3</f>
        <v>0.75780862260719317</v>
      </c>
      <c r="F182" cm="1">
        <f t="array" ref="F182" xml:space="preserve"> ( mc(100, 3, 4, -1, 1, "EXP(x * sin(y))") ) - 7.39981</f>
        <v>0.17397144872885928</v>
      </c>
      <c r="G182" cm="1">
        <f t="array" ref="G182" xml:space="preserve"> ( mc(500, 3, 4, -1, 1, "EXP(x * sin(y))") ) - 7.39981</f>
        <v>-0.16028332536888446</v>
      </c>
      <c r="H182" cm="1">
        <f t="array" ref="H182" xml:space="preserve"> ( mc(1000, 3, 4, -1, 1, "EXP(x * sin(y))") ) - 7.39981</f>
        <v>0.1665553604882577</v>
      </c>
      <c r="J182" cm="1">
        <f t="array" ref="J182" xml:space="preserve"> mc(100, -PI()/2,0,-1, 1, "ln(EXP(x * y))")</f>
        <v>0.11438246497034796</v>
      </c>
      <c r="K182" cm="1">
        <f t="array" ref="K182" xml:space="preserve"> mc(500, -PI()/2,0,-1, 1, "ln(EXP(x * y))")</f>
        <v>-6.0229788435801061E-2</v>
      </c>
      <c r="L182" cm="1">
        <f t="array" ref="L182" xml:space="preserve"> mc(1000, -PI()/2,0,-1, 1, "ln(EXP(x * y))")</f>
        <v>-3.0665033477947804E-2</v>
      </c>
      <c r="N182" cm="1">
        <f t="array" ref="N182" xml:space="preserve"> mc(100, -PI()/2,PI()/2, 0, 1, "sin(cos(x + y))")-1.48235</f>
        <v>-0.11463524034115236</v>
      </c>
      <c r="O182" cm="1">
        <f t="array" ref="O182" xml:space="preserve"> mc(500, -PI()/2,PI()/2, 0, 1, "sin(cos(x + y))")-1.48235</f>
        <v>-2.8065494231322319E-2</v>
      </c>
      <c r="P182" cm="1">
        <f t="array" ref="P182" xml:space="preserve"> mc(1000, -PI()/2,PI()/2, 0, 1, "sin(cos(x + y))")-1.48235</f>
        <v>4.9197652177741968E-2</v>
      </c>
    </row>
    <row r="183" spans="1:16" x14ac:dyDescent="0.3">
      <c r="A183">
        <v>153</v>
      </c>
      <c r="B183" cm="1">
        <f t="array" ref="B183" xml:space="preserve"> mc(100, 0, 4, 1, 2, "x^2+y^2")-92/3</f>
        <v>-1.7650362861096518</v>
      </c>
      <c r="C183" cm="1">
        <f t="array" ref="C183" xml:space="preserve"> mc(500, 0, 4, 1, 2, "x^2+y^2")-92/3</f>
        <v>0.27647506073243378</v>
      </c>
      <c r="D183" cm="1">
        <f t="array" ref="D183" xml:space="preserve"> mc(1000, 0, 4, 1, 2, "x^2+y^2")-92/3</f>
        <v>1.4727674412446312</v>
      </c>
      <c r="F183" cm="1">
        <f t="array" ref="F183" xml:space="preserve"> ( mc(100, 3, 4, -1, 1, "EXP(x * sin(y))") ) - 7.39981</f>
        <v>-0.8886399160915639</v>
      </c>
      <c r="G183" cm="1">
        <f t="array" ref="G183" xml:space="preserve"> ( mc(500, 3, 4, -1, 1, "EXP(x * sin(y))") ) - 7.39981</f>
        <v>-5.1061147269646057E-2</v>
      </c>
      <c r="H183" cm="1">
        <f t="array" ref="H183" xml:space="preserve"> ( mc(1000, 3, 4, -1, 1, "EXP(x * sin(y))") ) - 7.39981</f>
        <v>0.48097112975022416</v>
      </c>
      <c r="J183" cm="1">
        <f t="array" ref="J183" xml:space="preserve"> mc(100, -PI()/2,0,-1, 1, "ln(EXP(x * y))")</f>
        <v>-0.10890427522907653</v>
      </c>
      <c r="K183" cm="1">
        <f t="array" ref="K183" xml:space="preserve"> mc(500, -PI()/2,0,-1, 1, "ln(EXP(x * y))")</f>
        <v>4.0008620429551327E-2</v>
      </c>
      <c r="L183" cm="1">
        <f t="array" ref="L183" xml:space="preserve"> mc(1000, -PI()/2,0,-1, 1, "ln(EXP(x * y))")</f>
        <v>1.0615500809179911E-2</v>
      </c>
      <c r="N183" cm="1">
        <f t="array" ref="N183" xml:space="preserve"> mc(100, -PI()/2,PI()/2, 0, 1, "sin(cos(x + y))")-1.48235</f>
        <v>0.1343813797538127</v>
      </c>
      <c r="O183" cm="1">
        <f t="array" ref="O183" xml:space="preserve"> mc(500, -PI()/2,PI()/2, 0, 1, "sin(cos(x + y))")-1.48235</f>
        <v>7.0603691363690935E-4</v>
      </c>
      <c r="P183" cm="1">
        <f t="array" ref="P183" xml:space="preserve"> mc(1000, -PI()/2,PI()/2, 0, 1, "sin(cos(x + y))")-1.48235</f>
        <v>1.7197088190102905E-2</v>
      </c>
    </row>
    <row r="184" spans="1:16" x14ac:dyDescent="0.3">
      <c r="A184">
        <v>154</v>
      </c>
      <c r="B184" cm="1">
        <f t="array" ref="B184" xml:space="preserve"> mc(100, 0, 4, 1, 2, "x^2+y^2")-92/3</f>
        <v>-0.56108926165343931</v>
      </c>
      <c r="C184" cm="1">
        <f t="array" ref="C184" xml:space="preserve"> mc(500, 0, 4, 1, 2, "x^2+y^2")-92/3</f>
        <v>0.49360355796076405</v>
      </c>
      <c r="D184" cm="1">
        <f t="array" ref="D184" xml:space="preserve"> mc(1000, 0, 4, 1, 2, "x^2+y^2")-92/3</f>
        <v>-0.50858743807001972</v>
      </c>
      <c r="F184" cm="1">
        <f t="array" ref="F184" xml:space="preserve"> ( mc(100, 3, 4, -1, 1, "EXP(x * sin(y))") ) - 7.39981</f>
        <v>-0.19979476541060048</v>
      </c>
      <c r="G184" cm="1">
        <f t="array" ref="G184" xml:space="preserve"> ( mc(500, 3, 4, -1, 1, "EXP(x * sin(y))") ) - 7.39981</f>
        <v>0.5595299985913158</v>
      </c>
      <c r="H184" cm="1">
        <f t="array" ref="H184" xml:space="preserve"> ( mc(1000, 3, 4, -1, 1, "EXP(x * sin(y))") ) - 7.39981</f>
        <v>0.18598103025920398</v>
      </c>
      <c r="J184" cm="1">
        <f t="array" ref="J184" xml:space="preserve"> mc(100, -PI()/2,0,-1, 1, "ln(EXP(x * y))")</f>
        <v>3.8138003411191279E-2</v>
      </c>
      <c r="K184" cm="1">
        <f t="array" ref="K184" xml:space="preserve"> mc(500, -PI()/2,0,-1, 1, "ln(EXP(x * y))")</f>
        <v>-0.12909756166536965</v>
      </c>
      <c r="L184" cm="1">
        <f t="array" ref="L184" xml:space="preserve"> mc(1000, -PI()/2,0,-1, 1, "ln(EXP(x * y))")</f>
        <v>-5.1517734587746916E-2</v>
      </c>
      <c r="N184" cm="1">
        <f t="array" ref="N184" xml:space="preserve"> mc(100, -PI()/2,PI()/2, 0, 1, "sin(cos(x + y))")-1.48235</f>
        <v>0.28631048271768611</v>
      </c>
      <c r="O184" cm="1">
        <f t="array" ref="O184" xml:space="preserve"> mc(500, -PI()/2,PI()/2, 0, 1, "sin(cos(x + y))")-1.48235</f>
        <v>7.5469235077723074E-2</v>
      </c>
      <c r="P184" cm="1">
        <f t="array" ref="P184" xml:space="preserve"> mc(1000, -PI()/2,PI()/2, 0, 1, "sin(cos(x + y))")-1.48235</f>
        <v>1.1161737693477614E-2</v>
      </c>
    </row>
    <row r="185" spans="1:16" x14ac:dyDescent="0.3">
      <c r="A185">
        <v>155</v>
      </c>
      <c r="B185" cm="1">
        <f t="array" ref="B185" xml:space="preserve"> mc(100, 0, 4, 1, 2, "x^2+y^2")-92/3</f>
        <v>1.894162384786231</v>
      </c>
      <c r="C185" cm="1">
        <f t="array" ref="C185" xml:space="preserve"> mc(500, 0, 4, 1, 2, "x^2+y^2")-92/3</f>
        <v>-0.35071136579098194</v>
      </c>
      <c r="D185" cm="1">
        <f t="array" ref="D185" xml:space="preserve"> mc(1000, 0, 4, 1, 2, "x^2+y^2")-92/3</f>
        <v>-0.63148239616224799</v>
      </c>
      <c r="F185" cm="1">
        <f t="array" ref="F185" xml:space="preserve"> ( mc(100, 3, 4, -1, 1, "EXP(x * sin(y))") ) - 7.39981</f>
        <v>-0.22503246374517261</v>
      </c>
      <c r="G185" cm="1">
        <f t="array" ref="G185" xml:space="preserve"> ( mc(500, 3, 4, -1, 1, "EXP(x * sin(y))") ) - 7.39981</f>
        <v>0.44953895501238694</v>
      </c>
      <c r="H185" cm="1">
        <f t="array" ref="H185" xml:space="preserve"> ( mc(1000, 3, 4, -1, 1, "EXP(x * sin(y))") ) - 7.39981</f>
        <v>0.23047822091002867</v>
      </c>
      <c r="J185" cm="1">
        <f t="array" ref="J185" xml:space="preserve"> mc(100, -PI()/2,0,-1, 1, "ln(EXP(x * y))")</f>
        <v>-0.19743719668635237</v>
      </c>
      <c r="K185" cm="1">
        <f t="array" ref="K185" xml:space="preserve"> mc(500, -PI()/2,0,-1, 1, "ln(EXP(x * y))")</f>
        <v>-0.1353412721747676</v>
      </c>
      <c r="L185" cm="1">
        <f t="array" ref="L185" xml:space="preserve"> mc(1000, -PI()/2,0,-1, 1, "ln(EXP(x * y))")</f>
        <v>6.4945322514378859E-2</v>
      </c>
      <c r="N185" cm="1">
        <f t="array" ref="N185" xml:space="preserve"> mc(100, -PI()/2,PI()/2, 0, 1, "sin(cos(x + y))")-1.48235</f>
        <v>0.10216598352469153</v>
      </c>
      <c r="O185" cm="1">
        <f t="array" ref="O185" xml:space="preserve"> mc(500, -PI()/2,PI()/2, 0, 1, "sin(cos(x + y))")-1.48235</f>
        <v>5.642146549917304E-2</v>
      </c>
      <c r="P185" cm="1">
        <f t="array" ref="P185" xml:space="preserve"> mc(1000, -PI()/2,PI()/2, 0, 1, "sin(cos(x + y))")-1.48235</f>
        <v>1.9318704384088115E-3</v>
      </c>
    </row>
    <row r="186" spans="1:16" x14ac:dyDescent="0.3">
      <c r="A186">
        <v>156</v>
      </c>
      <c r="B186" cm="1">
        <f t="array" ref="B186" xml:space="preserve"> mc(100, 0, 4, 1, 2, "x^2+y^2")-92/3</f>
        <v>-2.4818930753333142</v>
      </c>
      <c r="C186" cm="1">
        <f t="array" ref="C186" xml:space="preserve"> mc(500, 0, 4, 1, 2, "x^2+y^2")-92/3</f>
        <v>-0.61447071080911542</v>
      </c>
      <c r="D186" cm="1">
        <f t="array" ref="D186" xml:space="preserve"> mc(1000, 0, 4, 1, 2, "x^2+y^2")-92/3</f>
        <v>-1.5940530540603106</v>
      </c>
      <c r="F186" cm="1">
        <f t="array" ref="F186" xml:space="preserve"> ( mc(100, 3, 4, -1, 1, "EXP(x * sin(y))") ) - 7.39981</f>
        <v>-0.77924525075398332</v>
      </c>
      <c r="G186" cm="1">
        <f t="array" ref="G186" xml:space="preserve"> ( mc(500, 3, 4, -1, 1, "EXP(x * sin(y))") ) - 7.39981</f>
        <v>-0.74199504284881179</v>
      </c>
      <c r="H186" cm="1">
        <f t="array" ref="H186" xml:space="preserve"> ( mc(1000, 3, 4, -1, 1, "EXP(x * sin(y))") ) - 7.39981</f>
        <v>-7.7587004838893137E-2</v>
      </c>
      <c r="J186" cm="1">
        <f t="array" ref="J186" xml:space="preserve"> mc(100, -PI()/2,0,-1, 1, "ln(EXP(x * y))")</f>
        <v>1.93997425448766E-2</v>
      </c>
      <c r="K186" cm="1">
        <f t="array" ref="K186" xml:space="preserve"> mc(500, -PI()/2,0,-1, 1, "ln(EXP(x * y))")</f>
        <v>1.7678697722109629E-2</v>
      </c>
      <c r="L186" cm="1">
        <f t="array" ref="L186" xml:space="preserve"> mc(1000, -PI()/2,0,-1, 1, "ln(EXP(x * y))")</f>
        <v>2.5091700485605793E-2</v>
      </c>
      <c r="N186" cm="1">
        <f t="array" ref="N186" xml:space="preserve"> mc(100, -PI()/2,PI()/2, 0, 1, "sin(cos(x + y))")-1.48235</f>
        <v>0.10998168202283298</v>
      </c>
      <c r="O186" cm="1">
        <f t="array" ref="O186" xml:space="preserve"> mc(500, -PI()/2,PI()/2, 0, 1, "sin(cos(x + y))")-1.48235</f>
        <v>1.1156373195171376E-2</v>
      </c>
      <c r="P186" cm="1">
        <f t="array" ref="P186" xml:space="preserve"> mc(1000, -PI()/2,PI()/2, 0, 1, "sin(cos(x + y))")-1.48235</f>
        <v>6.9049365950441866E-2</v>
      </c>
    </row>
    <row r="187" spans="1:16" x14ac:dyDescent="0.3">
      <c r="A187">
        <v>157</v>
      </c>
      <c r="B187" cm="1">
        <f t="array" ref="B187" xml:space="preserve"> mc(100, 0, 4, 1, 2, "x^2+y^2")-92/3</f>
        <v>-1.4875266747205877</v>
      </c>
      <c r="C187" cm="1">
        <f t="array" ref="C187" xml:space="preserve"> mc(500, 0, 4, 1, 2, "x^2+y^2")-92/3</f>
        <v>-0.61506211709019709</v>
      </c>
      <c r="D187" cm="1">
        <f t="array" ref="D187" xml:space="preserve"> mc(1000, 0, 4, 1, 2, "x^2+y^2")-92/3</f>
        <v>0.48392989047957613</v>
      </c>
      <c r="F187" cm="1">
        <f t="array" ref="F187" xml:space="preserve"> ( mc(100, 3, 4, -1, 1, "EXP(x * sin(y))") ) - 7.39981</f>
        <v>-1.1375737088732905</v>
      </c>
      <c r="G187" cm="1">
        <f t="array" ref="G187" xml:space="preserve"> ( mc(500, 3, 4, -1, 1, "EXP(x * sin(y))") ) - 7.39981</f>
        <v>1.0326478761183076</v>
      </c>
      <c r="H187" cm="1">
        <f t="array" ref="H187" xml:space="preserve"> ( mc(1000, 3, 4, -1, 1, "EXP(x * sin(y))") ) - 7.39981</f>
        <v>-0.45935638841582183</v>
      </c>
      <c r="J187" cm="1">
        <f t="array" ref="J187" xml:space="preserve"> mc(100, -PI()/2,0,-1, 1, "ln(EXP(x * y))")</f>
        <v>-0.10396090084622704</v>
      </c>
      <c r="K187" cm="1">
        <f t="array" ref="K187" xml:space="preserve"> mc(500, -PI()/2,0,-1, 1, "ln(EXP(x * y))")</f>
        <v>3.228178287755902E-2</v>
      </c>
      <c r="L187" cm="1">
        <f t="array" ref="L187" xml:space="preserve"> mc(1000, -PI()/2,0,-1, 1, "ln(EXP(x * y))")</f>
        <v>-2.8218829915246332E-3</v>
      </c>
      <c r="N187" cm="1">
        <f t="array" ref="N187" xml:space="preserve"> mc(100, -PI()/2,PI()/2, 0, 1, "sin(cos(x + y))")-1.48235</f>
        <v>0.23438420773130009</v>
      </c>
      <c r="O187" cm="1">
        <f t="array" ref="O187" xml:space="preserve"> mc(500, -PI()/2,PI()/2, 0, 1, "sin(cos(x + y))")-1.48235</f>
        <v>9.1801205011858178E-2</v>
      </c>
      <c r="P187" cm="1">
        <f t="array" ref="P187" xml:space="preserve"> mc(1000, -PI()/2,PI()/2, 0, 1, "sin(cos(x + y))")-1.48235</f>
        <v>-1.8650034602287979E-2</v>
      </c>
    </row>
    <row r="188" spans="1:16" x14ac:dyDescent="0.3">
      <c r="A188">
        <v>158</v>
      </c>
      <c r="B188" cm="1">
        <f t="array" ref="B188" xml:space="preserve"> mc(100, 0, 4, 1, 2, "x^2+y^2")-92/3</f>
        <v>-1.6648424407555709</v>
      </c>
      <c r="C188" cm="1">
        <f t="array" ref="C188" xml:space="preserve"> mc(500, 0, 4, 1, 2, "x^2+y^2")-92/3</f>
        <v>-0.47541724034237376</v>
      </c>
      <c r="D188" cm="1">
        <f t="array" ref="D188" xml:space="preserve"> mc(1000, 0, 4, 1, 2, "x^2+y^2")-92/3</f>
        <v>0.2891124983660518</v>
      </c>
      <c r="F188" cm="1">
        <f t="array" ref="F188" xml:space="preserve"> ( mc(100, 3, 4, -1, 1, "EXP(x * sin(y))") ) - 7.39981</f>
        <v>1.7240233219191818</v>
      </c>
      <c r="G188" cm="1">
        <f t="array" ref="G188" xml:space="preserve"> ( mc(500, 3, 4, -1, 1, "EXP(x * sin(y))") ) - 7.39981</f>
        <v>0.87942846683885101</v>
      </c>
      <c r="H188" cm="1">
        <f t="array" ref="H188" xml:space="preserve"> ( mc(1000, 3, 4, -1, 1, "EXP(x * sin(y))") ) - 7.39981</f>
        <v>2.6790686217790238E-2</v>
      </c>
      <c r="J188" cm="1">
        <f t="array" ref="J188" xml:space="preserve"> mc(100, -PI()/2,0,-1, 1, "ln(EXP(x * y))")</f>
        <v>-7.4342687952042408E-2</v>
      </c>
      <c r="K188" cm="1">
        <f t="array" ref="K188" xml:space="preserve"> mc(500, -PI()/2,0,-1, 1, "ln(EXP(x * y))")</f>
        <v>9.316104766032228E-2</v>
      </c>
      <c r="L188" cm="1">
        <f t="array" ref="L188" xml:space="preserve"> mc(1000, -PI()/2,0,-1, 1, "ln(EXP(x * y))")</f>
        <v>1.2865178077101467E-2</v>
      </c>
      <c r="N188" cm="1">
        <f t="array" ref="N188" xml:space="preserve"> mc(100, -PI()/2,PI()/2, 0, 1, "sin(cos(x + y))")-1.48235</f>
        <v>-4.6948119290327606E-2</v>
      </c>
      <c r="O188" cm="1">
        <f t="array" ref="O188" xml:space="preserve"> mc(500, -PI()/2,PI()/2, 0, 1, "sin(cos(x + y))")-1.48235</f>
        <v>5.9774152035924732E-2</v>
      </c>
      <c r="P188" cm="1">
        <f t="array" ref="P188" xml:space="preserve"> mc(1000, -PI()/2,PI()/2, 0, 1, "sin(cos(x + y))")-1.48235</f>
        <v>-8.7159238546209217E-2</v>
      </c>
    </row>
    <row r="189" spans="1:16" x14ac:dyDescent="0.3">
      <c r="A189">
        <v>159</v>
      </c>
      <c r="B189" cm="1">
        <f t="array" ref="B189" xml:space="preserve"> mc(100, 0, 4, 1, 2, "x^2+y^2")-92/3</f>
        <v>1.8164981947867496</v>
      </c>
      <c r="C189" cm="1">
        <f t="array" ref="C189" xml:space="preserve"> mc(500, 0, 4, 1, 2, "x^2+y^2")-92/3</f>
        <v>1.8820004676012267</v>
      </c>
      <c r="D189" cm="1">
        <f t="array" ref="D189" xml:space="preserve"> mc(1000, 0, 4, 1, 2, "x^2+y^2")-92/3</f>
        <v>-0.2923183566862555</v>
      </c>
      <c r="F189" cm="1">
        <f t="array" ref="F189" xml:space="preserve"> ( mc(100, 3, 4, -1, 1, "EXP(x * sin(y))") ) - 7.39981</f>
        <v>0.25014116247100393</v>
      </c>
      <c r="G189" cm="1">
        <f t="array" ref="G189" xml:space="preserve"> ( mc(500, 3, 4, -1, 1, "EXP(x * sin(y))") ) - 7.39981</f>
        <v>-0.53036833604003064</v>
      </c>
      <c r="H189" cm="1">
        <f t="array" ref="H189" xml:space="preserve"> ( mc(1000, 3, 4, -1, 1, "EXP(x * sin(y))") ) - 7.39981</f>
        <v>0.35555284482110938</v>
      </c>
      <c r="J189" cm="1">
        <f t="array" ref="J189" xml:space="preserve"> mc(100, -PI()/2,0,-1, 1, "ln(EXP(x * y))")</f>
        <v>0.12742515033149127</v>
      </c>
      <c r="K189" cm="1">
        <f t="array" ref="K189" xml:space="preserve"> mc(500, -PI()/2,0,-1, 1, "ln(EXP(x * y))")</f>
        <v>3.0729028211930885E-2</v>
      </c>
      <c r="L189" cm="1">
        <f t="array" ref="L189" xml:space="preserve"> mc(1000, -PI()/2,0,-1, 1, "ln(EXP(x * y))")</f>
        <v>-7.0904582981955289E-2</v>
      </c>
      <c r="N189" cm="1">
        <f t="array" ref="N189" xml:space="preserve"> mc(100, -PI()/2,PI()/2, 0, 1, "sin(cos(x + y))")-1.48235</f>
        <v>-0.14091676707209655</v>
      </c>
      <c r="O189" cm="1">
        <f t="array" ref="O189" xml:space="preserve"> mc(500, -PI()/2,PI()/2, 0, 1, "sin(cos(x + y))")-1.48235</f>
        <v>-9.3671331912011491E-2</v>
      </c>
      <c r="P189" cm="1">
        <f t="array" ref="P189" xml:space="preserve"> mc(1000, -PI()/2,PI()/2, 0, 1, "sin(cos(x + y))")-1.48235</f>
        <v>3.7900890737823101E-3</v>
      </c>
    </row>
    <row r="190" spans="1:16" x14ac:dyDescent="0.3">
      <c r="A190">
        <v>160</v>
      </c>
      <c r="B190" cm="1">
        <f t="array" ref="B190" xml:space="preserve"> mc(100, 0, 4, 1, 2, "x^2+y^2")-92/3</f>
        <v>0.53506759964707129</v>
      </c>
      <c r="C190" cm="1">
        <f t="array" ref="C190" xml:space="preserve"> mc(500, 0, 4, 1, 2, "x^2+y^2")-92/3</f>
        <v>-0.726917357004222</v>
      </c>
      <c r="D190" cm="1">
        <f t="array" ref="D190" xml:space="preserve"> mc(1000, 0, 4, 1, 2, "x^2+y^2")-92/3</f>
        <v>-0.47292592349296569</v>
      </c>
      <c r="F190" cm="1">
        <f t="array" ref="F190" xml:space="preserve"> ( mc(100, 3, 4, -1, 1, "EXP(x * sin(y))") ) - 7.39981</f>
        <v>0.67000858811726793</v>
      </c>
      <c r="G190" cm="1">
        <f t="array" ref="G190" xml:space="preserve"> ( mc(500, 3, 4, -1, 1, "EXP(x * sin(y))") ) - 7.39981</f>
        <v>-0.16907744892856158</v>
      </c>
      <c r="H190" cm="1">
        <f t="array" ref="H190" xml:space="preserve"> ( mc(1000, 3, 4, -1, 1, "EXP(x * sin(y))") ) - 7.39981</f>
        <v>0.53730884263094758</v>
      </c>
      <c r="J190" cm="1">
        <f t="array" ref="J190" xml:space="preserve"> mc(100, -PI()/2,0,-1, 1, "ln(EXP(x * y))")</f>
        <v>-6.6001243344587887E-2</v>
      </c>
      <c r="K190" cm="1">
        <f t="array" ref="K190" xml:space="preserve"> mc(500, -PI()/2,0,-1, 1, "ln(EXP(x * y))")</f>
        <v>-6.2834381688010615E-2</v>
      </c>
      <c r="L190" cm="1">
        <f t="array" ref="L190" xml:space="preserve"> mc(1000, -PI()/2,0,-1, 1, "ln(EXP(x * y))")</f>
        <v>-9.4851208067740861E-2</v>
      </c>
      <c r="N190" cm="1">
        <f t="array" ref="N190" xml:space="preserve"> mc(100, -PI()/2,PI()/2, 0, 1, "sin(cos(x + y))")-1.48235</f>
        <v>-1.9568410714858597E-3</v>
      </c>
      <c r="O190" cm="1">
        <f t="array" ref="O190" xml:space="preserve"> mc(500, -PI()/2,PI()/2, 0, 1, "sin(cos(x + y))")-1.48235</f>
        <v>9.2571962707630906E-2</v>
      </c>
      <c r="P190" cm="1">
        <f t="array" ref="P190" xml:space="preserve"> mc(1000, -PI()/2,PI()/2, 0, 1, "sin(cos(x + y))")-1.48235</f>
        <v>4.6603798783079409E-2</v>
      </c>
    </row>
    <row r="191" spans="1:16" x14ac:dyDescent="0.3">
      <c r="A191">
        <v>161</v>
      </c>
      <c r="B191" cm="1">
        <f t="array" ref="B191" xml:space="preserve"> mc(100, 0, 4, 1, 2, "x^2+y^2")-92/3</f>
        <v>-0.8455708769923902</v>
      </c>
      <c r="C191" cm="1">
        <f t="array" ref="C191" xml:space="preserve"> mc(500, 0, 4, 1, 2, "x^2+y^2")-92/3</f>
        <v>-0.62268293757512083</v>
      </c>
      <c r="D191" cm="1">
        <f t="array" ref="D191" xml:space="preserve"> mc(1000, 0, 4, 1, 2, "x^2+y^2")-92/3</f>
        <v>0.64807130273916869</v>
      </c>
      <c r="F191" cm="1">
        <f t="array" ref="F191" xml:space="preserve"> ( mc(100, 3, 4, -1, 1, "EXP(x * sin(y))") ) - 7.39981</f>
        <v>0.43336032643361744</v>
      </c>
      <c r="G191" cm="1">
        <f t="array" ref="G191" xml:space="preserve"> ( mc(500, 3, 4, -1, 1, "EXP(x * sin(y))") ) - 7.39981</f>
        <v>-0.70623650522065784</v>
      </c>
      <c r="H191" cm="1">
        <f t="array" ref="H191" xml:space="preserve"> ( mc(1000, 3, 4, -1, 1, "EXP(x * sin(y))") ) - 7.39981</f>
        <v>1.1015258860476607E-2</v>
      </c>
      <c r="J191" cm="1">
        <f t="array" ref="J191" xml:space="preserve"> mc(100, -PI()/2,0,-1, 1, "ln(EXP(x * y))")</f>
        <v>-0.30788740514537222</v>
      </c>
      <c r="K191" cm="1">
        <f t="array" ref="K191" xml:space="preserve"> mc(500, -PI()/2,0,-1, 1, "ln(EXP(x * y))")</f>
        <v>-4.1748175903616756E-2</v>
      </c>
      <c r="L191" cm="1">
        <f t="array" ref="L191" xml:space="preserve"> mc(1000, -PI()/2,0,-1, 1, "ln(EXP(x * y))")</f>
        <v>-1.7084538237905105E-2</v>
      </c>
      <c r="N191" cm="1">
        <f t="array" ref="N191" xml:space="preserve"> mc(100, -PI()/2,PI()/2, 0, 1, "sin(cos(x + y))")-1.48235</f>
        <v>-0.23136316864718554</v>
      </c>
      <c r="O191" cm="1">
        <f t="array" ref="O191" xml:space="preserve"> mc(500, -PI()/2,PI()/2, 0, 1, "sin(cos(x + y))")-1.48235</f>
        <v>8.1954163136147562E-2</v>
      </c>
      <c r="P191" cm="1">
        <f t="array" ref="P191" xml:space="preserve"> mc(1000, -PI()/2,PI()/2, 0, 1, "sin(cos(x + y))")-1.48235</f>
        <v>-5.2043381037512049E-3</v>
      </c>
    </row>
    <row r="192" spans="1:16" x14ac:dyDescent="0.3">
      <c r="A192">
        <v>162</v>
      </c>
      <c r="B192" cm="1">
        <f t="array" ref="B192" xml:space="preserve"> mc(100, 0, 4, 1, 2, "x^2+y^2")-92/3</f>
        <v>-2.2514280528504678</v>
      </c>
      <c r="C192" cm="1">
        <f t="array" ref="C192" xml:space="preserve"> mc(500, 0, 4, 1, 2, "x^2+y^2")-92/3</f>
        <v>-0.54683686069686033</v>
      </c>
      <c r="D192" cm="1">
        <f t="array" ref="D192" xml:space="preserve"> mc(1000, 0, 4, 1, 2, "x^2+y^2")-92/3</f>
        <v>0.23520585471769806</v>
      </c>
      <c r="F192" cm="1">
        <f t="array" ref="F192" xml:space="preserve"> ( mc(100, 3, 4, -1, 1, "EXP(x * sin(y))") ) - 7.39981</f>
        <v>-0.35780811608378738</v>
      </c>
      <c r="G192" cm="1">
        <f t="array" ref="G192" xml:space="preserve"> ( mc(500, 3, 4, -1, 1, "EXP(x * sin(y))") ) - 7.39981</f>
        <v>0.31499319915169188</v>
      </c>
      <c r="H192" cm="1">
        <f t="array" ref="H192" xml:space="preserve"> ( mc(1000, 3, 4, -1, 1, "EXP(x * sin(y))") ) - 7.39981</f>
        <v>0.10314944875564791</v>
      </c>
      <c r="J192" cm="1">
        <f t="array" ref="J192" xml:space="preserve"> mc(100, -PI()/2,0,-1, 1, "ln(EXP(x * y))")</f>
        <v>9.8406940766261525E-2</v>
      </c>
      <c r="K192" cm="1">
        <f t="array" ref="K192" xml:space="preserve"> mc(500, -PI()/2,0,-1, 1, "ln(EXP(x * y))")</f>
        <v>-0.10930347349825163</v>
      </c>
      <c r="L192" cm="1">
        <f t="array" ref="L192" xml:space="preserve"> mc(1000, -PI()/2,0,-1, 1, "ln(EXP(x * y))")</f>
        <v>-5.2960113011832184E-2</v>
      </c>
      <c r="N192" cm="1">
        <f t="array" ref="N192" xml:space="preserve"> mc(100, -PI()/2,PI()/2, 0, 1, "sin(cos(x + y))")-1.48235</f>
        <v>0.12583885645080306</v>
      </c>
      <c r="O192" cm="1">
        <f t="array" ref="O192" xml:space="preserve"> mc(500, -PI()/2,PI()/2, 0, 1, "sin(cos(x + y))")-1.48235</f>
        <v>-1.9350318642739506E-2</v>
      </c>
      <c r="P192" cm="1">
        <f t="array" ref="P192" xml:space="preserve"> mc(1000, -PI()/2,PI()/2, 0, 1, "sin(cos(x + y))")-1.48235</f>
        <v>-3.3581309892090294E-2</v>
      </c>
    </row>
    <row r="193" spans="1:16" x14ac:dyDescent="0.3">
      <c r="A193">
        <v>163</v>
      </c>
      <c r="B193" cm="1">
        <f t="array" ref="B193" xml:space="preserve"> mc(100, 0, 4, 1, 2, "x^2+y^2")-92/3</f>
        <v>-1.4256869368931113</v>
      </c>
      <c r="C193" cm="1">
        <f t="array" ref="C193" xml:space="preserve"> mc(500, 0, 4, 1, 2, "x^2+y^2")-92/3</f>
        <v>0.46128176350489269</v>
      </c>
      <c r="D193" cm="1">
        <f t="array" ref="D193" xml:space="preserve"> mc(1000, 0, 4, 1, 2, "x^2+y^2")-92/3</f>
        <v>0.71853043156977492</v>
      </c>
      <c r="F193" cm="1">
        <f t="array" ref="F193" xml:space="preserve"> ( mc(100, 3, 4, -1, 1, "EXP(x * sin(y))") ) - 7.39981</f>
        <v>0.16034937925408865</v>
      </c>
      <c r="G193" cm="1">
        <f t="array" ref="G193" xml:space="preserve"> ( mc(500, 3, 4, -1, 1, "EXP(x * sin(y))") ) - 7.39981</f>
        <v>-0.48114877216971941</v>
      </c>
      <c r="H193" cm="1">
        <f t="array" ref="H193" xml:space="preserve"> ( mc(1000, 3, 4, -1, 1, "EXP(x * sin(y))") ) - 7.39981</f>
        <v>-0.54168051808264828</v>
      </c>
      <c r="J193" cm="1">
        <f t="array" ref="J193" xml:space="preserve"> mc(100, -PI()/2,0,-1, 1, "ln(EXP(x * y))")</f>
        <v>-0.22847686681142859</v>
      </c>
      <c r="K193" cm="1">
        <f t="array" ref="K193" xml:space="preserve"> mc(500, -PI()/2,0,-1, 1, "ln(EXP(x * y))")</f>
        <v>-4.0169086850891496E-2</v>
      </c>
      <c r="L193" cm="1">
        <f t="array" ref="L193" xml:space="preserve"> mc(1000, -PI()/2,0,-1, 1, "ln(EXP(x * y))")</f>
        <v>2.0859646537842162E-2</v>
      </c>
      <c r="N193" cm="1">
        <f t="array" ref="N193" xml:space="preserve"> mc(100, -PI()/2,PI()/2, 0, 1, "sin(cos(x + y))")-1.48235</f>
        <v>-0.11798926212562244</v>
      </c>
      <c r="O193" cm="1">
        <f t="array" ref="O193" xml:space="preserve"> mc(500, -PI()/2,PI()/2, 0, 1, "sin(cos(x + y))")-1.48235</f>
        <v>1.1987965800636768E-2</v>
      </c>
      <c r="P193" cm="1">
        <f t="array" ref="P193" xml:space="preserve"> mc(1000, -PI()/2,PI()/2, 0, 1, "sin(cos(x + y))")-1.48235</f>
        <v>2.428546545611554E-2</v>
      </c>
    </row>
    <row r="194" spans="1:16" x14ac:dyDescent="0.3">
      <c r="A194">
        <v>164</v>
      </c>
      <c r="B194" cm="1">
        <f t="array" ref="B194" xml:space="preserve"> mc(100, 0, 4, 1, 2, "x^2+y^2")-92/3</f>
        <v>-1.6298285505957644</v>
      </c>
      <c r="C194" cm="1">
        <f t="array" ref="C194" xml:space="preserve"> mc(500, 0, 4, 1, 2, "x^2+y^2")-92/3</f>
        <v>0.22277929327151824</v>
      </c>
      <c r="D194" cm="1">
        <f t="array" ref="D194" xml:space="preserve"> mc(1000, 0, 4, 1, 2, "x^2+y^2")-92/3</f>
        <v>0.55694614819368482</v>
      </c>
      <c r="F194" cm="1">
        <f t="array" ref="F194" xml:space="preserve"> ( mc(100, 3, 4, -1, 1, "EXP(x * sin(y))") ) - 7.39981</f>
        <v>2.0791593401469761</v>
      </c>
      <c r="G194" cm="1">
        <f t="array" ref="G194" xml:space="preserve"> ( mc(500, 3, 4, -1, 1, "EXP(x * sin(y))") ) - 7.39981</f>
        <v>-0.26049224660239645</v>
      </c>
      <c r="H194" cm="1">
        <f t="array" ref="H194" xml:space="preserve"> ( mc(1000, 3, 4, -1, 1, "EXP(x * sin(y))") ) - 7.39981</f>
        <v>-1.6683602590118696E-2</v>
      </c>
      <c r="J194" cm="1">
        <f t="array" ref="J194" xml:space="preserve"> mc(100, -PI()/2,0,-1, 1, "ln(EXP(x * y))")</f>
        <v>-0.10176825166517769</v>
      </c>
      <c r="K194" cm="1">
        <f t="array" ref="K194" xml:space="preserve"> mc(500, -PI()/2,0,-1, 1, "ln(EXP(x * y))")</f>
        <v>-8.0909467134390872E-2</v>
      </c>
      <c r="L194" cm="1">
        <f t="array" ref="L194" xml:space="preserve"> mc(1000, -PI()/2,0,-1, 1, "ln(EXP(x * y))")</f>
        <v>2.2223591618033538E-2</v>
      </c>
      <c r="N194" cm="1">
        <f t="array" ref="N194" xml:space="preserve"> mc(100, -PI()/2,PI()/2, 0, 1, "sin(cos(x + y))")-1.48235</f>
        <v>-3.1634648229658113E-2</v>
      </c>
      <c r="O194" cm="1">
        <f t="array" ref="O194" xml:space="preserve"> mc(500, -PI()/2,PI()/2, 0, 1, "sin(cos(x + y))")-1.48235</f>
        <v>2.718115982089131E-2</v>
      </c>
      <c r="P194" cm="1">
        <f t="array" ref="P194" xml:space="preserve"> mc(1000, -PI()/2,PI()/2, 0, 1, "sin(cos(x + y))")-1.48235</f>
        <v>-1.5508299997699648E-2</v>
      </c>
    </row>
    <row r="195" spans="1:16" x14ac:dyDescent="0.3">
      <c r="A195">
        <v>165</v>
      </c>
      <c r="B195" cm="1">
        <f t="array" ref="B195" xml:space="preserve"> mc(100, 0, 4, 1, 2, "x^2+y^2")-92/3</f>
        <v>-0.69876612053689158</v>
      </c>
      <c r="C195" cm="1">
        <f t="array" ref="C195" xml:space="preserve"> mc(500, 0, 4, 1, 2, "x^2+y^2")-92/3</f>
        <v>1.3892593653980079</v>
      </c>
      <c r="D195" cm="1">
        <f t="array" ref="D195" xml:space="preserve"> mc(1000, 0, 4, 1, 2, "x^2+y^2")-92/3</f>
        <v>-0.34482731527466015</v>
      </c>
      <c r="F195" cm="1">
        <f t="array" ref="F195" xml:space="preserve"> ( mc(100, 3, 4, -1, 1, "EXP(x * sin(y))") ) - 7.39981</f>
        <v>1.0424077606888069</v>
      </c>
      <c r="G195" cm="1">
        <f t="array" ref="G195" xml:space="preserve"> ( mc(500, 3, 4, -1, 1, "EXP(x * sin(y))") ) - 7.39981</f>
        <v>-0.455479556925666</v>
      </c>
      <c r="H195" cm="1">
        <f t="array" ref="H195" xml:space="preserve"> ( mc(1000, 3, 4, -1, 1, "EXP(x * sin(y))") ) - 7.39981</f>
        <v>-8.1228366492726245E-2</v>
      </c>
      <c r="J195" cm="1">
        <f t="array" ref="J195" xml:space="preserve"> mc(100, -PI()/2,0,-1, 1, "ln(EXP(x * y))")</f>
        <v>0.13826623768808136</v>
      </c>
      <c r="K195" cm="1">
        <f t="array" ref="K195" xml:space="preserve"> mc(500, -PI()/2,0,-1, 1, "ln(EXP(x * y))")</f>
        <v>2.7297878305676555E-2</v>
      </c>
      <c r="L195" cm="1">
        <f t="array" ref="L195" xml:space="preserve"> mc(1000, -PI()/2,0,-1, 1, "ln(EXP(x * y))")</f>
        <v>-0.14955909608124784</v>
      </c>
      <c r="N195" cm="1">
        <f t="array" ref="N195" xml:space="preserve"> mc(100, -PI()/2,PI()/2, 0, 1, "sin(cos(x + y))")-1.48235</f>
        <v>-4.1351584154161403E-2</v>
      </c>
      <c r="O195" cm="1">
        <f t="array" ref="O195" xml:space="preserve"> mc(500, -PI()/2,PI()/2, 0, 1, "sin(cos(x + y))")-1.48235</f>
        <v>1.5495349144680093E-2</v>
      </c>
      <c r="P195" cm="1">
        <f t="array" ref="P195" xml:space="preserve"> mc(1000, -PI()/2,PI()/2, 0, 1, "sin(cos(x + y))")-1.48235</f>
        <v>-7.1823410390803755E-2</v>
      </c>
    </row>
    <row r="196" spans="1:16" x14ac:dyDescent="0.3">
      <c r="A196">
        <v>166</v>
      </c>
      <c r="B196" cm="1">
        <f t="array" ref="B196" xml:space="preserve"> mc(100, 0, 4, 1, 2, "x^2+y^2")-92/3</f>
        <v>-1.01451314427187</v>
      </c>
      <c r="C196" cm="1">
        <f t="array" ref="C196" xml:space="preserve"> mc(500, 0, 4, 1, 2, "x^2+y^2")-92/3</f>
        <v>-0.32876289802928582</v>
      </c>
      <c r="D196" cm="1">
        <f t="array" ref="D196" xml:space="preserve"> mc(1000, 0, 4, 1, 2, "x^2+y^2")-92/3</f>
        <v>0.53656231428003665</v>
      </c>
      <c r="F196" cm="1">
        <f t="array" ref="F196" xml:space="preserve"> ( mc(100, 3, 4, -1, 1, "EXP(x * sin(y))") ) - 7.39981</f>
        <v>0.69356097191447574</v>
      </c>
      <c r="G196" cm="1">
        <f t="array" ref="G196" xml:space="preserve"> ( mc(500, 3, 4, -1, 1, "EXP(x * sin(y))") ) - 7.39981</f>
        <v>0.38440278828620134</v>
      </c>
      <c r="H196" cm="1">
        <f t="array" ref="H196" xml:space="preserve"> ( mc(1000, 3, 4, -1, 1, "EXP(x * sin(y))") ) - 7.39981</f>
        <v>-0.15547165502226168</v>
      </c>
      <c r="J196" cm="1">
        <f t="array" ref="J196" xml:space="preserve"> mc(100, -PI()/2,0,-1, 1, "ln(EXP(x * y))")</f>
        <v>-4.6812713231756703E-2</v>
      </c>
      <c r="K196" cm="1">
        <f t="array" ref="K196" xml:space="preserve"> mc(500, -PI()/2,0,-1, 1, "ln(EXP(x * y))")</f>
        <v>-3.4256217946931997E-2</v>
      </c>
      <c r="L196" cm="1">
        <f t="array" ref="L196" xml:space="preserve"> mc(1000, -PI()/2,0,-1, 1, "ln(EXP(x * y))")</f>
        <v>6.8569207376551394E-2</v>
      </c>
      <c r="N196" cm="1">
        <f t="array" ref="N196" xml:space="preserve"> mc(100, -PI()/2,PI()/2, 0, 1, "sin(cos(x + y))")-1.48235</f>
        <v>-0.27388849025764306</v>
      </c>
      <c r="O196" cm="1">
        <f t="array" ref="O196" xml:space="preserve"> mc(500, -PI()/2,PI()/2, 0, 1, "sin(cos(x + y))")-1.48235</f>
        <v>-6.0354398467235004E-3</v>
      </c>
      <c r="P196" cm="1">
        <f t="array" ref="P196" xml:space="preserve"> mc(1000, -PI()/2,PI()/2, 0, 1, "sin(cos(x + y))")-1.48235</f>
        <v>2.2441018696403248E-2</v>
      </c>
    </row>
    <row r="197" spans="1:16" x14ac:dyDescent="0.3">
      <c r="A197">
        <v>167</v>
      </c>
      <c r="B197" cm="1">
        <f t="array" ref="B197" xml:space="preserve"> mc(100, 0, 4, 1, 2, "x^2+y^2")-92/3</f>
        <v>-0.22590551107093404</v>
      </c>
      <c r="C197" cm="1">
        <f t="array" ref="C197" xml:space="preserve"> mc(500, 0, 4, 1, 2, "x^2+y^2")-92/3</f>
        <v>1.0675356279929069</v>
      </c>
      <c r="D197" cm="1">
        <f t="array" ref="D197" xml:space="preserve"> mc(1000, 0, 4, 1, 2, "x^2+y^2")-92/3</f>
        <v>0.14076055863723624</v>
      </c>
      <c r="F197" cm="1">
        <f t="array" ref="F197" xml:space="preserve"> ( mc(100, 3, 4, -1, 1, "EXP(x * sin(y))") ) - 7.39981</f>
        <v>1.4591768050424516</v>
      </c>
      <c r="G197" cm="1">
        <f t="array" ref="G197" xml:space="preserve"> ( mc(500, 3, 4, -1, 1, "EXP(x * sin(y))") ) - 7.39981</f>
        <v>0.23695783851757835</v>
      </c>
      <c r="H197" cm="1">
        <f t="array" ref="H197" xml:space="preserve"> ( mc(1000, 3, 4, -1, 1, "EXP(x * sin(y))") ) - 7.39981</f>
        <v>0.24072002186118713</v>
      </c>
      <c r="J197" cm="1">
        <f t="array" ref="J197" xml:space="preserve"> mc(100, -PI()/2,0,-1, 1, "ln(EXP(x * y))")</f>
        <v>-0.11090665396857081</v>
      </c>
      <c r="K197" cm="1">
        <f t="array" ref="K197" xml:space="preserve"> mc(500, -PI()/2,0,-1, 1, "ln(EXP(x * y))")</f>
        <v>-1.923527262975696E-2</v>
      </c>
      <c r="L197" cm="1">
        <f t="array" ref="L197" xml:space="preserve"> mc(1000, -PI()/2,0,-1, 1, "ln(EXP(x * y))")</f>
        <v>-2.9557330435424731E-2</v>
      </c>
      <c r="N197" cm="1">
        <f t="array" ref="N197" xml:space="preserve"> mc(100, -PI()/2,PI()/2, 0, 1, "sin(cos(x + y))")-1.48235</f>
        <v>0.18641008628946132</v>
      </c>
      <c r="O197" cm="1">
        <f t="array" ref="O197" xml:space="preserve"> mc(500, -PI()/2,PI()/2, 0, 1, "sin(cos(x + y))")-1.48235</f>
        <v>-0.10462343135939856</v>
      </c>
      <c r="P197" cm="1">
        <f t="array" ref="P197" xml:space="preserve"> mc(1000, -PI()/2,PI()/2, 0, 1, "sin(cos(x + y))")-1.48235</f>
        <v>-6.1788939365166273E-2</v>
      </c>
    </row>
    <row r="198" spans="1:16" x14ac:dyDescent="0.3">
      <c r="A198">
        <v>168</v>
      </c>
      <c r="B198" cm="1">
        <f t="array" ref="B198" xml:space="preserve"> mc(100, 0, 4, 1, 2, "x^2+y^2")-92/3</f>
        <v>-2.6996013055873966</v>
      </c>
      <c r="C198" cm="1">
        <f t="array" ref="C198" xml:space="preserve"> mc(500, 0, 4, 1, 2, "x^2+y^2")-92/3</f>
        <v>0.15140249769821423</v>
      </c>
      <c r="D198" cm="1">
        <f t="array" ref="D198" xml:space="preserve"> mc(1000, 0, 4, 1, 2, "x^2+y^2")-92/3</f>
        <v>0.65318167906408675</v>
      </c>
      <c r="F198" cm="1">
        <f t="array" ref="F198" xml:space="preserve"> ( mc(100, 3, 4, -1, 1, "EXP(x * sin(y))") ) - 7.39981</f>
        <v>6.497069238253772E-3</v>
      </c>
      <c r="G198" cm="1">
        <f t="array" ref="G198" xml:space="preserve"> ( mc(500, 3, 4, -1, 1, "EXP(x * sin(y))") ) - 7.39981</f>
        <v>-3.8446765449700493E-2</v>
      </c>
      <c r="H198" cm="1">
        <f t="array" ref="H198" xml:space="preserve"> ( mc(1000, 3, 4, -1, 1, "EXP(x * sin(y))") ) - 7.39981</f>
        <v>9.1150600025375894E-2</v>
      </c>
      <c r="J198" cm="1">
        <f t="array" ref="J198" xml:space="preserve"> mc(100, -PI()/2,0,-1, 1, "ln(EXP(x * y))")</f>
        <v>9.1734019924647206E-2</v>
      </c>
      <c r="K198" cm="1">
        <f t="array" ref="K198" xml:space="preserve"> mc(500, -PI()/2,0,-1, 1, "ln(EXP(x * y))")</f>
        <v>-0.10521916698134143</v>
      </c>
      <c r="L198" cm="1">
        <f t="array" ref="L198" xml:space="preserve"> mc(1000, -PI()/2,0,-1, 1, "ln(EXP(x * y))")</f>
        <v>-3.4356474430715697E-2</v>
      </c>
      <c r="N198" cm="1">
        <f t="array" ref="N198" xml:space="preserve"> mc(100, -PI()/2,PI()/2, 0, 1, "sin(cos(x + y))")-1.48235</f>
        <v>-8.0679878497923685E-2</v>
      </c>
      <c r="O198" cm="1">
        <f t="array" ref="O198" xml:space="preserve"> mc(500, -PI()/2,PI()/2, 0, 1, "sin(cos(x + y))")-1.48235</f>
        <v>7.4281855462233759E-2</v>
      </c>
      <c r="P198" cm="1">
        <f t="array" ref="P198" xml:space="preserve"> mc(1000, -PI()/2,PI()/2, 0, 1, "sin(cos(x + y))")-1.48235</f>
        <v>-1.0585230141135771E-2</v>
      </c>
    </row>
    <row r="199" spans="1:16" x14ac:dyDescent="0.3">
      <c r="A199">
        <v>169</v>
      </c>
      <c r="B199" cm="1">
        <f t="array" ref="B199" xml:space="preserve"> mc(100, 0, 4, 1, 2, "x^2+y^2")-92/3</f>
        <v>-1.0304857622513097</v>
      </c>
      <c r="C199" cm="1">
        <f t="array" ref="C199" xml:space="preserve"> mc(500, 0, 4, 1, 2, "x^2+y^2")-92/3</f>
        <v>0.77049930515397946</v>
      </c>
      <c r="D199" cm="1">
        <f t="array" ref="D199" xml:space="preserve"> mc(1000, 0, 4, 1, 2, "x^2+y^2")-92/3</f>
        <v>1.0864463910852002</v>
      </c>
      <c r="F199" cm="1">
        <f t="array" ref="F199" xml:space="preserve"> ( mc(100, 3, 4, -1, 1, "EXP(x * sin(y))") ) - 7.39981</f>
        <v>-0.6500097872549091</v>
      </c>
      <c r="G199" cm="1">
        <f t="array" ref="G199" xml:space="preserve"> ( mc(500, 3, 4, -1, 1, "EXP(x * sin(y))") ) - 7.39981</f>
        <v>-0.54326149361300491</v>
      </c>
      <c r="H199" cm="1">
        <f t="array" ref="H199" xml:space="preserve"> ( mc(1000, 3, 4, -1, 1, "EXP(x * sin(y))") ) - 7.39981</f>
        <v>0.3741642447386555</v>
      </c>
      <c r="J199" cm="1">
        <f t="array" ref="J199" xml:space="preserve"> mc(100, -PI()/2,0,-1, 1, "ln(EXP(x * y))")</f>
        <v>0.30237001210363901</v>
      </c>
      <c r="K199" cm="1">
        <f t="array" ref="K199" xml:space="preserve"> mc(500, -PI()/2,0,-1, 1, "ln(EXP(x * y))")</f>
        <v>0.15317839968539473</v>
      </c>
      <c r="L199" cm="1">
        <f t="array" ref="L199" xml:space="preserve"> mc(1000, -PI()/2,0,-1, 1, "ln(EXP(x * y))")</f>
        <v>9.8845657096009402E-3</v>
      </c>
      <c r="N199" cm="1">
        <f t="array" ref="N199" xml:space="preserve"> mc(100, -PI()/2,PI()/2, 0, 1, "sin(cos(x + y))")-1.48235</f>
        <v>-3.2462030241226625E-2</v>
      </c>
      <c r="O199" cm="1">
        <f t="array" ref="O199" xml:space="preserve"> mc(500, -PI()/2,PI()/2, 0, 1, "sin(cos(x + y))")-1.48235</f>
        <v>-2.4497860222129964E-2</v>
      </c>
      <c r="P199" cm="1">
        <f t="array" ref="P199" xml:space="preserve"> mc(1000, -PI()/2,PI()/2, 0, 1, "sin(cos(x + y))")-1.48235</f>
        <v>1.1592417064925087E-3</v>
      </c>
    </row>
    <row r="200" spans="1:16" x14ac:dyDescent="0.3">
      <c r="A200">
        <v>170</v>
      </c>
      <c r="B200" cm="1">
        <f t="array" ref="B200" xml:space="preserve"> mc(100, 0, 4, 1, 2, "x^2+y^2")-92/3</f>
        <v>1.0224487303930125</v>
      </c>
      <c r="C200" cm="1">
        <f t="array" ref="C200" xml:space="preserve"> mc(500, 0, 4, 1, 2, "x^2+y^2")-92/3</f>
        <v>-1.6029356064076268</v>
      </c>
      <c r="D200" cm="1">
        <f t="array" ref="D200" xml:space="preserve"> mc(1000, 0, 4, 1, 2, "x^2+y^2")-92/3</f>
        <v>0.8620194785011428</v>
      </c>
      <c r="F200" cm="1">
        <f t="array" ref="F200" xml:space="preserve"> ( mc(100, 3, 4, -1, 1, "EXP(x * sin(y))") ) - 7.39981</f>
        <v>2.6197332292109685</v>
      </c>
      <c r="G200" cm="1">
        <f t="array" ref="G200" xml:space="preserve"> ( mc(500, 3, 4, -1, 1, "EXP(x * sin(y))") ) - 7.39981</f>
        <v>0.50233559815807016</v>
      </c>
      <c r="H200" cm="1">
        <f t="array" ref="H200" xml:space="preserve"> ( mc(1000, 3, 4, -1, 1, "EXP(x * sin(y))") ) - 7.39981</f>
        <v>-0.31486875952363746</v>
      </c>
      <c r="J200" cm="1">
        <f t="array" ref="J200" xml:space="preserve"> mc(100, -PI()/2,0,-1, 1, "ln(EXP(x * y))")</f>
        <v>9.8907426644228594E-2</v>
      </c>
      <c r="K200" cm="1">
        <f t="array" ref="K200" xml:space="preserve"> mc(500, -PI()/2,0,-1, 1, "ln(EXP(x * y))")</f>
        <v>1.4932461609255192E-2</v>
      </c>
      <c r="L200" cm="1">
        <f t="array" ref="L200" xml:space="preserve"> mc(1000, -PI()/2,0,-1, 1, "ln(EXP(x * y))")</f>
        <v>4.3019757593350874E-2</v>
      </c>
      <c r="N200" cm="1">
        <f t="array" ref="N200" xml:space="preserve"> mc(100, -PI()/2,PI()/2, 0, 1, "sin(cos(x + y))")-1.48235</f>
        <v>-0.15630867507954815</v>
      </c>
      <c r="O200" cm="1">
        <f t="array" ref="O200" xml:space="preserve"> mc(500, -PI()/2,PI()/2, 0, 1, "sin(cos(x + y))")-1.48235</f>
        <v>-6.8351643898772796E-2</v>
      </c>
      <c r="P200" cm="1">
        <f t="array" ref="P200" xml:space="preserve"> mc(1000, -PI()/2,PI()/2, 0, 1, "sin(cos(x + y))")-1.48235</f>
        <v>6.6951596532966118E-2</v>
      </c>
    </row>
    <row r="201" spans="1:16" x14ac:dyDescent="0.3">
      <c r="A201">
        <v>171</v>
      </c>
      <c r="B201" cm="1">
        <f t="array" ref="B201" xml:space="preserve"> mc(100, 0, 4, 1, 2, "x^2+y^2")-92/3</f>
        <v>1.0445485730605704</v>
      </c>
      <c r="C201" cm="1">
        <f t="array" ref="C201" xml:space="preserve"> mc(500, 0, 4, 1, 2, "x^2+y^2")-92/3</f>
        <v>1.2291016138302915</v>
      </c>
      <c r="D201" cm="1">
        <f t="array" ref="D201" xml:space="preserve"> mc(1000, 0, 4, 1, 2, "x^2+y^2")-92/3</f>
        <v>8.1710083851767479E-2</v>
      </c>
      <c r="F201" cm="1">
        <f t="array" ref="F201" xml:space="preserve"> ( mc(100, 3, 4, -1, 1, "EXP(x * sin(y))") ) - 7.39981</f>
        <v>1.1311150682381879</v>
      </c>
      <c r="G201" cm="1">
        <f t="array" ref="G201" xml:space="preserve"> ( mc(500, 3, 4, -1, 1, "EXP(x * sin(y))") ) - 7.39981</f>
        <v>-0.35723029022220221</v>
      </c>
      <c r="H201" cm="1">
        <f t="array" ref="H201" xml:space="preserve"> ( mc(1000, 3, 4, -1, 1, "EXP(x * sin(y))") ) - 7.39981</f>
        <v>-0.76668752128428519</v>
      </c>
      <c r="J201" cm="1">
        <f t="array" ref="J201" xml:space="preserve"> mc(100, -PI()/2,0,-1, 1, "ln(EXP(x * y))")</f>
        <v>-0.100131475219754</v>
      </c>
      <c r="K201" cm="1">
        <f t="array" ref="K201" xml:space="preserve"> mc(500, -PI()/2,0,-1, 1, "ln(EXP(x * y))")</f>
        <v>-3.2452855010033851E-2</v>
      </c>
      <c r="L201" cm="1">
        <f t="array" ref="L201" xml:space="preserve"> mc(1000, -PI()/2,0,-1, 1, "ln(EXP(x * y))")</f>
        <v>-1.3740077341624721E-2</v>
      </c>
      <c r="N201" cm="1">
        <f t="array" ref="N201" xml:space="preserve"> mc(100, -PI()/2,PI()/2, 0, 1, "sin(cos(x + y))")-1.48235</f>
        <v>8.4659113450293422E-2</v>
      </c>
      <c r="O201" cm="1">
        <f t="array" ref="O201" xml:space="preserve"> mc(500, -PI()/2,PI()/2, 0, 1, "sin(cos(x + y))")-1.48235</f>
        <v>5.8101611772243267E-2</v>
      </c>
      <c r="P201" cm="1">
        <f t="array" ref="P201" xml:space="preserve"> mc(1000, -PI()/2,PI()/2, 0, 1, "sin(cos(x + y))")-1.48235</f>
        <v>1.3375432885320615E-2</v>
      </c>
    </row>
    <row r="202" spans="1:16" x14ac:dyDescent="0.3">
      <c r="A202">
        <v>172</v>
      </c>
      <c r="B202" cm="1">
        <f t="array" ref="B202" xml:space="preserve"> mc(100, 0, 4, 1, 2, "x^2+y^2")-92/3</f>
        <v>-1.5421188177421818</v>
      </c>
      <c r="C202" cm="1">
        <f t="array" ref="C202" xml:space="preserve"> mc(500, 0, 4, 1, 2, "x^2+y^2")-92/3</f>
        <v>-0.83678066334116252</v>
      </c>
      <c r="D202" cm="1">
        <f t="array" ref="D202" xml:space="preserve"> mc(1000, 0, 4, 1, 2, "x^2+y^2")-92/3</f>
        <v>0.35762230025443031</v>
      </c>
      <c r="F202" cm="1">
        <f t="array" ref="F202" xml:space="preserve"> ( mc(100, 3, 4, -1, 1, "EXP(x * sin(y))") ) - 7.39981</f>
        <v>0.41680467130890086</v>
      </c>
      <c r="G202" cm="1">
        <f t="array" ref="G202" xml:space="preserve"> ( mc(500, 3, 4, -1, 1, "EXP(x * sin(y))") ) - 7.39981</f>
        <v>0.14854717101737069</v>
      </c>
      <c r="H202" cm="1">
        <f t="array" ref="H202" xml:space="preserve"> ( mc(1000, 3, 4, -1, 1, "EXP(x * sin(y))") ) - 7.39981</f>
        <v>-0.36810898659646885</v>
      </c>
      <c r="J202" cm="1">
        <f t="array" ref="J202" xml:space="preserve"> mc(100, -PI()/2,0,-1, 1, "ln(EXP(x * y))")</f>
        <v>-8.0501724870823799E-2</v>
      </c>
      <c r="K202" cm="1">
        <f t="array" ref="K202" xml:space="preserve"> mc(500, -PI()/2,0,-1, 1, "ln(EXP(x * y))")</f>
        <v>-1.2308926107070111E-2</v>
      </c>
      <c r="L202" cm="1">
        <f t="array" ref="L202" xml:space="preserve"> mc(1000, -PI()/2,0,-1, 1, "ln(EXP(x * y))")</f>
        <v>-6.4983197336166032E-2</v>
      </c>
      <c r="N202" cm="1">
        <f t="array" ref="N202" xml:space="preserve"> mc(100, -PI()/2,PI()/2, 0, 1, "sin(cos(x + y))")-1.48235</f>
        <v>3.8267833435672305E-3</v>
      </c>
      <c r="O202" cm="1">
        <f t="array" ref="O202" xml:space="preserve"> mc(500, -PI()/2,PI()/2, 0, 1, "sin(cos(x + y))")-1.48235</f>
        <v>-2.2843927752043358E-2</v>
      </c>
      <c r="P202" cm="1">
        <f t="array" ref="P202" xml:space="preserve"> mc(1000, -PI()/2,PI()/2, 0, 1, "sin(cos(x + y))")-1.48235</f>
        <v>-1.6254540386698935E-2</v>
      </c>
    </row>
    <row r="203" spans="1:16" x14ac:dyDescent="0.3">
      <c r="A203">
        <v>173</v>
      </c>
      <c r="B203" cm="1">
        <f t="array" ref="B203" xml:space="preserve"> mc(100, 0, 4, 1, 2, "x^2+y^2")-92/3</f>
        <v>1.1270401983719935</v>
      </c>
      <c r="C203" cm="1">
        <f t="array" ref="C203" xml:space="preserve"> mc(500, 0, 4, 1, 2, "x^2+y^2")-92/3</f>
        <v>1.1195797872759918</v>
      </c>
      <c r="D203" cm="1">
        <f t="array" ref="D203" xml:space="preserve"> mc(1000, 0, 4, 1, 2, "x^2+y^2")-92/3</f>
        <v>1.0468172250858672</v>
      </c>
      <c r="F203" cm="1">
        <f t="array" ref="F203" xml:space="preserve"> ( mc(100, 3, 4, -1, 1, "EXP(x * sin(y))") ) - 7.39981</f>
        <v>0.57173924724962966</v>
      </c>
      <c r="G203" cm="1">
        <f t="array" ref="G203" xml:space="preserve"> ( mc(500, 3, 4, -1, 1, "EXP(x * sin(y))") ) - 7.39981</f>
        <v>0.52940479024651932</v>
      </c>
      <c r="H203" cm="1">
        <f t="array" ref="H203" xml:space="preserve"> ( mc(1000, 3, 4, -1, 1, "EXP(x * sin(y))") ) - 7.39981</f>
        <v>0.46802101417308162</v>
      </c>
      <c r="J203" cm="1">
        <f t="array" ref="J203" xml:space="preserve"> mc(100, -PI()/2,0,-1, 1, "ln(EXP(x * y))")</f>
        <v>5.2268579885722437E-3</v>
      </c>
      <c r="K203" cm="1">
        <f t="array" ref="K203" xml:space="preserve"> mc(500, -PI()/2,0,-1, 1, "ln(EXP(x * y))")</f>
        <v>9.6415557103806324E-3</v>
      </c>
      <c r="L203" cm="1">
        <f t="array" ref="L203" xml:space="preserve"> mc(1000, -PI()/2,0,-1, 1, "ln(EXP(x * y))")</f>
        <v>-3.2675835749993089E-2</v>
      </c>
      <c r="N203" cm="1">
        <f t="array" ref="N203" xml:space="preserve"> mc(100, -PI()/2,PI()/2, 0, 1, "sin(cos(x + y))")-1.48235</f>
        <v>-0.14630801988420683</v>
      </c>
      <c r="O203" cm="1">
        <f t="array" ref="O203" xml:space="preserve"> mc(500, -PI()/2,PI()/2, 0, 1, "sin(cos(x + y))")-1.48235</f>
        <v>-7.9234573071629955E-2</v>
      </c>
      <c r="P203" cm="1">
        <f t="array" ref="P203" xml:space="preserve"> mc(1000, -PI()/2,PI()/2, 0, 1, "sin(cos(x + y))")-1.48235</f>
        <v>2.0424948207857785E-3</v>
      </c>
    </row>
    <row r="204" spans="1:16" x14ac:dyDescent="0.3">
      <c r="A204">
        <v>174</v>
      </c>
      <c r="B204" cm="1">
        <f t="array" ref="B204" xml:space="preserve"> mc(100, 0, 4, 1, 2, "x^2+y^2")-92/3</f>
        <v>-2.4349872953446798</v>
      </c>
      <c r="C204" cm="1">
        <f t="array" ref="C204" xml:space="preserve"> mc(500, 0, 4, 1, 2, "x^2+y^2")-92/3</f>
        <v>0.2929294636668871</v>
      </c>
      <c r="D204" cm="1">
        <f t="array" ref="D204" xml:space="preserve"> mc(1000, 0, 4, 1, 2, "x^2+y^2")-92/3</f>
        <v>-0.6609067435767173</v>
      </c>
      <c r="F204" cm="1">
        <f t="array" ref="F204" xml:space="preserve"> ( mc(100, 3, 4, -1, 1, "EXP(x * sin(y))") ) - 7.39981</f>
        <v>-0.32142377833960989</v>
      </c>
      <c r="G204" cm="1">
        <f t="array" ref="G204" xml:space="preserve"> ( mc(500, 3, 4, -1, 1, "EXP(x * sin(y))") ) - 7.39981</f>
        <v>-0.32753347472542682</v>
      </c>
      <c r="H204" cm="1">
        <f t="array" ref="H204" xml:space="preserve"> ( mc(1000, 3, 4, -1, 1, "EXP(x * sin(y))") ) - 7.39981</f>
        <v>-0.15265624250148768</v>
      </c>
      <c r="J204" cm="1">
        <f t="array" ref="J204" xml:space="preserve"> mc(100, -PI()/2,0,-1, 1, "ln(EXP(x * y))")</f>
        <v>1.3660615658697126E-2</v>
      </c>
      <c r="K204" cm="1">
        <f t="array" ref="K204" xml:space="preserve"> mc(500, -PI()/2,0,-1, 1, "ln(EXP(x * y))")</f>
        <v>4.3767152956531242E-3</v>
      </c>
      <c r="L204" cm="1">
        <f t="array" ref="L204" xml:space="preserve"> mc(1000, -PI()/2,0,-1, 1, "ln(EXP(x * y))")</f>
        <v>6.8557016463598991E-2</v>
      </c>
      <c r="N204" cm="1">
        <f t="array" ref="N204" xml:space="preserve"> mc(100, -PI()/2,PI()/2, 0, 1, "sin(cos(x + y))")-1.48235</f>
        <v>4.5922983523928984E-2</v>
      </c>
      <c r="O204" cm="1">
        <f t="array" ref="O204" xml:space="preserve"> mc(500, -PI()/2,PI()/2, 0, 1, "sin(cos(x + y))")-1.48235</f>
        <v>-7.9886809682877313E-2</v>
      </c>
      <c r="P204" cm="1">
        <f t="array" ref="P204" xml:space="preserve"> mc(1000, -PI()/2,PI()/2, 0, 1, "sin(cos(x + y))")-1.48235</f>
        <v>-7.7771993626437386E-2</v>
      </c>
    </row>
    <row r="205" spans="1:16" x14ac:dyDescent="0.3">
      <c r="A205">
        <v>175</v>
      </c>
      <c r="B205" cm="1">
        <f t="array" ref="B205" xml:space="preserve"> mc(100, 0, 4, 1, 2, "x^2+y^2")-92/3</f>
        <v>1.0795150180592294</v>
      </c>
      <c r="C205" cm="1">
        <f t="array" ref="C205" xml:space="preserve"> mc(500, 0, 4, 1, 2, "x^2+y^2")-92/3</f>
        <v>-0.51376920097327528</v>
      </c>
      <c r="D205" cm="1">
        <f t="array" ref="D205" xml:space="preserve"> mc(1000, 0, 4, 1, 2, "x^2+y^2")-92/3</f>
        <v>0.8757107344549091</v>
      </c>
      <c r="F205" cm="1">
        <f t="array" ref="F205" xml:space="preserve"> ( mc(100, 3, 4, -1, 1, "EXP(x * sin(y))") ) - 7.39981</f>
        <v>1.4579941317371166</v>
      </c>
      <c r="G205" cm="1">
        <f t="array" ref="G205" xml:space="preserve"> ( mc(500, 3, 4, -1, 1, "EXP(x * sin(y))") ) - 7.39981</f>
        <v>-0.20789870227619822</v>
      </c>
      <c r="H205" cm="1">
        <f t="array" ref="H205" xml:space="preserve"> ( mc(1000, 3, 4, -1, 1, "EXP(x * sin(y))") ) - 7.39981</f>
        <v>0.51522391590215655</v>
      </c>
      <c r="J205" cm="1">
        <f t="array" ref="J205" xml:space="preserve"> mc(100, -PI()/2,0,-1, 1, "ln(EXP(x * y))")</f>
        <v>8.2627113604136423E-2</v>
      </c>
      <c r="K205" cm="1">
        <f t="array" ref="K205" xml:space="preserve"> mc(500, -PI()/2,0,-1, 1, "ln(EXP(x * y))")</f>
        <v>-7.4961543712896803E-2</v>
      </c>
      <c r="L205" cm="1">
        <f t="array" ref="L205" xml:space="preserve"> mc(1000, -PI()/2,0,-1, 1, "ln(EXP(x * y))")</f>
        <v>-4.9636981407439731E-2</v>
      </c>
      <c r="N205" cm="1">
        <f t="array" ref="N205" xml:space="preserve"> mc(100, -PI()/2,PI()/2, 0, 1, "sin(cos(x + y))")-1.48235</f>
        <v>2.8687728626347386E-2</v>
      </c>
      <c r="O205" cm="1">
        <f t="array" ref="O205" xml:space="preserve"> mc(500, -PI()/2,PI()/2, 0, 1, "sin(cos(x + y))")-1.48235</f>
        <v>-4.7881461267262893E-4</v>
      </c>
      <c r="P205" cm="1">
        <f t="array" ref="P205" xml:space="preserve"> mc(1000, -PI()/2,PI()/2, 0, 1, "sin(cos(x + y))")-1.48235</f>
        <v>8.0927247350369713E-2</v>
      </c>
    </row>
    <row r="206" spans="1:16" x14ac:dyDescent="0.3">
      <c r="A206">
        <v>176</v>
      </c>
      <c r="B206" cm="1">
        <f t="array" ref="B206" xml:space="preserve"> mc(100, 0, 4, 1, 2, "x^2+y^2")-92/3</f>
        <v>-0.41510437796010535</v>
      </c>
      <c r="C206" cm="1">
        <f t="array" ref="C206" xml:space="preserve"> mc(500, 0, 4, 1, 2, "x^2+y^2")-92/3</f>
        <v>1.8354606865776582</v>
      </c>
      <c r="D206" cm="1">
        <f t="array" ref="D206" xml:space="preserve"> mc(1000, 0, 4, 1, 2, "x^2+y^2")-92/3</f>
        <v>-0.20088540395030208</v>
      </c>
      <c r="F206" cm="1">
        <f t="array" ref="F206" xml:space="preserve"> ( mc(100, 3, 4, -1, 1, "EXP(x * sin(y))") ) - 7.39981</f>
        <v>-1.4591981406033803</v>
      </c>
      <c r="G206" cm="1">
        <f t="array" ref="G206" xml:space="preserve"> ( mc(500, 3, 4, -1, 1, "EXP(x * sin(y))") ) - 7.39981</f>
        <v>-0.22670447808038396</v>
      </c>
      <c r="H206" cm="1">
        <f t="array" ref="H206" xml:space="preserve"> ( mc(1000, 3, 4, -1, 1, "EXP(x * sin(y))") ) - 7.39981</f>
        <v>4.0849459885843764E-2</v>
      </c>
      <c r="J206" cm="1">
        <f t="array" ref="J206" xml:space="preserve"> mc(100, -PI()/2,0,-1, 1, "ln(EXP(x * y))")</f>
        <v>-5.0873731452153917E-2</v>
      </c>
      <c r="K206" cm="1">
        <f t="array" ref="K206" xml:space="preserve"> mc(500, -PI()/2,0,-1, 1, "ln(EXP(x * y))")</f>
        <v>5.0045548696920586E-2</v>
      </c>
      <c r="L206" cm="1">
        <f t="array" ref="L206" xml:space="preserve"> mc(1000, -PI()/2,0,-1, 1, "ln(EXP(x * y))")</f>
        <v>3.0549969888846954E-2</v>
      </c>
      <c r="N206" cm="1">
        <f t="array" ref="N206" xml:space="preserve"> mc(100, -PI()/2,PI()/2, 0, 1, "sin(cos(x + y))")-1.48235</f>
        <v>-0.26523115730188818</v>
      </c>
      <c r="O206" cm="1">
        <f t="array" ref="O206" xml:space="preserve"> mc(500, -PI()/2,PI()/2, 0, 1, "sin(cos(x + y))")-1.48235</f>
        <v>-6.4983149997726253E-2</v>
      </c>
      <c r="P206" cm="1">
        <f t="array" ref="P206" xml:space="preserve"> mc(1000, -PI()/2,PI()/2, 0, 1, "sin(cos(x + y))")-1.48235</f>
        <v>-3.9667152422881991E-2</v>
      </c>
    </row>
    <row r="207" spans="1:16" x14ac:dyDescent="0.3">
      <c r="A207">
        <v>177</v>
      </c>
      <c r="B207" cm="1">
        <f t="array" ref="B207" xml:space="preserve"> mc(100, 0, 4, 1, 2, "x^2+y^2")-92/3</f>
        <v>0.3571816604724205</v>
      </c>
      <c r="C207" cm="1">
        <f t="array" ref="C207" xml:space="preserve"> mc(500, 0, 4, 1, 2, "x^2+y^2")-92/3</f>
        <v>-0.92106729453245606</v>
      </c>
      <c r="D207" cm="1">
        <f t="array" ref="D207" xml:space="preserve"> mc(1000, 0, 4, 1, 2, "x^2+y^2")-92/3</f>
        <v>-0.15276661463450125</v>
      </c>
      <c r="F207" cm="1">
        <f t="array" ref="F207" xml:space="preserve"> ( mc(100, 3, 4, -1, 1, "EXP(x * sin(y))") ) - 7.39981</f>
        <v>1.1215752861458927</v>
      </c>
      <c r="G207" cm="1">
        <f t="array" ref="G207" xml:space="preserve"> ( mc(500, 3, 4, -1, 1, "EXP(x * sin(y))") ) - 7.39981</f>
        <v>3.4680573493055533E-3</v>
      </c>
      <c r="H207" cm="1">
        <f t="array" ref="H207" xml:space="preserve"> ( mc(1000, 3, 4, -1, 1, "EXP(x * sin(y))") ) - 7.39981</f>
        <v>-0.24500794734026865</v>
      </c>
      <c r="J207" cm="1">
        <f t="array" ref="J207" xml:space="preserve"> mc(100, -PI()/2,0,-1, 1, "ln(EXP(x * y))")</f>
        <v>6.663829813862464E-3</v>
      </c>
      <c r="K207" cm="1">
        <f t="array" ref="K207" xml:space="preserve"> mc(500, -PI()/2,0,-1, 1, "ln(EXP(x * y))")</f>
        <v>5.4336466848469746E-2</v>
      </c>
      <c r="L207" cm="1">
        <f t="array" ref="L207" xml:space="preserve"> mc(1000, -PI()/2,0,-1, 1, "ln(EXP(x * y))")</f>
        <v>1.8843873339935032E-2</v>
      </c>
      <c r="N207" cm="1">
        <f t="array" ref="N207" xml:space="preserve"> mc(100, -PI()/2,PI()/2, 0, 1, "sin(cos(x + y))")-1.48235</f>
        <v>-8.5044861451323728E-2</v>
      </c>
      <c r="O207" cm="1">
        <f t="array" ref="O207" xml:space="preserve"> mc(500, -PI()/2,PI()/2, 0, 1, "sin(cos(x + y))")-1.48235</f>
        <v>0.13512692861320552</v>
      </c>
      <c r="P207" cm="1">
        <f t="array" ref="P207" xml:space="preserve"> mc(1000, -PI()/2,PI()/2, 0, 1, "sin(cos(x + y))")-1.48235</f>
        <v>-1.6755394618433783E-2</v>
      </c>
    </row>
    <row r="208" spans="1:16" x14ac:dyDescent="0.3">
      <c r="A208">
        <v>178</v>
      </c>
      <c r="B208" cm="1">
        <f t="array" ref="B208" xml:space="preserve"> mc(100, 0, 4, 1, 2, "x^2+y^2")-92/3</f>
        <v>-0.38305465078042644</v>
      </c>
      <c r="C208" cm="1">
        <f t="array" ref="C208" xml:space="preserve"> mc(500, 0, 4, 1, 2, "x^2+y^2")-92/3</f>
        <v>0.45860451323780893</v>
      </c>
      <c r="D208" cm="1">
        <f t="array" ref="D208" xml:space="preserve"> mc(1000, 0, 4, 1, 2, "x^2+y^2")-92/3</f>
        <v>-0.19884930386475475</v>
      </c>
      <c r="F208" cm="1">
        <f t="array" ref="F208" xml:space="preserve"> ( mc(100, 3, 4, -1, 1, "EXP(x * sin(y))") ) - 7.39981</f>
        <v>-1.2646951497021082</v>
      </c>
      <c r="G208" cm="1">
        <f t="array" ref="G208" xml:space="preserve"> ( mc(500, 3, 4, -1, 1, "EXP(x * sin(y))") ) - 7.39981</f>
        <v>0.11409347045277052</v>
      </c>
      <c r="H208" cm="1">
        <f t="array" ref="H208" xml:space="preserve"> ( mc(1000, 3, 4, -1, 1, "EXP(x * sin(y))") ) - 7.39981</f>
        <v>0.16489359581769403</v>
      </c>
      <c r="J208" cm="1">
        <f t="array" ref="J208" xml:space="preserve"> mc(100, -PI()/2,0,-1, 1, "ln(EXP(x * y))")</f>
        <v>-0.1101027636410857</v>
      </c>
      <c r="K208" cm="1">
        <f t="array" ref="K208" xml:space="preserve"> mc(500, -PI()/2,0,-1, 1, "ln(EXP(x * y))")</f>
        <v>7.2662255824314903E-2</v>
      </c>
      <c r="L208" cm="1">
        <f t="array" ref="L208" xml:space="preserve"> mc(1000, -PI()/2,0,-1, 1, "ln(EXP(x * y))")</f>
        <v>5.2909459032928062E-2</v>
      </c>
      <c r="N208" cm="1">
        <f t="array" ref="N208" xml:space="preserve"> mc(100, -PI()/2,PI()/2, 0, 1, "sin(cos(x + y))")-1.48235</f>
        <v>-4.5328230269680025E-2</v>
      </c>
      <c r="O208" cm="1">
        <f t="array" ref="O208" xml:space="preserve"> mc(500, -PI()/2,PI()/2, 0, 1, "sin(cos(x + y))")-1.48235</f>
        <v>4.1737669717363257E-3</v>
      </c>
      <c r="P208" cm="1">
        <f t="array" ref="P208" xml:space="preserve"> mc(1000, -PI()/2,PI()/2, 0, 1, "sin(cos(x + y))")-1.48235</f>
        <v>3.0547905409131548E-2</v>
      </c>
    </row>
    <row r="209" spans="1:16" x14ac:dyDescent="0.3">
      <c r="A209">
        <v>179</v>
      </c>
      <c r="B209" cm="1">
        <f t="array" ref="B209" xml:space="preserve"> mc(100, 0, 4, 1, 2, "x^2+y^2")-92/3</f>
        <v>0.62639665942662859</v>
      </c>
      <c r="C209" cm="1">
        <f t="array" ref="C209" xml:space="preserve"> mc(500, 0, 4, 1, 2, "x^2+y^2")-92/3</f>
        <v>-1.46788089093371</v>
      </c>
      <c r="D209" cm="1">
        <f t="array" ref="D209" xml:space="preserve"> mc(1000, 0, 4, 1, 2, "x^2+y^2")-92/3</f>
        <v>-0.28957417939810526</v>
      </c>
      <c r="F209" cm="1">
        <f t="array" ref="F209" xml:space="preserve"> ( mc(100, 3, 4, -1, 1, "EXP(x * sin(y))") ) - 7.39981</f>
        <v>0.92122668689146892</v>
      </c>
      <c r="G209" cm="1">
        <f t="array" ref="G209" xml:space="preserve"> ( mc(500, 3, 4, -1, 1, "EXP(x * sin(y))") ) - 7.39981</f>
        <v>-0.42353343497897189</v>
      </c>
      <c r="H209" cm="1">
        <f t="array" ref="H209" xml:space="preserve"> ( mc(1000, 3, 4, -1, 1, "EXP(x * sin(y))") ) - 7.39981</f>
        <v>-0.4673803756964876</v>
      </c>
      <c r="J209" cm="1">
        <f t="array" ref="J209" xml:space="preserve"> mc(100, -PI()/2,0,-1, 1, "ln(EXP(x * y))")</f>
        <v>-0.27610558882461117</v>
      </c>
      <c r="K209" cm="1">
        <f t="array" ref="K209" xml:space="preserve"> mc(500, -PI()/2,0,-1, 1, "ln(EXP(x * y))")</f>
        <v>2.0600347102900637E-2</v>
      </c>
      <c r="L209" cm="1">
        <f t="array" ref="L209" xml:space="preserve"> mc(1000, -PI()/2,0,-1, 1, "ln(EXP(x * y))")</f>
        <v>-2.4344454653318616E-2</v>
      </c>
      <c r="N209" cm="1">
        <f t="array" ref="N209" xml:space="preserve"> mc(100, -PI()/2,PI()/2, 0, 1, "sin(cos(x + y))")-1.48235</f>
        <v>-0.12872293486866249</v>
      </c>
      <c r="O209" cm="1">
        <f t="array" ref="O209" xml:space="preserve"> mc(500, -PI()/2,PI()/2, 0, 1, "sin(cos(x + y))")-1.48235</f>
        <v>-6.1554328476964182E-2</v>
      </c>
      <c r="P209" cm="1">
        <f t="array" ref="P209" xml:space="preserve"> mc(1000, -PI()/2,PI()/2, 0, 1, "sin(cos(x + y))")-1.48235</f>
        <v>2.5351847918792858E-2</v>
      </c>
    </row>
    <row r="210" spans="1:16" x14ac:dyDescent="0.3">
      <c r="A210">
        <v>180</v>
      </c>
      <c r="B210" cm="1">
        <f t="array" ref="B210" xml:space="preserve"> mc(100, 0, 4, 1, 2, "x^2+y^2")-92/3</f>
        <v>1.7762949218015045</v>
      </c>
      <c r="C210" cm="1">
        <f t="array" ref="C210" xml:space="preserve"> mc(500, 0, 4, 1, 2, "x^2+y^2")-92/3</f>
        <v>6.8233120569388461E-2</v>
      </c>
      <c r="D210" cm="1">
        <f t="array" ref="D210" xml:space="preserve"> mc(1000, 0, 4, 1, 2, "x^2+y^2")-92/3</f>
        <v>-0.50166388647597415</v>
      </c>
      <c r="F210" cm="1">
        <f t="array" ref="F210" xml:space="preserve"> ( mc(100, 3, 4, -1, 1, "EXP(x * sin(y))") ) - 7.39981</f>
        <v>0.14644835064097528</v>
      </c>
      <c r="G210" cm="1">
        <f t="array" ref="G210" xml:space="preserve"> ( mc(500, 3, 4, -1, 1, "EXP(x * sin(y))") ) - 7.39981</f>
        <v>-0.14993349061931571</v>
      </c>
      <c r="H210" cm="1">
        <f t="array" ref="H210" xml:space="preserve"> ( mc(1000, 3, 4, -1, 1, "EXP(x * sin(y))") ) - 7.39981</f>
        <v>0.66254098717526944</v>
      </c>
      <c r="J210" cm="1">
        <f t="array" ref="J210" xml:space="preserve"> mc(100, -PI()/2,0,-1, 1, "ln(EXP(x * y))")</f>
        <v>-7.8380922271961237E-2</v>
      </c>
      <c r="K210" cm="1">
        <f t="array" ref="K210" xml:space="preserve"> mc(500, -PI()/2,0,-1, 1, "ln(EXP(x * y))")</f>
        <v>6.2585559239502001E-2</v>
      </c>
      <c r="L210" cm="1">
        <f t="array" ref="L210" xml:space="preserve"> mc(1000, -PI()/2,0,-1, 1, "ln(EXP(x * y))")</f>
        <v>4.3966009898941151E-2</v>
      </c>
      <c r="N210" cm="1">
        <f t="array" ref="N210" xml:space="preserve"> mc(100, -PI()/2,PI()/2, 0, 1, "sin(cos(x + y))")-1.48235</f>
        <v>-2.9217048128838075E-2</v>
      </c>
      <c r="O210" cm="1">
        <f t="array" ref="O210" xml:space="preserve"> mc(500, -PI()/2,PI()/2, 0, 1, "sin(cos(x + y))")-1.48235</f>
        <v>-4.0815218453251534E-2</v>
      </c>
      <c r="P210" cm="1">
        <f t="array" ref="P210" xml:space="preserve"> mc(1000, -PI()/2,PI()/2, 0, 1, "sin(cos(x + y))")-1.48235</f>
        <v>9.7960767056104459E-4</v>
      </c>
    </row>
    <row r="211" spans="1:16" x14ac:dyDescent="0.3">
      <c r="A211">
        <v>181</v>
      </c>
      <c r="B211" cm="1">
        <f t="array" ref="B211" xml:space="preserve"> mc(100, 0, 4, 1, 2, "x^2+y^2")-92/3</f>
        <v>2.0494522406303339</v>
      </c>
      <c r="C211" cm="1">
        <f t="array" ref="C211" xml:space="preserve"> mc(500, 0, 4, 1, 2, "x^2+y^2")-92/3</f>
        <v>0.1470694512743087</v>
      </c>
      <c r="D211" cm="1">
        <f t="array" ref="D211" xml:space="preserve"> mc(1000, 0, 4, 1, 2, "x^2+y^2")-92/3</f>
        <v>-0.42090166312334887</v>
      </c>
      <c r="F211" cm="1">
        <f t="array" ref="F211" xml:space="preserve"> ( mc(100, 3, 4, -1, 1, "EXP(x * sin(y))") ) - 7.39981</f>
        <v>0.29789103323589128</v>
      </c>
      <c r="G211" cm="1">
        <f t="array" ref="G211" xml:space="preserve"> ( mc(500, 3, 4, -1, 1, "EXP(x * sin(y))") ) - 7.39981</f>
        <v>1.1549037076571622E-2</v>
      </c>
      <c r="H211" cm="1">
        <f t="array" ref="H211" xml:space="preserve"> ( mc(1000, 3, 4, -1, 1, "EXP(x * sin(y))") ) - 7.39981</f>
        <v>0.78763636120844538</v>
      </c>
      <c r="J211" cm="1">
        <f t="array" ref="J211" xml:space="preserve"> mc(100, -PI()/2,0,-1, 1, "ln(EXP(x * y))")</f>
        <v>-0.119385144976385</v>
      </c>
      <c r="K211" cm="1">
        <f t="array" ref="K211" xml:space="preserve"> mc(500, -PI()/2,0,-1, 1, "ln(EXP(x * y))")</f>
        <v>-0.1158083872526757</v>
      </c>
      <c r="L211" cm="1">
        <f t="array" ref="L211" xml:space="preserve"> mc(1000, -PI()/2,0,-1, 1, "ln(EXP(x * y))")</f>
        <v>2.2080849145905263E-2</v>
      </c>
      <c r="N211" cm="1">
        <f t="array" ref="N211" xml:space="preserve"> mc(100, -PI()/2,PI()/2, 0, 1, "sin(cos(x + y))")-1.48235</f>
        <v>4.9952298149519958E-2</v>
      </c>
      <c r="O211" cm="1">
        <f t="array" ref="O211" xml:space="preserve"> mc(500, -PI()/2,PI()/2, 0, 1, "sin(cos(x + y))")-1.48235</f>
        <v>-7.8345216381157101E-3</v>
      </c>
      <c r="P211" cm="1">
        <f t="array" ref="P211" xml:space="preserve"> mc(1000, -PI()/2,PI()/2, 0, 1, "sin(cos(x + y))")-1.48235</f>
        <v>-4.7647644288353996E-2</v>
      </c>
    </row>
    <row r="212" spans="1:16" x14ac:dyDescent="0.3">
      <c r="A212">
        <v>182</v>
      </c>
      <c r="B212" cm="1">
        <f t="array" ref="B212" xml:space="preserve"> mc(100, 0, 4, 1, 2, "x^2+y^2")-92/3</f>
        <v>1.344386390471545</v>
      </c>
      <c r="C212" cm="1">
        <f t="array" ref="C212" xml:space="preserve"> mc(500, 0, 4, 1, 2, "x^2+y^2")-92/3</f>
        <v>-0.54586484720499584</v>
      </c>
      <c r="D212" cm="1">
        <f t="array" ref="D212" xml:space="preserve"> mc(1000, 0, 4, 1, 2, "x^2+y^2")-92/3</f>
        <v>-0.86587179544555681</v>
      </c>
      <c r="F212" cm="1">
        <f t="array" ref="F212" xml:space="preserve"> ( mc(100, 3, 4, -1, 1, "EXP(x * sin(y))") ) - 7.39981</f>
        <v>0.37173270265787917</v>
      </c>
      <c r="G212" cm="1">
        <f t="array" ref="G212" xml:space="preserve"> ( mc(500, 3, 4, -1, 1, "EXP(x * sin(y))") ) - 7.39981</f>
        <v>0.6800221392228476</v>
      </c>
      <c r="H212" cm="1">
        <f t="array" ref="H212" xml:space="preserve"> ( mc(1000, 3, 4, -1, 1, "EXP(x * sin(y))") ) - 7.39981</f>
        <v>0.47783009123155207</v>
      </c>
      <c r="J212" cm="1">
        <f t="array" ref="J212" xml:space="preserve"> mc(100, -PI()/2,0,-1, 1, "ln(EXP(x * y))")</f>
        <v>-0.18048418669859764</v>
      </c>
      <c r="K212" cm="1">
        <f t="array" ref="K212" xml:space="preserve"> mc(500, -PI()/2,0,-1, 1, "ln(EXP(x * y))")</f>
        <v>3.2085498194014149E-2</v>
      </c>
      <c r="L212" cm="1">
        <f t="array" ref="L212" xml:space="preserve"> mc(1000, -PI()/2,0,-1, 1, "ln(EXP(x * y))")</f>
        <v>1.6620983697742456E-2</v>
      </c>
      <c r="N212" cm="1">
        <f t="array" ref="N212" xml:space="preserve"> mc(100, -PI()/2,PI()/2, 0, 1, "sin(cos(x + y))")-1.48235</f>
        <v>-3.1447310770946313E-2</v>
      </c>
      <c r="O212" cm="1">
        <f t="array" ref="O212" xml:space="preserve"> mc(500, -PI()/2,PI()/2, 0, 1, "sin(cos(x + y))")-1.48235</f>
        <v>9.6105889741847195E-2</v>
      </c>
      <c r="P212" cm="1">
        <f t="array" ref="P212" xml:space="preserve"> mc(1000, -PI()/2,PI()/2, 0, 1, "sin(cos(x + y))")-1.48235</f>
        <v>2.3394707881857491E-2</v>
      </c>
    </row>
    <row r="213" spans="1:16" x14ac:dyDescent="0.3">
      <c r="A213">
        <v>183</v>
      </c>
      <c r="B213" cm="1">
        <f t="array" ref="B213" xml:space="preserve"> mc(100, 0, 4, 1, 2, "x^2+y^2")-92/3</f>
        <v>1.0374781946011602</v>
      </c>
      <c r="C213" cm="1">
        <f t="array" ref="C213" xml:space="preserve"> mc(500, 0, 4, 1, 2, "x^2+y^2")-92/3</f>
        <v>-1.4538448721100181</v>
      </c>
      <c r="D213" cm="1">
        <f t="array" ref="D213" xml:space="preserve"> mc(1000, 0, 4, 1, 2, "x^2+y^2")-92/3</f>
        <v>0.70663065493624444</v>
      </c>
      <c r="F213" cm="1">
        <f t="array" ref="F213" xml:space="preserve"> ( mc(100, 3, 4, -1, 1, "EXP(x * sin(y))") ) - 7.39981</f>
        <v>-1.450293523913472</v>
      </c>
      <c r="G213" cm="1">
        <f t="array" ref="G213" xml:space="preserve"> ( mc(500, 3, 4, -1, 1, "EXP(x * sin(y))") ) - 7.39981</f>
        <v>-0.42299034264025881</v>
      </c>
      <c r="H213" cm="1">
        <f t="array" ref="H213" xml:space="preserve"> ( mc(1000, 3, 4, -1, 1, "EXP(x * sin(y))") ) - 7.39981</f>
        <v>9.8732489890124064E-2</v>
      </c>
      <c r="J213" cm="1">
        <f t="array" ref="J213" xml:space="preserve"> mc(100, -PI()/2,0,-1, 1, "ln(EXP(x * y))")</f>
        <v>0.11810440638888127</v>
      </c>
      <c r="K213" cm="1">
        <f t="array" ref="K213" xml:space="preserve"> mc(500, -PI()/2,0,-1, 1, "ln(EXP(x * y))")</f>
        <v>-5.4993771899661884E-3</v>
      </c>
      <c r="L213" cm="1">
        <f t="array" ref="L213" xml:space="preserve"> mc(1000, -PI()/2,0,-1, 1, "ln(EXP(x * y))")</f>
        <v>-9.9441191091851261E-2</v>
      </c>
      <c r="N213" cm="1">
        <f t="array" ref="N213" xml:space="preserve"> mc(100, -PI()/2,PI()/2, 0, 1, "sin(cos(x + y))")-1.48235</f>
        <v>0.15372968465881676</v>
      </c>
      <c r="O213" cm="1">
        <f t="array" ref="O213" xml:space="preserve"> mc(500, -PI()/2,PI()/2, 0, 1, "sin(cos(x + y))")-1.48235</f>
        <v>-5.9382879908733255E-2</v>
      </c>
      <c r="P213" cm="1">
        <f t="array" ref="P213" xml:space="preserve"> mc(1000, -PI()/2,PI()/2, 0, 1, "sin(cos(x + y))")-1.48235</f>
        <v>6.5725663647060451E-3</v>
      </c>
    </row>
    <row r="214" spans="1:16" x14ac:dyDescent="0.3">
      <c r="A214">
        <v>184</v>
      </c>
      <c r="B214" cm="1">
        <f t="array" ref="B214" xml:space="preserve"> mc(100, 0, 4, 1, 2, "x^2+y^2")-92/3</f>
        <v>1.5990625125955766</v>
      </c>
      <c r="C214" cm="1">
        <f t="array" ref="C214" xml:space="preserve"> mc(500, 0, 4, 1, 2, "x^2+y^2")-92/3</f>
        <v>-1.7165089829017646</v>
      </c>
      <c r="D214" cm="1">
        <f t="array" ref="D214" xml:space="preserve"> mc(1000, 0, 4, 1, 2, "x^2+y^2")-92/3</f>
        <v>-0.61983266410804205</v>
      </c>
      <c r="F214" cm="1">
        <f t="array" ref="F214" xml:space="preserve"> ( mc(100, 3, 4, -1, 1, "EXP(x * sin(y))") ) - 7.39981</f>
        <v>0.31520715337377592</v>
      </c>
      <c r="G214" cm="1">
        <f t="array" ref="G214" xml:space="preserve"> ( mc(500, 3, 4, -1, 1, "EXP(x * sin(y))") ) - 7.39981</f>
        <v>-0.28083472803523168</v>
      </c>
      <c r="H214" cm="1">
        <f t="array" ref="H214" xml:space="preserve"> ( mc(1000, 3, 4, -1, 1, "EXP(x * sin(y))") ) - 7.39981</f>
        <v>5.2432827764317125E-3</v>
      </c>
      <c r="J214" cm="1">
        <f t="array" ref="J214" xml:space="preserve"> mc(100, -PI()/2,0,-1, 1, "ln(EXP(x * y))")</f>
        <v>9.3154357064039239E-2</v>
      </c>
      <c r="K214" cm="1">
        <f t="array" ref="K214" xml:space="preserve"> mc(500, -PI()/2,0,-1, 1, "ln(EXP(x * y))")</f>
        <v>3.1657248703826725E-2</v>
      </c>
      <c r="L214" cm="1">
        <f t="array" ref="L214" xml:space="preserve"> mc(1000, -PI()/2,0,-1, 1, "ln(EXP(x * y))")</f>
        <v>-7.1118221934938552E-2</v>
      </c>
      <c r="N214" cm="1">
        <f t="array" ref="N214" xml:space="preserve"> mc(100, -PI()/2,PI()/2, 0, 1, "sin(cos(x + y))")-1.48235</f>
        <v>-5.6746267686953678E-2</v>
      </c>
      <c r="O214" cm="1">
        <f t="array" ref="O214" xml:space="preserve"> mc(500, -PI()/2,PI()/2, 0, 1, "sin(cos(x + y))")-1.48235</f>
        <v>7.2318417410766722E-2</v>
      </c>
      <c r="P214" cm="1">
        <f t="array" ref="P214" xml:space="preserve"> mc(1000, -PI()/2,PI()/2, 0, 1, "sin(cos(x + y))")-1.48235</f>
        <v>-7.7991064749572292E-2</v>
      </c>
    </row>
    <row r="215" spans="1:16" x14ac:dyDescent="0.3">
      <c r="A215">
        <v>185</v>
      </c>
      <c r="B215" cm="1">
        <f t="array" ref="B215" xml:space="preserve"> mc(100, 0, 4, 1, 2, "x^2+y^2")-92/3</f>
        <v>0.51397828918130628</v>
      </c>
      <c r="C215" cm="1">
        <f t="array" ref="C215" xml:space="preserve"> mc(500, 0, 4, 1, 2, "x^2+y^2")-92/3</f>
        <v>0.98741202367839165</v>
      </c>
      <c r="D215" cm="1">
        <f t="array" ref="D215" xml:space="preserve"> mc(1000, 0, 4, 1, 2, "x^2+y^2")-92/3</f>
        <v>0.26852820430747215</v>
      </c>
      <c r="F215" cm="1">
        <f t="array" ref="F215" xml:space="preserve"> ( mc(100, 3, 4, -1, 1, "EXP(x * sin(y))") ) - 7.39981</f>
        <v>0.90479281029643666</v>
      </c>
      <c r="G215" cm="1">
        <f t="array" ref="G215" xml:space="preserve"> ( mc(500, 3, 4, -1, 1, "EXP(x * sin(y))") ) - 7.39981</f>
        <v>0.69042955272690598</v>
      </c>
      <c r="H215" cm="1">
        <f t="array" ref="H215" xml:space="preserve"> ( mc(1000, 3, 4, -1, 1, "EXP(x * sin(y))") ) - 7.39981</f>
        <v>-1.4741268954996833E-2</v>
      </c>
      <c r="J215" cm="1">
        <f t="array" ref="J215" xml:space="preserve"> mc(100, -PI()/2,0,-1, 1, "ln(EXP(x * y))")</f>
        <v>1.392243048331694E-2</v>
      </c>
      <c r="K215" cm="1">
        <f t="array" ref="K215" xml:space="preserve"> mc(500, -PI()/2,0,-1, 1, "ln(EXP(x * y))")</f>
        <v>-5.020727315719461E-3</v>
      </c>
      <c r="L215" cm="1">
        <f t="array" ref="L215" xml:space="preserve"> mc(1000, -PI()/2,0,-1, 1, "ln(EXP(x * y))")</f>
        <v>6.0635335648350601E-3</v>
      </c>
      <c r="N215" cm="1">
        <f t="array" ref="N215" xml:space="preserve"> mc(100, -PI()/2,PI()/2, 0, 1, "sin(cos(x + y))")-1.48235</f>
        <v>-1.0799998176830305E-2</v>
      </c>
      <c r="O215" cm="1">
        <f t="array" ref="O215" xml:space="preserve"> mc(500, -PI()/2,PI()/2, 0, 1, "sin(cos(x + y))")-1.48235</f>
        <v>2.6725883123732475E-2</v>
      </c>
      <c r="P215" cm="1">
        <f t="array" ref="P215" xml:space="preserve"> mc(1000, -PI()/2,PI()/2, 0, 1, "sin(cos(x + y))")-1.48235</f>
        <v>9.4348824565805067E-2</v>
      </c>
    </row>
    <row r="216" spans="1:16" x14ac:dyDescent="0.3">
      <c r="A216">
        <v>186</v>
      </c>
      <c r="B216" cm="1">
        <f t="array" ref="B216" xml:space="preserve"> mc(100, 0, 4, 1, 2, "x^2+y^2")-92/3</f>
        <v>-2.3444166342962305</v>
      </c>
      <c r="C216" cm="1">
        <f t="array" ref="C216" xml:space="preserve"> mc(500, 0, 4, 1, 2, "x^2+y^2")-92/3</f>
        <v>0.75592138381302476</v>
      </c>
      <c r="D216" cm="1">
        <f t="array" ref="D216" xml:space="preserve"> mc(1000, 0, 4, 1, 2, "x^2+y^2")-92/3</f>
        <v>-0.96610913542678389</v>
      </c>
      <c r="F216" cm="1">
        <f t="array" ref="F216" xml:space="preserve"> ( mc(100, 3, 4, -1, 1, "EXP(x * sin(y))") ) - 7.39981</f>
        <v>-0.2648695844684692</v>
      </c>
      <c r="G216" cm="1">
        <f t="array" ref="G216" xml:space="preserve"> ( mc(500, 3, 4, -1, 1, "EXP(x * sin(y))") ) - 7.39981</f>
        <v>-0.40903926317352468</v>
      </c>
      <c r="H216" cm="1">
        <f t="array" ref="H216" xml:space="preserve"> ( mc(1000, 3, 4, -1, 1, "EXP(x * sin(y))") ) - 7.39981</f>
        <v>-0.49042153460484261</v>
      </c>
      <c r="J216" cm="1">
        <f t="array" ref="J216" xml:space="preserve"> mc(100, -PI()/2,0,-1, 1, "ln(EXP(x * y))")</f>
        <v>0.26830671566357395</v>
      </c>
      <c r="K216" cm="1">
        <f t="array" ref="K216" xml:space="preserve"> mc(500, -PI()/2,0,-1, 1, "ln(EXP(x * y))")</f>
        <v>-3.9053477670100557E-3</v>
      </c>
      <c r="L216" cm="1">
        <f t="array" ref="L216" xml:space="preserve"> mc(1000, -PI()/2,0,-1, 1, "ln(EXP(x * y))")</f>
        <v>-4.2594597625510759E-2</v>
      </c>
      <c r="N216" cm="1">
        <f t="array" ref="N216" xml:space="preserve"> mc(100, -PI()/2,PI()/2, 0, 1, "sin(cos(x + y))")-1.48235</f>
        <v>-0.16389237259821998</v>
      </c>
      <c r="O216" cm="1">
        <f t="array" ref="O216" xml:space="preserve"> mc(500, -PI()/2,PI()/2, 0, 1, "sin(cos(x + y))")-1.48235</f>
        <v>-2.308950557198397E-2</v>
      </c>
      <c r="P216" cm="1">
        <f t="array" ref="P216" xml:space="preserve"> mc(1000, -PI()/2,PI()/2, 0, 1, "sin(cos(x + y))")-1.48235</f>
        <v>4.0143506578539379E-2</v>
      </c>
    </row>
    <row r="217" spans="1:16" x14ac:dyDescent="0.3">
      <c r="A217">
        <v>187</v>
      </c>
      <c r="B217" cm="1">
        <f t="array" ref="B217" xml:space="preserve"> mc(100, 0, 4, 1, 2, "x^2+y^2")-92/3</f>
        <v>-0.25588211601445821</v>
      </c>
      <c r="C217" cm="1">
        <f t="array" ref="C217" xml:space="preserve"> mc(500, 0, 4, 1, 2, "x^2+y^2")-92/3</f>
        <v>0.63731031851167685</v>
      </c>
      <c r="D217" cm="1">
        <f t="array" ref="D217" xml:space="preserve"> mc(1000, 0, 4, 1, 2, "x^2+y^2")-92/3</f>
        <v>0.21271995753962614</v>
      </c>
      <c r="F217" cm="1">
        <f t="array" ref="F217" xml:space="preserve"> ( mc(100, 3, 4, -1, 1, "EXP(x * sin(y))") ) - 7.39981</f>
        <v>-0.5598572304444378</v>
      </c>
      <c r="G217" cm="1">
        <f t="array" ref="G217" xml:space="preserve"> ( mc(500, 3, 4, -1, 1, "EXP(x * sin(y))") ) - 7.39981</f>
        <v>1.3219267154004335</v>
      </c>
      <c r="H217" cm="1">
        <f t="array" ref="H217" xml:space="preserve"> ( mc(1000, 3, 4, -1, 1, "EXP(x * sin(y))") ) - 7.39981</f>
        <v>0.46197432122187543</v>
      </c>
      <c r="J217" cm="1">
        <f t="array" ref="J217" xml:space="preserve"> mc(100, -PI()/2,0,-1, 1, "ln(EXP(x * y))")</f>
        <v>0.21659487493000817</v>
      </c>
      <c r="K217" cm="1">
        <f t="array" ref="K217" xml:space="preserve"> mc(500, -PI()/2,0,-1, 1, "ln(EXP(x * y))")</f>
        <v>-0.1199109745196342</v>
      </c>
      <c r="L217" cm="1">
        <f t="array" ref="L217" xml:space="preserve"> mc(1000, -PI()/2,0,-1, 1, "ln(EXP(x * y))")</f>
        <v>5.1603948946454077E-3</v>
      </c>
      <c r="N217" cm="1">
        <f t="array" ref="N217" xml:space="preserve"> mc(100, -PI()/2,PI()/2, 0, 1, "sin(cos(x + y))")-1.48235</f>
        <v>-0.29845368481890056</v>
      </c>
      <c r="O217" cm="1">
        <f t="array" ref="O217" xml:space="preserve"> mc(500, -PI()/2,PI()/2, 0, 1, "sin(cos(x + y))")-1.48235</f>
        <v>-0.11273913237284194</v>
      </c>
      <c r="P217" cm="1">
        <f t="array" ref="P217" xml:space="preserve"> mc(1000, -PI()/2,PI()/2, 0, 1, "sin(cos(x + y))")-1.48235</f>
        <v>-7.6027579284273283E-2</v>
      </c>
    </row>
    <row r="218" spans="1:16" x14ac:dyDescent="0.3">
      <c r="A218">
        <v>188</v>
      </c>
      <c r="B218" cm="1">
        <f t="array" ref="B218" xml:space="preserve"> mc(100, 0, 4, 1, 2, "x^2+y^2")-92/3</f>
        <v>0.25037162215985731</v>
      </c>
      <c r="C218" cm="1">
        <f t="array" ref="C218" xml:space="preserve"> mc(500, 0, 4, 1, 2, "x^2+y^2")-92/3</f>
        <v>-0.65692775147079985</v>
      </c>
      <c r="D218" cm="1">
        <f t="array" ref="D218" xml:space="preserve"> mc(1000, 0, 4, 1, 2, "x^2+y^2")-92/3</f>
        <v>8.0898310923608108E-2</v>
      </c>
      <c r="F218" cm="1">
        <f t="array" ref="F218" xml:space="preserve"> ( mc(100, 3, 4, -1, 1, "EXP(x * sin(y))") ) - 7.39981</f>
        <v>1.3081898002344641</v>
      </c>
      <c r="G218" cm="1">
        <f t="array" ref="G218" xml:space="preserve"> ( mc(500, 3, 4, -1, 1, "EXP(x * sin(y))") ) - 7.39981</f>
        <v>0.63465520093729921</v>
      </c>
      <c r="H218" cm="1">
        <f t="array" ref="H218" xml:space="preserve"> ( mc(1000, 3, 4, -1, 1, "EXP(x * sin(y))") ) - 7.39981</f>
        <v>0.5162955314139932</v>
      </c>
      <c r="J218" cm="1">
        <f t="array" ref="J218" xml:space="preserve"> mc(100, -PI()/2,0,-1, 1, "ln(EXP(x * y))")</f>
        <v>7.2261998704375607E-2</v>
      </c>
      <c r="K218" cm="1">
        <f t="array" ref="K218" xml:space="preserve"> mc(500, -PI()/2,0,-1, 1, "ln(EXP(x * y))")</f>
        <v>4.553696690290706E-3</v>
      </c>
      <c r="L218" cm="1">
        <f t="array" ref="L218" xml:space="preserve"> mc(1000, -PI()/2,0,-1, 1, "ln(EXP(x * y))")</f>
        <v>6.3390220189149657E-3</v>
      </c>
      <c r="N218" cm="1">
        <f t="array" ref="N218" xml:space="preserve"> mc(100, -PI()/2,PI()/2, 0, 1, "sin(cos(x + y))")-1.48235</f>
        <v>9.8049670578443937E-2</v>
      </c>
      <c r="O218" cm="1">
        <f t="array" ref="O218" xml:space="preserve"> mc(500, -PI()/2,PI()/2, 0, 1, "sin(cos(x + y))")-1.48235</f>
        <v>-4.9043758574014884E-2</v>
      </c>
      <c r="P218" cm="1">
        <f t="array" ref="P218" xml:space="preserve"> mc(1000, -PI()/2,PI()/2, 0, 1, "sin(cos(x + y))")-1.48235</f>
        <v>1.6172697699305294E-2</v>
      </c>
    </row>
    <row r="219" spans="1:16" x14ac:dyDescent="0.3">
      <c r="A219">
        <v>189</v>
      </c>
      <c r="B219" cm="1">
        <f t="array" ref="B219" xml:space="preserve"> mc(100, 0, 4, 1, 2, "x^2+y^2")-92/3</f>
        <v>1.2399714529447223</v>
      </c>
      <c r="C219" cm="1">
        <f t="array" ref="C219" xml:space="preserve"> mc(500, 0, 4, 1, 2, "x^2+y^2")-92/3</f>
        <v>0.77781316497062392</v>
      </c>
      <c r="D219" cm="1">
        <f t="array" ref="D219" xml:space="preserve"> mc(1000, 0, 4, 1, 2, "x^2+y^2")-92/3</f>
        <v>-0.1492098249067233</v>
      </c>
      <c r="F219" cm="1">
        <f t="array" ref="F219" xml:space="preserve"> ( mc(100, 3, 4, -1, 1, "EXP(x * sin(y))") ) - 7.39981</f>
        <v>0.23690919496611151</v>
      </c>
      <c r="G219" cm="1">
        <f t="array" ref="G219" xml:space="preserve"> ( mc(500, 3, 4, -1, 1, "EXP(x * sin(y))") ) - 7.39981</f>
        <v>0.27152888648053963</v>
      </c>
      <c r="H219" cm="1">
        <f t="array" ref="H219" xml:space="preserve"> ( mc(1000, 3, 4, -1, 1, "EXP(x * sin(y))") ) - 7.39981</f>
        <v>-7.5225992649916584E-2</v>
      </c>
      <c r="J219" cm="1">
        <f t="array" ref="J219" xml:space="preserve"> mc(100, -PI()/2,0,-1, 1, "ln(EXP(x * y))")</f>
        <v>5.173554770089972E-2</v>
      </c>
      <c r="K219" cm="1">
        <f t="array" ref="K219" xml:space="preserve"> mc(500, -PI()/2,0,-1, 1, "ln(EXP(x * y))")</f>
        <v>6.9830052905919163E-2</v>
      </c>
      <c r="L219" cm="1">
        <f t="array" ref="L219" xml:space="preserve"> mc(1000, -PI()/2,0,-1, 1, "ln(EXP(x * y))")</f>
        <v>-5.8682218545489884E-2</v>
      </c>
      <c r="N219" cm="1">
        <f t="array" ref="N219" xml:space="preserve"> mc(100, -PI()/2,PI()/2, 0, 1, "sin(cos(x + y))")-1.48235</f>
        <v>-2.9675433581191069E-2</v>
      </c>
      <c r="O219" cm="1">
        <f t="array" ref="O219" xml:space="preserve"> mc(500, -PI()/2,PI()/2, 0, 1, "sin(cos(x + y))")-1.48235</f>
        <v>1.9966312755888005E-3</v>
      </c>
      <c r="P219" cm="1">
        <f t="array" ref="P219" xml:space="preserve"> mc(1000, -PI()/2,PI()/2, 0, 1, "sin(cos(x + y))")-1.48235</f>
        <v>3.0675355182590902E-2</v>
      </c>
    </row>
    <row r="220" spans="1:16" x14ac:dyDescent="0.3">
      <c r="A220">
        <v>190</v>
      </c>
      <c r="B220" cm="1">
        <f t="array" ref="B220" xml:space="preserve"> mc(100, 0, 4, 1, 2, "x^2+y^2")-92/3</f>
        <v>-0.52495577125052861</v>
      </c>
      <c r="C220" cm="1">
        <f t="array" ref="C220" xml:space="preserve"> mc(500, 0, 4, 1, 2, "x^2+y^2")-92/3</f>
        <v>1.3437312050098065</v>
      </c>
      <c r="D220" cm="1">
        <f t="array" ref="D220" xml:space="preserve"> mc(1000, 0, 4, 1, 2, "x^2+y^2")-92/3</f>
        <v>0.44132835298201556</v>
      </c>
      <c r="F220" cm="1">
        <f t="array" ref="F220" xml:space="preserve"> ( mc(100, 3, 4, -1, 1, "EXP(x * sin(y))") ) - 7.39981</f>
        <v>-0.55266455453161267</v>
      </c>
      <c r="G220" cm="1">
        <f t="array" ref="G220" xml:space="preserve"> ( mc(500, 3, 4, -1, 1, "EXP(x * sin(y))") ) - 7.39981</f>
        <v>0.18729257761730178</v>
      </c>
      <c r="H220" cm="1">
        <f t="array" ref="H220" xml:space="preserve"> ( mc(1000, 3, 4, -1, 1, "EXP(x * sin(y))") ) - 7.39981</f>
        <v>-0.24563977683934457</v>
      </c>
      <c r="J220" cm="1">
        <f t="array" ref="J220" xml:space="preserve"> mc(100, -PI()/2,0,-1, 1, "ln(EXP(x * y))")</f>
        <v>-0.23852869449595324</v>
      </c>
      <c r="K220" cm="1">
        <f t="array" ref="K220" xml:space="preserve"> mc(500, -PI()/2,0,-1, 1, "ln(EXP(x * y))")</f>
        <v>7.7234840852743103E-3</v>
      </c>
      <c r="L220" cm="1">
        <f t="array" ref="L220" xml:space="preserve"> mc(1000, -PI()/2,0,-1, 1, "ln(EXP(x * y))")</f>
        <v>2.7543706343535035E-2</v>
      </c>
      <c r="N220" cm="1">
        <f t="array" ref="N220" xml:space="preserve"> mc(100, -PI()/2,PI()/2, 0, 1, "sin(cos(x + y))")-1.48235</f>
        <v>-0.1154986964512581</v>
      </c>
      <c r="O220" cm="1">
        <f t="array" ref="O220" xml:space="preserve"> mc(500, -PI()/2,PI()/2, 0, 1, "sin(cos(x + y))")-1.48235</f>
        <v>1.9705519846308528E-2</v>
      </c>
      <c r="P220" cm="1">
        <f t="array" ref="P220" xml:space="preserve"> mc(1000, -PI()/2,PI()/2, 0, 1, "sin(cos(x + y))")-1.48235</f>
        <v>1.7170043910199606E-2</v>
      </c>
    </row>
    <row r="221" spans="1:16" x14ac:dyDescent="0.3">
      <c r="A221">
        <v>191</v>
      </c>
      <c r="B221" cm="1">
        <f t="array" ref="B221" xml:space="preserve"> mc(100, 0, 4, 1, 2, "x^2+y^2")-92/3</f>
        <v>1.4926528815256113</v>
      </c>
      <c r="C221" cm="1">
        <f t="array" ref="C221" xml:space="preserve"> mc(500, 0, 4, 1, 2, "x^2+y^2")-92/3</f>
        <v>0.46030473692694329</v>
      </c>
      <c r="D221" cm="1">
        <f t="array" ref="D221" xml:space="preserve"> mc(1000, 0, 4, 1, 2, "x^2+y^2")-92/3</f>
        <v>-0.85794650151035157</v>
      </c>
      <c r="F221" cm="1">
        <f t="array" ref="F221" xml:space="preserve"> ( mc(100, 3, 4, -1, 1, "EXP(x * sin(y))") ) - 7.39981</f>
        <v>4.7801546197999478E-2</v>
      </c>
      <c r="G221" cm="1">
        <f t="array" ref="G221" xml:space="preserve"> ( mc(500, 3, 4, -1, 1, "EXP(x * sin(y))") ) - 7.39981</f>
        <v>7.6521460785425433E-2</v>
      </c>
      <c r="H221" cm="1">
        <f t="array" ref="H221" xml:space="preserve"> ( mc(1000, 3, 4, -1, 1, "EXP(x * sin(y))") ) - 7.39981</f>
        <v>-0.26000734309398332</v>
      </c>
      <c r="J221" cm="1">
        <f t="array" ref="J221" xml:space="preserve"> mc(100, -PI()/2,0,-1, 1, "ln(EXP(x * y))")</f>
        <v>0.21794817814159281</v>
      </c>
      <c r="K221" cm="1">
        <f t="array" ref="K221" xml:space="preserve"> mc(500, -PI()/2,0,-1, 1, "ln(EXP(x * y))")</f>
        <v>0.10087019611828145</v>
      </c>
      <c r="L221" cm="1">
        <f t="array" ref="L221" xml:space="preserve"> mc(1000, -PI()/2,0,-1, 1, "ln(EXP(x * y))")</f>
        <v>6.8713302608118865E-2</v>
      </c>
      <c r="N221" cm="1">
        <f t="array" ref="N221" xml:space="preserve"> mc(100, -PI()/2,PI()/2, 0, 1, "sin(cos(x + y))")-1.48235</f>
        <v>-0.10286795840962437</v>
      </c>
      <c r="O221" cm="1">
        <f t="array" ref="O221" xml:space="preserve"> mc(500, -PI()/2,PI()/2, 0, 1, "sin(cos(x + y))")-1.48235</f>
        <v>1.0208853946080731E-2</v>
      </c>
      <c r="P221" cm="1">
        <f t="array" ref="P221" xml:space="preserve"> mc(1000, -PI()/2,PI()/2, 0, 1, "sin(cos(x + y))")-1.48235</f>
        <v>1.6098265532926037E-2</v>
      </c>
    </row>
    <row r="222" spans="1:16" x14ac:dyDescent="0.3">
      <c r="A222">
        <v>192</v>
      </c>
      <c r="B222" cm="1">
        <f t="array" ref="B222" xml:space="preserve"> mc(100, 0, 4, 1, 2, "x^2+y^2")-92/3</f>
        <v>0.40684471475983486</v>
      </c>
      <c r="C222" cm="1">
        <f t="array" ref="C222" xml:space="preserve"> mc(500, 0, 4, 1, 2, "x^2+y^2")-92/3</f>
        <v>0.8085275244299055</v>
      </c>
      <c r="D222" cm="1">
        <f t="array" ref="D222" xml:space="preserve"> mc(1000, 0, 4, 1, 2, "x^2+y^2")-92/3</f>
        <v>-0.50852508323777812</v>
      </c>
      <c r="F222" cm="1">
        <f t="array" ref="F222" xml:space="preserve"> ( mc(100, 3, 4, -1, 1, "EXP(x * sin(y))") ) - 7.39981</f>
        <v>1.036970720521996</v>
      </c>
      <c r="G222" cm="1">
        <f t="array" ref="G222" xml:space="preserve"> ( mc(500, 3, 4, -1, 1, "EXP(x * sin(y))") ) - 7.39981</f>
        <v>0.77072375661193249</v>
      </c>
      <c r="H222" cm="1">
        <f t="array" ref="H222" xml:space="preserve"> ( mc(1000, 3, 4, -1, 1, "EXP(x * sin(y))") ) - 7.39981</f>
        <v>0.26387354151289788</v>
      </c>
      <c r="J222" cm="1">
        <f t="array" ref="J222" xml:space="preserve"> mc(100, -PI()/2,0,-1, 1, "ln(EXP(x * y))")</f>
        <v>0.14684118853666117</v>
      </c>
      <c r="K222" cm="1">
        <f t="array" ref="K222" xml:space="preserve"> mc(500, -PI()/2,0,-1, 1, "ln(EXP(x * y))")</f>
        <v>-7.5754645315066996E-2</v>
      </c>
      <c r="L222" cm="1">
        <f t="array" ref="L222" xml:space="preserve"> mc(1000, -PI()/2,0,-1, 1, "ln(EXP(x * y))")</f>
        <v>-4.1077564241445361E-2</v>
      </c>
      <c r="N222" cm="1">
        <f t="array" ref="N222" xml:space="preserve"> mc(100, -PI()/2,PI()/2, 0, 1, "sin(cos(x + y))")-1.48235</f>
        <v>0.16244046551625546</v>
      </c>
      <c r="O222" cm="1">
        <f t="array" ref="O222" xml:space="preserve"> mc(500, -PI()/2,PI()/2, 0, 1, "sin(cos(x + y))")-1.48235</f>
        <v>-1.0719867651939108E-2</v>
      </c>
      <c r="P222" cm="1">
        <f t="array" ref="P222" xml:space="preserve"> mc(1000, -PI()/2,PI()/2, 0, 1, "sin(cos(x + y))")-1.48235</f>
        <v>-2.7481809041997041E-2</v>
      </c>
    </row>
    <row r="223" spans="1:16" x14ac:dyDescent="0.3">
      <c r="A223">
        <v>193</v>
      </c>
      <c r="B223" cm="1">
        <f t="array" ref="B223" xml:space="preserve"> mc(100, 0, 4, 1, 2, "x^2+y^2")-92/3</f>
        <v>0.55976760570045059</v>
      </c>
      <c r="C223" cm="1">
        <f t="array" ref="C223" xml:space="preserve"> mc(500, 0, 4, 1, 2, "x^2+y^2")-92/3</f>
        <v>0.59135938571321134</v>
      </c>
      <c r="D223" cm="1">
        <f t="array" ref="D223" xml:space="preserve"> mc(1000, 0, 4, 1, 2, "x^2+y^2")-92/3</f>
        <v>0.35682211651129236</v>
      </c>
      <c r="F223" cm="1">
        <f t="array" ref="F223" xml:space="preserve"> ( mc(100, 3, 4, -1, 1, "EXP(x * sin(y))") ) - 7.39981</f>
        <v>-0.59295856070725073</v>
      </c>
      <c r="G223" cm="1">
        <f t="array" ref="G223" xml:space="preserve"> ( mc(500, 3, 4, -1, 1, "EXP(x * sin(y))") ) - 7.39981</f>
        <v>0.79582142532871814</v>
      </c>
      <c r="H223" cm="1">
        <f t="array" ref="H223" xml:space="preserve"> ( mc(1000, 3, 4, -1, 1, "EXP(x * sin(y))") ) - 7.39981</f>
        <v>-0.39029928649425383</v>
      </c>
      <c r="J223" cm="1">
        <f t="array" ref="J223" xml:space="preserve"> mc(100, -PI()/2,0,-1, 1, "ln(EXP(x * y))")</f>
        <v>-7.9194680737372791E-3</v>
      </c>
      <c r="K223" cm="1">
        <f t="array" ref="K223" xml:space="preserve"> mc(500, -PI()/2,0,-1, 1, "ln(EXP(x * y))")</f>
        <v>9.2632669555525113E-3</v>
      </c>
      <c r="L223" cm="1">
        <f t="array" ref="L223" xml:space="preserve"> mc(1000, -PI()/2,0,-1, 1, "ln(EXP(x * y))")</f>
        <v>-4.0706892283026264E-2</v>
      </c>
      <c r="N223" cm="1">
        <f t="array" ref="N223" xml:space="preserve"> mc(100, -PI()/2,PI()/2, 0, 1, "sin(cos(x + y))")-1.48235</f>
        <v>-0.14198144143185787</v>
      </c>
      <c r="O223" cm="1">
        <f t="array" ref="O223" xml:space="preserve"> mc(500, -PI()/2,PI()/2, 0, 1, "sin(cos(x + y))")-1.48235</f>
        <v>1.2157029873604008E-2</v>
      </c>
      <c r="P223" cm="1">
        <f t="array" ref="P223" xml:space="preserve"> mc(1000, -PI()/2,PI()/2, 0, 1, "sin(cos(x + y))")-1.48235</f>
        <v>1.150694191097168E-2</v>
      </c>
    </row>
    <row r="224" spans="1:16" x14ac:dyDescent="0.3">
      <c r="A224">
        <v>194</v>
      </c>
      <c r="B224" cm="1">
        <f t="array" ref="B224" xml:space="preserve"> mc(100, 0, 4, 1, 2, "x^2+y^2")-92/3</f>
        <v>-2.5395936428612309</v>
      </c>
      <c r="C224" cm="1">
        <f t="array" ref="C224" xml:space="preserve"> mc(500, 0, 4, 1, 2, "x^2+y^2")-92/3</f>
        <v>0.42306748967530439</v>
      </c>
      <c r="D224" cm="1">
        <f t="array" ref="D224" xml:space="preserve"> mc(1000, 0, 4, 1, 2, "x^2+y^2")-92/3</f>
        <v>-4.8857761116664733E-2</v>
      </c>
      <c r="F224" cm="1">
        <f t="array" ref="F224" xml:space="preserve"> ( mc(100, 3, 4, -1, 1, "EXP(x * sin(y))") ) - 7.39981</f>
        <v>0.83489931840443177</v>
      </c>
      <c r="G224" cm="1">
        <f t="array" ref="G224" xml:space="preserve"> ( mc(500, 3, 4, -1, 1, "EXP(x * sin(y))") ) - 7.39981</f>
        <v>0.38625959797849774</v>
      </c>
      <c r="H224" cm="1">
        <f t="array" ref="H224" xml:space="preserve"> ( mc(1000, 3, 4, -1, 1, "EXP(x * sin(y))") ) - 7.39981</f>
        <v>-0.46784732233935244</v>
      </c>
      <c r="J224" cm="1">
        <f t="array" ref="J224" xml:space="preserve"> mc(100, -PI()/2,0,-1, 1, "ln(EXP(x * y))")</f>
        <v>-1.0239215984807691E-2</v>
      </c>
      <c r="K224" cm="1">
        <f t="array" ref="K224" xml:space="preserve"> mc(500, -PI()/2,0,-1, 1, "ln(EXP(x * y))")</f>
        <v>-6.908409433858019E-2</v>
      </c>
      <c r="L224" cm="1">
        <f t="array" ref="L224" xml:space="preserve"> mc(1000, -PI()/2,0,-1, 1, "ln(EXP(x * y))")</f>
        <v>-4.907684303803389E-2</v>
      </c>
      <c r="N224" cm="1">
        <f t="array" ref="N224" xml:space="preserve"> mc(100, -PI()/2,PI()/2, 0, 1, "sin(cos(x + y))")-1.48235</f>
        <v>0.11677021085906003</v>
      </c>
      <c r="O224" cm="1">
        <f t="array" ref="O224" xml:space="preserve"> mc(500, -PI()/2,PI()/2, 0, 1, "sin(cos(x + y))")-1.48235</f>
        <v>-5.7430128699870187E-2</v>
      </c>
      <c r="P224" cm="1">
        <f t="array" ref="P224" xml:space="preserve"> mc(1000, -PI()/2,PI()/2, 0, 1, "sin(cos(x + y))")-1.48235</f>
        <v>4.9872377058206574E-2</v>
      </c>
    </row>
    <row r="225" spans="1:16" x14ac:dyDescent="0.3">
      <c r="A225">
        <v>195</v>
      </c>
      <c r="B225" cm="1">
        <f t="array" ref="B225" xml:space="preserve"> mc(100, 0, 4, 1, 2, "x^2+y^2")-92/3</f>
        <v>-0.4239213543948317</v>
      </c>
      <c r="C225" cm="1">
        <f t="array" ref="C225" xml:space="preserve"> mc(500, 0, 4, 1, 2, "x^2+y^2")-92/3</f>
        <v>-1.12634970643564</v>
      </c>
      <c r="D225" cm="1">
        <f t="array" ref="D225" xml:space="preserve"> mc(1000, 0, 4, 1, 2, "x^2+y^2")-92/3</f>
        <v>-0.16256828937958545</v>
      </c>
      <c r="F225" cm="1">
        <f t="array" ref="F225" xml:space="preserve"> ( mc(100, 3, 4, -1, 1, "EXP(x * sin(y))") ) - 7.39981</f>
        <v>-0.63194477660148163</v>
      </c>
      <c r="G225" cm="1">
        <f t="array" ref="G225" xml:space="preserve"> ( mc(500, 3, 4, -1, 1, "EXP(x * sin(y))") ) - 7.39981</f>
        <v>7.5662920064961448E-2</v>
      </c>
      <c r="H225" cm="1">
        <f t="array" ref="H225" xml:space="preserve"> ( mc(1000, 3, 4, -1, 1, "EXP(x * sin(y))") ) - 7.39981</f>
        <v>0.29522287319322693</v>
      </c>
      <c r="J225" cm="1">
        <f t="array" ref="J225" xml:space="preserve"> mc(100, -PI()/2,0,-1, 1, "ln(EXP(x * y))")</f>
        <v>0.18732140361252339</v>
      </c>
      <c r="K225" cm="1">
        <f t="array" ref="K225" xml:space="preserve"> mc(500, -PI()/2,0,-1, 1, "ln(EXP(x * y))")</f>
        <v>0.19728384769629748</v>
      </c>
      <c r="L225" cm="1">
        <f t="array" ref="L225" xml:space="preserve"> mc(1000, -PI()/2,0,-1, 1, "ln(EXP(x * y))")</f>
        <v>4.8977033208141958E-2</v>
      </c>
      <c r="N225" cm="1">
        <f t="array" ref="N225" xml:space="preserve"> mc(100, -PI()/2,PI()/2, 0, 1, "sin(cos(x + y))")-1.48235</f>
        <v>4.3636865807450409E-2</v>
      </c>
      <c r="O225" cm="1">
        <f t="array" ref="O225" xml:space="preserve"> mc(500, -PI()/2,PI()/2, 0, 1, "sin(cos(x + y))")-1.48235</f>
        <v>-6.4799145794905755E-2</v>
      </c>
      <c r="P225" cm="1">
        <f t="array" ref="P225" xml:space="preserve"> mc(1000, -PI()/2,PI()/2, 0, 1, "sin(cos(x + y))")-1.48235</f>
        <v>-1.2096554846710683E-2</v>
      </c>
    </row>
    <row r="226" spans="1:16" x14ac:dyDescent="0.3">
      <c r="A226">
        <v>196</v>
      </c>
      <c r="B226" cm="1">
        <f t="array" ref="B226" xml:space="preserve"> mc(100, 0, 4, 1, 2, "x^2+y^2")-92/3</f>
        <v>2.1809687405870513</v>
      </c>
      <c r="C226" cm="1">
        <f t="array" ref="C226" xml:space="preserve"> mc(500, 0, 4, 1, 2, "x^2+y^2")-92/3</f>
        <v>0.48011474233961593</v>
      </c>
      <c r="D226" cm="1">
        <f t="array" ref="D226" xml:space="preserve"> mc(1000, 0, 4, 1, 2, "x^2+y^2")-92/3</f>
        <v>-7.7951953509671768E-2</v>
      </c>
      <c r="F226" cm="1">
        <f t="array" ref="F226" xml:space="preserve"> ( mc(100, 3, 4, -1, 1, "EXP(x * sin(y))") ) - 7.39981</f>
        <v>1.9533358013772855</v>
      </c>
      <c r="G226" cm="1">
        <f t="array" ref="G226" xml:space="preserve"> ( mc(500, 3, 4, -1, 1, "EXP(x * sin(y))") ) - 7.39981</f>
        <v>8.5388327061300728E-2</v>
      </c>
      <c r="H226" cm="1">
        <f t="array" ref="H226" xml:space="preserve"> ( mc(1000, 3, 4, -1, 1, "EXP(x * sin(y))") ) - 7.39981</f>
        <v>-0.15563398961260866</v>
      </c>
      <c r="J226" cm="1">
        <f t="array" ref="J226" xml:space="preserve"> mc(100, -PI()/2,0,-1, 1, "ln(EXP(x * y))")</f>
        <v>5.0853075956345022E-2</v>
      </c>
      <c r="K226" cm="1">
        <f t="array" ref="K226" xml:space="preserve"> mc(500, -PI()/2,0,-1, 1, "ln(EXP(x * y))")</f>
        <v>1.3767966158300558E-2</v>
      </c>
      <c r="L226" cm="1">
        <f t="array" ref="L226" xml:space="preserve"> mc(1000, -PI()/2,0,-1, 1, "ln(EXP(x * y))")</f>
        <v>-4.6452112340661135E-2</v>
      </c>
      <c r="N226" cm="1">
        <f t="array" ref="N226" xml:space="preserve"> mc(100, -PI()/2,PI()/2, 0, 1, "sin(cos(x + y))")-1.48235</f>
        <v>3.5947408292156924E-2</v>
      </c>
      <c r="O226" cm="1">
        <f t="array" ref="O226" xml:space="preserve"> mc(500, -PI()/2,PI()/2, 0, 1, "sin(cos(x + y))")-1.48235</f>
        <v>0.12753622448593283</v>
      </c>
      <c r="P226" cm="1">
        <f t="array" ref="P226" xml:space="preserve"> mc(1000, -PI()/2,PI()/2, 0, 1, "sin(cos(x + y))")-1.48235</f>
        <v>-7.0783776804822951E-2</v>
      </c>
    </row>
    <row r="227" spans="1:16" x14ac:dyDescent="0.3">
      <c r="A227">
        <v>197</v>
      </c>
      <c r="B227" cm="1">
        <f t="array" ref="B227" xml:space="preserve"> mc(100, 0, 4, 1, 2, "x^2+y^2")-92/3</f>
        <v>-2.2763664787641069</v>
      </c>
      <c r="C227" cm="1">
        <f t="array" ref="C227" xml:space="preserve"> mc(500, 0, 4, 1, 2, "x^2+y^2")-92/3</f>
        <v>-0.61366719556217575</v>
      </c>
      <c r="D227" cm="1">
        <f t="array" ref="D227" xml:space="preserve"> mc(1000, 0, 4, 1, 2, "x^2+y^2")-92/3</f>
        <v>-0.24670589598131798</v>
      </c>
      <c r="F227" cm="1">
        <f t="array" ref="F227" xml:space="preserve"> ( mc(100, 3, 4, -1, 1, "EXP(x * sin(y))") ) - 7.39981</f>
        <v>1.1524533171698188</v>
      </c>
      <c r="G227" cm="1">
        <f t="array" ref="G227" xml:space="preserve"> ( mc(500, 3, 4, -1, 1, "EXP(x * sin(y))") ) - 7.39981</f>
        <v>0.35099958419683563</v>
      </c>
      <c r="H227" cm="1">
        <f t="array" ref="H227" xml:space="preserve"> ( mc(1000, 3, 4, -1, 1, "EXP(x * sin(y))") ) - 7.39981</f>
        <v>0.10685961370549801</v>
      </c>
      <c r="J227" cm="1">
        <f t="array" ref="J227" xml:space="preserve"> mc(100, -PI()/2,0,-1, 1, "ln(EXP(x * y))")</f>
        <v>0.35403139123079469</v>
      </c>
      <c r="K227" cm="1">
        <f t="array" ref="K227" xml:space="preserve"> mc(500, -PI()/2,0,-1, 1, "ln(EXP(x * y))")</f>
        <v>-5.9764854102671683E-2</v>
      </c>
      <c r="L227" cm="1">
        <f t="array" ref="L227" xml:space="preserve"> mc(1000, -PI()/2,0,-1, 1, "ln(EXP(x * y))")</f>
        <v>3.1706453336752252E-3</v>
      </c>
      <c r="N227" cm="1">
        <f t="array" ref="N227" xml:space="preserve"> mc(100, -PI()/2,PI()/2, 0, 1, "sin(cos(x + y))")-1.48235</f>
        <v>-0.16957937699512859</v>
      </c>
      <c r="O227" cm="1">
        <f t="array" ref="O227" xml:space="preserve"> mc(500, -PI()/2,PI()/2, 0, 1, "sin(cos(x + y))")-1.48235</f>
        <v>4.0878867183703038E-2</v>
      </c>
      <c r="P227" cm="1">
        <f t="array" ref="P227" xml:space="preserve"> mc(1000, -PI()/2,PI()/2, 0, 1, "sin(cos(x + y))")-1.48235</f>
        <v>3.9927362176438219E-2</v>
      </c>
    </row>
    <row r="228" spans="1:16" x14ac:dyDescent="0.3">
      <c r="A228">
        <v>198</v>
      </c>
      <c r="B228" cm="1">
        <f t="array" ref="B228" xml:space="preserve"> mc(100, 0, 4, 1, 2, "x^2+y^2")-92/3</f>
        <v>3.8477155041374296</v>
      </c>
      <c r="C228" cm="1">
        <f t="array" ref="C228" xml:space="preserve"> mc(500, 0, 4, 1, 2, "x^2+y^2")-92/3</f>
        <v>1.0537733540755383</v>
      </c>
      <c r="D228" cm="1">
        <f t="array" ref="D228" xml:space="preserve"> mc(1000, 0, 4, 1, 2, "x^2+y^2")-92/3</f>
        <v>-0.37345401013720547</v>
      </c>
      <c r="F228" cm="1">
        <f t="array" ref="F228" xml:space="preserve"> ( mc(100, 3, 4, -1, 1, "EXP(x * sin(y))") ) - 7.39981</f>
        <v>-1.6081903078851036</v>
      </c>
      <c r="G228" cm="1">
        <f t="array" ref="G228" xml:space="preserve"> ( mc(500, 3, 4, -1, 1, "EXP(x * sin(y))") ) - 7.39981</f>
        <v>0.44846192287252862</v>
      </c>
      <c r="H228" cm="1">
        <f t="array" ref="H228" xml:space="preserve"> ( mc(1000, 3, 4, -1, 1, "EXP(x * sin(y))") ) - 7.39981</f>
        <v>-0.33361583097620695</v>
      </c>
      <c r="J228" cm="1">
        <f t="array" ref="J228" xml:space="preserve"> mc(100, -PI()/2,0,-1, 1, "ln(EXP(x * y))")</f>
        <v>-5.764304609788785E-3</v>
      </c>
      <c r="K228" cm="1">
        <f t="array" ref="K228" xml:space="preserve"> mc(500, -PI()/2,0,-1, 1, "ln(EXP(x * y))")</f>
        <v>-0.14894516443341527</v>
      </c>
      <c r="L228" cm="1">
        <f t="array" ref="L228" xml:space="preserve"> mc(1000, -PI()/2,0,-1, 1, "ln(EXP(x * y))")</f>
        <v>-4.9004352625114905E-2</v>
      </c>
      <c r="N228" cm="1">
        <f t="array" ref="N228" xml:space="preserve"> mc(100, -PI()/2,PI()/2, 0, 1, "sin(cos(x + y))")-1.48235</f>
        <v>0.20254673409262702</v>
      </c>
      <c r="O228" cm="1">
        <f t="array" ref="O228" xml:space="preserve"> mc(500, -PI()/2,PI()/2, 0, 1, "sin(cos(x + y))")-1.48235</f>
        <v>1.0808649360858791E-2</v>
      </c>
      <c r="P228" cm="1">
        <f t="array" ref="P228" xml:space="preserve"> mc(1000, -PI()/2,PI()/2, 0, 1, "sin(cos(x + y))")-1.48235</f>
        <v>1.0188877526579931E-2</v>
      </c>
    </row>
    <row r="229" spans="1:16" x14ac:dyDescent="0.3">
      <c r="A229">
        <v>199</v>
      </c>
      <c r="B229" cm="1">
        <f t="array" ref="B229" xml:space="preserve"> mc(100, 0, 4, 1, 2, "x^2+y^2")-92/3</f>
        <v>0.48189416888014946</v>
      </c>
      <c r="C229" cm="1">
        <f t="array" ref="C229" xml:space="preserve"> mc(500, 0, 4, 1, 2, "x^2+y^2")-92/3</f>
        <v>-0.29519104874379565</v>
      </c>
      <c r="D229" cm="1">
        <f t="array" ref="D229" xml:space="preserve"> mc(1000, 0, 4, 1, 2, "x^2+y^2")-92/3</f>
        <v>-0.40266175240016011</v>
      </c>
      <c r="F229" cm="1">
        <f t="array" ref="F229" xml:space="preserve"> ( mc(100, 3, 4, -1, 1, "EXP(x * sin(y))") ) - 7.39981</f>
        <v>-0.89902209972671976</v>
      </c>
      <c r="G229" cm="1">
        <f t="array" ref="G229" xml:space="preserve"> ( mc(500, 3, 4, -1, 1, "EXP(x * sin(y))") ) - 7.39981</f>
        <v>-0.41752472926110862</v>
      </c>
      <c r="H229" cm="1">
        <f t="array" ref="H229" xml:space="preserve"> ( mc(1000, 3, 4, -1, 1, "EXP(x * sin(y))") ) - 7.39981</f>
        <v>-0.38627197364853938</v>
      </c>
      <c r="J229" cm="1">
        <f t="array" ref="J229" xml:space="preserve"> mc(100, -PI()/2,0,-1, 1, "ln(EXP(x * y))")</f>
        <v>-0.39724407725725502</v>
      </c>
      <c r="K229" cm="1">
        <f t="array" ref="K229" xml:space="preserve"> mc(500, -PI()/2,0,-1, 1, "ln(EXP(x * y))")</f>
        <v>6.804355886102227E-3</v>
      </c>
      <c r="L229" cm="1">
        <f t="array" ref="L229" xml:space="preserve"> mc(1000, -PI()/2,0,-1, 1, "ln(EXP(x * y))")</f>
        <v>6.0903237548722454E-3</v>
      </c>
      <c r="N229" cm="1">
        <f t="array" ref="N229" xml:space="preserve"> mc(100, -PI()/2,PI()/2, 0, 1, "sin(cos(x + y))")-1.48235</f>
        <v>6.6902853840822729E-2</v>
      </c>
      <c r="O229" cm="1">
        <f t="array" ref="O229" xml:space="preserve"> mc(500, -PI()/2,PI()/2, 0, 1, "sin(cos(x + y))")-1.48235</f>
        <v>1.8094558824175433E-2</v>
      </c>
      <c r="P229" cm="1">
        <f t="array" ref="P229" xml:space="preserve"> mc(1000, -PI()/2,PI()/2, 0, 1, "sin(cos(x + y))")-1.48235</f>
        <v>5.0180753266737987E-2</v>
      </c>
    </row>
    <row r="230" spans="1:16" x14ac:dyDescent="0.3">
      <c r="A230">
        <v>200</v>
      </c>
      <c r="B230" cm="1">
        <f t="array" ref="B230" xml:space="preserve"> mc(100, 0, 4, 1, 2, "x^2+y^2")-92/3</f>
        <v>2.9396029873847063</v>
      </c>
      <c r="C230" cm="1">
        <f t="array" ref="C230" xml:space="preserve"> mc(500, 0, 4, 1, 2, "x^2+y^2")-92/3</f>
        <v>0.22150074711050394</v>
      </c>
      <c r="D230" cm="1">
        <f t="array" ref="D230" xml:space="preserve"> mc(1000, 0, 4, 1, 2, "x^2+y^2")-92/3</f>
        <v>-0.31038842851648241</v>
      </c>
      <c r="F230" cm="1">
        <f t="array" ref="F230" xml:space="preserve"> ( mc(100, 3, 4, -1, 1, "EXP(x * sin(y))") ) - 7.39981</f>
        <v>-0.78684549927291592</v>
      </c>
      <c r="G230" cm="1">
        <f t="array" ref="G230" xml:space="preserve"> ( mc(500, 3, 4, -1, 1, "EXP(x * sin(y))") ) - 7.39981</f>
        <v>0.84761299484152275</v>
      </c>
      <c r="H230" cm="1">
        <f t="array" ref="H230" xml:space="preserve"> ( mc(1000, 3, 4, -1, 1, "EXP(x * sin(y))") ) - 7.39981</f>
        <v>0.10831221041495009</v>
      </c>
      <c r="J230" cm="1">
        <f t="array" ref="J230" xml:space="preserve"> mc(100, -PI()/2,0,-1, 1, "ln(EXP(x * y))")</f>
        <v>7.1583571504363355E-2</v>
      </c>
      <c r="K230" cm="1">
        <f t="array" ref="K230" xml:space="preserve"> mc(500, -PI()/2,0,-1, 1, "ln(EXP(x * y))")</f>
        <v>-0.1598624464073401</v>
      </c>
      <c r="L230" cm="1">
        <f t="array" ref="L230" xml:space="preserve"> mc(1000, -PI()/2,0,-1, 1, "ln(EXP(x * y))")</f>
        <v>1.177497078513268E-2</v>
      </c>
      <c r="N230" cm="1">
        <f t="array" ref="N230" xml:space="preserve"> mc(100, -PI()/2,PI()/2, 0, 1, "sin(cos(x + y))")-1.48235</f>
        <v>-0.13267545437948236</v>
      </c>
      <c r="O230" cm="1">
        <f t="array" ref="O230" xml:space="preserve"> mc(500, -PI()/2,PI()/2, 0, 1, "sin(cos(x + y))")-1.48235</f>
        <v>-1.9176376395974026E-2</v>
      </c>
      <c r="P230" cm="1">
        <f t="array" ref="P230" xml:space="preserve"> mc(1000, -PI()/2,PI()/2, 0, 1, "sin(cos(x + y))")-1.48235</f>
        <v>4.9405171274538029E-2</v>
      </c>
    </row>
    <row r="231" spans="1:16" x14ac:dyDescent="0.3">
      <c r="A231">
        <v>201</v>
      </c>
      <c r="B231" cm="1">
        <f t="array" ref="B231" xml:space="preserve"> mc(100, 0, 4, 1, 2, "x^2+y^2")-92/3</f>
        <v>-3.2804163395780321</v>
      </c>
      <c r="C231" cm="1">
        <f t="array" ref="C231" xml:space="preserve"> mc(500, 0, 4, 1, 2, "x^2+y^2")-92/3</f>
        <v>-0.31296499025312485</v>
      </c>
      <c r="D231" cm="1">
        <f t="array" ref="D231" xml:space="preserve"> mc(1000, 0, 4, 1, 2, "x^2+y^2")-92/3</f>
        <v>0.27655854508535782</v>
      </c>
      <c r="F231" cm="1">
        <f t="array" ref="F231" xml:space="preserve"> ( mc(100, 3, 4, -1, 1, "EXP(x * sin(y))") ) - 7.39981</f>
        <v>-1.262151790220269</v>
      </c>
      <c r="G231" cm="1">
        <f t="array" ref="G231" xml:space="preserve"> ( mc(500, 3, 4, -1, 1, "EXP(x * sin(y))") ) - 7.39981</f>
        <v>0.16443453350755544</v>
      </c>
      <c r="H231" cm="1">
        <f t="array" ref="H231" xml:space="preserve"> ( mc(1000, 3, 4, -1, 1, "EXP(x * sin(y))") ) - 7.39981</f>
        <v>-0.33399250274476255</v>
      </c>
      <c r="J231" cm="1">
        <f t="array" ref="J231" xml:space="preserve"> mc(100, -PI()/2,0,-1, 1, "ln(EXP(x * y))")</f>
        <v>0.16930004641289204</v>
      </c>
      <c r="K231" cm="1">
        <f t="array" ref="K231" xml:space="preserve"> mc(500, -PI()/2,0,-1, 1, "ln(EXP(x * y))")</f>
        <v>4.7038168973732884E-2</v>
      </c>
      <c r="L231" cm="1">
        <f t="array" ref="L231" xml:space="preserve"> mc(1000, -PI()/2,0,-1, 1, "ln(EXP(x * y))")</f>
        <v>1.1161397307381559E-2</v>
      </c>
      <c r="N231" cm="1">
        <f t="array" ref="N231" xml:space="preserve"> mc(100, -PI()/2,PI()/2, 0, 1, "sin(cos(x + y))")-1.48235</f>
        <v>-3.0877803944395987E-2</v>
      </c>
      <c r="O231" cm="1">
        <f t="array" ref="O231" xml:space="preserve"> mc(500, -PI()/2,PI()/2, 0, 1, "sin(cos(x + y))")-1.48235</f>
        <v>5.7851740199398982E-2</v>
      </c>
      <c r="P231" cm="1">
        <f t="array" ref="P231" xml:space="preserve"> mc(1000, -PI()/2,PI()/2, 0, 1, "sin(cos(x + y))")-1.48235</f>
        <v>3.0099507192071551E-2</v>
      </c>
    </row>
    <row r="232" spans="1:16" x14ac:dyDescent="0.3">
      <c r="A232">
        <v>202</v>
      </c>
      <c r="B232" cm="1">
        <f t="array" ref="B232" xml:space="preserve"> mc(100, 0, 4, 1, 2, "x^2+y^2")-92/3</f>
        <v>-0.62349559288684731</v>
      </c>
      <c r="C232" cm="1">
        <f t="array" ref="C232" xml:space="preserve"> mc(500, 0, 4, 1, 2, "x^2+y^2")-92/3</f>
        <v>-0.74665734942659867</v>
      </c>
      <c r="D232" cm="1">
        <f t="array" ref="D232" xml:space="preserve"> mc(1000, 0, 4, 1, 2, "x^2+y^2")-92/3</f>
        <v>1.0265107578205708</v>
      </c>
      <c r="F232" cm="1">
        <f t="array" ref="F232" xml:space="preserve"> ( mc(100, 3, 4, -1, 1, "EXP(x * sin(y))") ) - 7.39981</f>
        <v>-8.6572259799835294E-3</v>
      </c>
      <c r="G232" cm="1">
        <f t="array" ref="G232" xml:space="preserve"> ( mc(500, 3, 4, -1, 1, "EXP(x * sin(y))") ) - 7.39981</f>
        <v>0.40856373119304124</v>
      </c>
      <c r="H232" cm="1">
        <f t="array" ref="H232" xml:space="preserve"> ( mc(1000, 3, 4, -1, 1, "EXP(x * sin(y))") ) - 7.39981</f>
        <v>-0.7099472058095353</v>
      </c>
      <c r="J232" cm="1">
        <f t="array" ref="J232" xml:space="preserve"> mc(100, -PI()/2,0,-1, 1, "ln(EXP(x * y))")</f>
        <v>-0.49568107724981619</v>
      </c>
      <c r="K232" cm="1">
        <f t="array" ref="K232" xml:space="preserve"> mc(500, -PI()/2,0,-1, 1, "ln(EXP(x * y))")</f>
        <v>-2.0605113864636818E-2</v>
      </c>
      <c r="L232" cm="1">
        <f t="array" ref="L232" xml:space="preserve"> mc(1000, -PI()/2,0,-1, 1, "ln(EXP(x * y))")</f>
        <v>-0.1296691601324633</v>
      </c>
      <c r="N232" cm="1">
        <f t="array" ref="N232" xml:space="preserve"> mc(100, -PI()/2,PI()/2, 0, 1, "sin(cos(x + y))")-1.48235</f>
        <v>-0.24716354582880706</v>
      </c>
      <c r="O232" cm="1">
        <f t="array" ref="O232" xml:space="preserve"> mc(500, -PI()/2,PI()/2, 0, 1, "sin(cos(x + y))")-1.48235</f>
        <v>3.4827173517805621E-2</v>
      </c>
      <c r="P232" cm="1">
        <f t="array" ref="P232" xml:space="preserve"> mc(1000, -PI()/2,PI()/2, 0, 1, "sin(cos(x + y))")-1.48235</f>
        <v>-5.7622243302010157E-2</v>
      </c>
    </row>
    <row r="233" spans="1:16" x14ac:dyDescent="0.3">
      <c r="A233">
        <v>203</v>
      </c>
      <c r="B233" cm="1">
        <f t="array" ref="B233" xml:space="preserve"> mc(100, 0, 4, 1, 2, "x^2+y^2")-92/3</f>
        <v>-1.4983857179324254</v>
      </c>
      <c r="C233" cm="1">
        <f t="array" ref="C233" xml:space="preserve"> mc(500, 0, 4, 1, 2, "x^2+y^2")-92/3</f>
        <v>-0.50095054464232902</v>
      </c>
      <c r="D233" cm="1">
        <f t="array" ref="D233" xml:space="preserve"> mc(1000, 0, 4, 1, 2, "x^2+y^2")-92/3</f>
        <v>-0.1549764255848487</v>
      </c>
      <c r="F233" cm="1">
        <f t="array" ref="F233" xml:space="preserve"> ( mc(100, 3, 4, -1, 1, "EXP(x * sin(y))") ) - 7.39981</f>
        <v>0.17115231882656357</v>
      </c>
      <c r="G233" cm="1">
        <f t="array" ref="G233" xml:space="preserve"> ( mc(500, 3, 4, -1, 1, "EXP(x * sin(y))") ) - 7.39981</f>
        <v>-0.54740849708780015</v>
      </c>
      <c r="H233" cm="1">
        <f t="array" ref="H233" xml:space="preserve"> ( mc(1000, 3, 4, -1, 1, "EXP(x * sin(y))") ) - 7.39981</f>
        <v>0.34154124284550758</v>
      </c>
      <c r="J233" cm="1">
        <f t="array" ref="J233" xml:space="preserve"> mc(100, -PI()/2,0,-1, 1, "ln(EXP(x * y))")</f>
        <v>-4.7322642267881875E-2</v>
      </c>
      <c r="K233" cm="1">
        <f t="array" ref="K233" xml:space="preserve"> mc(500, -PI()/2,0,-1, 1, "ln(EXP(x * y))")</f>
        <v>-1.5269563936428298E-3</v>
      </c>
      <c r="L233" cm="1">
        <f t="array" ref="L233" xml:space="preserve"> mc(1000, -PI()/2,0,-1, 1, "ln(EXP(x * y))")</f>
        <v>5.4036563783537682E-2</v>
      </c>
      <c r="N233" cm="1">
        <f t="array" ref="N233" xml:space="preserve"> mc(100, -PI()/2,PI()/2, 0, 1, "sin(cos(x + y))")-1.48235</f>
        <v>-5.2126131834194123E-2</v>
      </c>
      <c r="O233" cm="1">
        <f t="array" ref="O233" xml:space="preserve"> mc(500, -PI()/2,PI()/2, 0, 1, "sin(cos(x + y))")-1.48235</f>
        <v>5.5504133455612781E-3</v>
      </c>
      <c r="P233" cm="1">
        <f t="array" ref="P233" xml:space="preserve"> mc(1000, -PI()/2,PI()/2, 0, 1, "sin(cos(x + y))")-1.48235</f>
        <v>7.6305594810956112E-2</v>
      </c>
    </row>
    <row r="234" spans="1:16" x14ac:dyDescent="0.3">
      <c r="A234">
        <v>204</v>
      </c>
      <c r="B234" cm="1">
        <f t="array" ref="B234" xml:space="preserve"> mc(100, 0, 4, 1, 2, "x^2+y^2")-92/3</f>
        <v>4.1688602604683211E-2</v>
      </c>
      <c r="C234" cm="1">
        <f t="array" ref="C234" xml:space="preserve"> mc(500, 0, 4, 1, 2, "x^2+y^2")-92/3</f>
        <v>0.789959464985035</v>
      </c>
      <c r="D234" cm="1">
        <f t="array" ref="D234" xml:space="preserve"> mc(1000, 0, 4, 1, 2, "x^2+y^2")-92/3</f>
        <v>-8.7017069429247584E-2</v>
      </c>
      <c r="F234" cm="1">
        <f t="array" ref="F234" xml:space="preserve"> ( mc(100, 3, 4, -1, 1, "EXP(x * sin(y))") ) - 7.39981</f>
        <v>-1.1616134517522667</v>
      </c>
      <c r="G234" cm="1">
        <f t="array" ref="G234" xml:space="preserve"> ( mc(500, 3, 4, -1, 1, "EXP(x * sin(y))") ) - 7.39981</f>
        <v>-0.58299412716365762</v>
      </c>
      <c r="H234" cm="1">
        <f t="array" ref="H234" xml:space="preserve"> ( mc(1000, 3, 4, -1, 1, "EXP(x * sin(y))") ) - 7.39981</f>
        <v>-8.6297984931414717E-2</v>
      </c>
      <c r="J234" cm="1">
        <f t="array" ref="J234" xml:space="preserve"> mc(100, -PI()/2,0,-1, 1, "ln(EXP(x * y))")</f>
        <v>-9.1224666508285909E-2</v>
      </c>
      <c r="K234" cm="1">
        <f t="array" ref="K234" xml:space="preserve"> mc(500, -PI()/2,0,-1, 1, "ln(EXP(x * y))")</f>
        <v>-3.2084437441823113E-2</v>
      </c>
      <c r="L234" cm="1">
        <f t="array" ref="L234" xml:space="preserve"> mc(1000, -PI()/2,0,-1, 1, "ln(EXP(x * y))")</f>
        <v>-1.8396661680168399E-2</v>
      </c>
      <c r="N234" cm="1">
        <f t="array" ref="N234" xml:space="preserve"> mc(100, -PI()/2,PI()/2, 0, 1, "sin(cos(x + y))")-1.48235</f>
        <v>3.3486539493151835E-2</v>
      </c>
      <c r="O234" cm="1">
        <f t="array" ref="O234" xml:space="preserve"> mc(500, -PI()/2,PI()/2, 0, 1, "sin(cos(x + y))")-1.48235</f>
        <v>4.7660283392017222E-2</v>
      </c>
      <c r="P234" cm="1">
        <f t="array" ref="P234" xml:space="preserve"> mc(1000, -PI()/2,PI()/2, 0, 1, "sin(cos(x + y))")-1.48235</f>
        <v>-0.12807576072767457</v>
      </c>
    </row>
    <row r="235" spans="1:16" x14ac:dyDescent="0.3">
      <c r="A235">
        <v>205</v>
      </c>
      <c r="B235" cm="1">
        <f t="array" ref="B235" xml:space="preserve"> mc(100, 0, 4, 1, 2, "x^2+y^2")-92/3</f>
        <v>-2.9063528504161305</v>
      </c>
      <c r="C235" cm="1">
        <f t="array" ref="C235" xml:space="preserve"> mc(500, 0, 4, 1, 2, "x^2+y^2")-92/3</f>
        <v>0.14219467687360776</v>
      </c>
      <c r="D235" cm="1">
        <f t="array" ref="D235" xml:space="preserve"> mc(1000, 0, 4, 1, 2, "x^2+y^2")-92/3</f>
        <v>-1.2683869199422055</v>
      </c>
      <c r="F235" cm="1">
        <f t="array" ref="F235" xml:space="preserve"> ( mc(100, 3, 4, -1, 1, "EXP(x * sin(y))") ) - 7.39981</f>
        <v>0.76432513466768448</v>
      </c>
      <c r="G235" cm="1">
        <f t="array" ref="G235" xml:space="preserve"> ( mc(500, 3, 4, -1, 1, "EXP(x * sin(y))") ) - 7.39981</f>
        <v>0.45648838567148431</v>
      </c>
      <c r="H235" cm="1">
        <f t="array" ref="H235" xml:space="preserve"> ( mc(1000, 3, 4, -1, 1, "EXP(x * sin(y))") ) - 7.39981</f>
        <v>0.81822415999267584</v>
      </c>
      <c r="J235" cm="1">
        <f t="array" ref="J235" xml:space="preserve"> mc(100, -PI()/2,0,-1, 1, "ln(EXP(x * y))")</f>
        <v>6.0941726887147121E-2</v>
      </c>
      <c r="K235" cm="1">
        <f t="array" ref="K235" xml:space="preserve"> mc(500, -PI()/2,0,-1, 1, "ln(EXP(x * y))")</f>
        <v>-2.3436169159522267E-2</v>
      </c>
      <c r="L235" cm="1">
        <f t="array" ref="L235" xml:space="preserve"> mc(1000, -PI()/2,0,-1, 1, "ln(EXP(x * y))")</f>
        <v>-2.6886736044272136E-2</v>
      </c>
      <c r="N235" cm="1">
        <f t="array" ref="N235" xml:space="preserve"> mc(100, -PI()/2,PI()/2, 0, 1, "sin(cos(x + y))")-1.48235</f>
        <v>3.7711933653055585E-2</v>
      </c>
      <c r="O235" cm="1">
        <f t="array" ref="O235" xml:space="preserve"> mc(500, -PI()/2,PI()/2, 0, 1, "sin(cos(x + y))")-1.48235</f>
        <v>8.6326970184350094E-2</v>
      </c>
      <c r="P235" cm="1">
        <f t="array" ref="P235" xml:space="preserve"> mc(1000, -PI()/2,PI()/2, 0, 1, "sin(cos(x + y))")-1.48235</f>
        <v>4.0029262561626311E-2</v>
      </c>
    </row>
    <row r="236" spans="1:16" x14ac:dyDescent="0.3">
      <c r="A236">
        <v>206</v>
      </c>
      <c r="B236" cm="1">
        <f t="array" ref="B236" xml:space="preserve"> mc(100, 0, 4, 1, 2, "x^2+y^2")-92/3</f>
        <v>-2.3591369319626452</v>
      </c>
      <c r="C236" cm="1">
        <f t="array" ref="C236" xml:space="preserve"> mc(500, 0, 4, 1, 2, "x^2+y^2")-92/3</f>
        <v>-1.5533894574546068</v>
      </c>
      <c r="D236" cm="1">
        <f t="array" ref="D236" xml:space="preserve"> mc(1000, 0, 4, 1, 2, "x^2+y^2")-92/3</f>
        <v>-0.87417815222562822</v>
      </c>
      <c r="F236" cm="1">
        <f t="array" ref="F236" xml:space="preserve"> ( mc(100, 3, 4, -1, 1, "EXP(x * sin(y))") ) - 7.39981</f>
        <v>-0.77617235423003361</v>
      </c>
      <c r="G236" cm="1">
        <f t="array" ref="G236" xml:space="preserve"> ( mc(500, 3, 4, -1, 1, "EXP(x * sin(y))") ) - 7.39981</f>
        <v>-0.12583782499873841</v>
      </c>
      <c r="H236" cm="1">
        <f t="array" ref="H236" xml:space="preserve"> ( mc(1000, 3, 4, -1, 1, "EXP(x * sin(y))") ) - 7.39981</f>
        <v>0.47014866848814307</v>
      </c>
      <c r="J236" cm="1">
        <f t="array" ref="J236" xml:space="preserve"> mc(100, -PI()/2,0,-1, 1, "ln(EXP(x * y))")</f>
        <v>-3.6767001019676199E-2</v>
      </c>
      <c r="K236" cm="1">
        <f t="array" ref="K236" xml:space="preserve"> mc(500, -PI()/2,0,-1, 1, "ln(EXP(x * y))")</f>
        <v>7.3745691778381847E-2</v>
      </c>
      <c r="L236" cm="1">
        <f t="array" ref="L236" xml:space="preserve"> mc(1000, -PI()/2,0,-1, 1, "ln(EXP(x * y))")</f>
        <v>-1.5686070297406037E-2</v>
      </c>
      <c r="N236" cm="1">
        <f t="array" ref="N236" xml:space="preserve"> mc(100, -PI()/2,PI()/2, 0, 1, "sin(cos(x + y))")-1.48235</f>
        <v>0.11557527963145886</v>
      </c>
      <c r="O236" cm="1">
        <f t="array" ref="O236" xml:space="preserve"> mc(500, -PI()/2,PI()/2, 0, 1, "sin(cos(x + y))")-1.48235</f>
        <v>3.7013928239384652E-2</v>
      </c>
      <c r="P236" cm="1">
        <f t="array" ref="P236" xml:space="preserve"> mc(1000, -PI()/2,PI()/2, 0, 1, "sin(cos(x + y))")-1.48235</f>
        <v>-2.6979392082707276E-2</v>
      </c>
    </row>
    <row r="237" spans="1:16" x14ac:dyDescent="0.3">
      <c r="A237">
        <v>207</v>
      </c>
      <c r="B237" cm="1">
        <f t="array" ref="B237" xml:space="preserve"> mc(100, 0, 4, 1, 2, "x^2+y^2")-92/3</f>
        <v>-1.9950410718756686</v>
      </c>
      <c r="C237" cm="1">
        <f t="array" ref="C237" xml:space="preserve"> mc(500, 0, 4, 1, 2, "x^2+y^2")-92/3</f>
        <v>0.8119066569734521</v>
      </c>
      <c r="D237" cm="1">
        <f t="array" ref="D237" xml:space="preserve"> mc(1000, 0, 4, 1, 2, "x^2+y^2")-92/3</f>
        <v>-0.65838647520363125</v>
      </c>
      <c r="F237" cm="1">
        <f t="array" ref="F237" xml:space="preserve"> ( mc(100, 3, 4, -1, 1, "EXP(x * sin(y))") ) - 7.39981</f>
        <v>0.90338324635488654</v>
      </c>
      <c r="G237" cm="1">
        <f t="array" ref="G237" xml:space="preserve"> ( mc(500, 3, 4, -1, 1, "EXP(x * sin(y))") ) - 7.39981</f>
        <v>-0.6255793511920329</v>
      </c>
      <c r="H237" cm="1">
        <f t="array" ref="H237" xml:space="preserve"> ( mc(1000, 3, 4, -1, 1, "EXP(x * sin(y))") ) - 7.39981</f>
        <v>0.48484189779074871</v>
      </c>
      <c r="J237" cm="1">
        <f t="array" ref="J237" xml:space="preserve"> mc(100, -PI()/2,0,-1, 1, "ln(EXP(x * y))")</f>
        <v>-0.26405613426483121</v>
      </c>
      <c r="K237" cm="1">
        <f t="array" ref="K237" xml:space="preserve"> mc(500, -PI()/2,0,-1, 1, "ln(EXP(x * y))")</f>
        <v>3.4096056325424062E-2</v>
      </c>
      <c r="L237" cm="1">
        <f t="array" ref="L237" xml:space="preserve"> mc(1000, -PI()/2,0,-1, 1, "ln(EXP(x * y))")</f>
        <v>-2.6650720009608216E-2</v>
      </c>
      <c r="N237" cm="1">
        <f t="array" ref="N237" xml:space="preserve"> mc(100, -PI()/2,PI()/2, 0, 1, "sin(cos(x + y))")-1.48235</f>
        <v>0.11843062459865394</v>
      </c>
      <c r="O237" cm="1">
        <f t="array" ref="O237" xml:space="preserve"> mc(500, -PI()/2,PI()/2, 0, 1, "sin(cos(x + y))")-1.48235</f>
        <v>2.3880892534978715E-2</v>
      </c>
      <c r="P237" cm="1">
        <f t="array" ref="P237" xml:space="preserve"> mc(1000, -PI()/2,PI()/2, 0, 1, "sin(cos(x + y))")-1.48235</f>
        <v>1.7780237068382165E-2</v>
      </c>
    </row>
    <row r="238" spans="1:16" x14ac:dyDescent="0.3">
      <c r="A238">
        <v>208</v>
      </c>
      <c r="B238" cm="1">
        <f t="array" ref="B238" xml:space="preserve"> mc(100, 0, 4, 1, 2, "x^2+y^2")-92/3</f>
        <v>1.8747227445932317</v>
      </c>
      <c r="C238" cm="1">
        <f t="array" ref="C238" xml:space="preserve"> mc(500, 0, 4, 1, 2, "x^2+y^2")-92/3</f>
        <v>0.41089094736423704</v>
      </c>
      <c r="D238" cm="1">
        <f t="array" ref="D238" xml:space="preserve"> mc(1000, 0, 4, 1, 2, "x^2+y^2")-92/3</f>
        <v>0.539792534105203</v>
      </c>
      <c r="F238" cm="1">
        <f t="array" ref="F238" xml:space="preserve"> ( mc(100, 3, 4, -1, 1, "EXP(x * sin(y))") ) - 7.39981</f>
        <v>1.9565031646564854</v>
      </c>
      <c r="G238" cm="1">
        <f t="array" ref="G238" xml:space="preserve"> ( mc(500, 3, 4, -1, 1, "EXP(x * sin(y))") ) - 7.39981</f>
        <v>-0.36994359289868228</v>
      </c>
      <c r="H238" cm="1">
        <f t="array" ref="H238" xml:space="preserve"> ( mc(1000, 3, 4, -1, 1, "EXP(x * sin(y))") ) - 7.39981</f>
        <v>-4.2919596862105891E-2</v>
      </c>
      <c r="J238" cm="1">
        <f t="array" ref="J238" xml:space="preserve"> mc(100, -PI()/2,0,-1, 1, "ln(EXP(x * y))")</f>
        <v>1.8856797961250626E-2</v>
      </c>
      <c r="K238" cm="1">
        <f t="array" ref="K238" xml:space="preserve"> mc(500, -PI()/2,0,-1, 1, "ln(EXP(x * y))")</f>
        <v>-8.6072211244418245E-2</v>
      </c>
      <c r="L238" cm="1">
        <f t="array" ref="L238" xml:space="preserve"> mc(1000, -PI()/2,0,-1, 1, "ln(EXP(x * y))")</f>
        <v>7.774266362109683E-2</v>
      </c>
      <c r="N238" cm="1">
        <f t="array" ref="N238" xml:space="preserve"> mc(100, -PI()/2,PI()/2, 0, 1, "sin(cos(x + y))")-1.48235</f>
        <v>-8.5248017022534261E-2</v>
      </c>
      <c r="O238" cm="1">
        <f t="array" ref="O238" xml:space="preserve"> mc(500, -PI()/2,PI()/2, 0, 1, "sin(cos(x + y))")-1.48235</f>
        <v>-3.8608664398689374E-2</v>
      </c>
      <c r="P238" cm="1">
        <f t="array" ref="P238" xml:space="preserve"> mc(1000, -PI()/2,PI()/2, 0, 1, "sin(cos(x + y))")-1.48235</f>
        <v>0.10517508580363466</v>
      </c>
    </row>
    <row r="239" spans="1:16" x14ac:dyDescent="0.3">
      <c r="A239">
        <v>209</v>
      </c>
      <c r="B239" cm="1">
        <f t="array" ref="B239" xml:space="preserve"> mc(100, 0, 4, 1, 2, "x^2+y^2")-92/3</f>
        <v>-0.12545958273768321</v>
      </c>
      <c r="C239" cm="1">
        <f t="array" ref="C239" xml:space="preserve"> mc(500, 0, 4, 1, 2, "x^2+y^2")-92/3</f>
        <v>1.1806436019462403</v>
      </c>
      <c r="D239" cm="1">
        <f t="array" ref="D239" xml:space="preserve"> mc(1000, 0, 4, 1, 2, "x^2+y^2")-92/3</f>
        <v>0.42547750496211378</v>
      </c>
      <c r="F239" cm="1">
        <f t="array" ref="F239" xml:space="preserve"> ( mc(100, 3, 4, -1, 1, "EXP(x * sin(y))") ) - 7.39981</f>
        <v>-1.2759131173282672</v>
      </c>
      <c r="G239" cm="1">
        <f t="array" ref="G239" xml:space="preserve"> ( mc(500, 3, 4, -1, 1, "EXP(x * sin(y))") ) - 7.39981</f>
        <v>-0.67848262685129868</v>
      </c>
      <c r="H239" cm="1">
        <f t="array" ref="H239" xml:space="preserve"> ( mc(1000, 3, 4, -1, 1, "EXP(x * sin(y))") ) - 7.39981</f>
        <v>-4.2288378268781734E-2</v>
      </c>
      <c r="J239" cm="1">
        <f t="array" ref="J239" xml:space="preserve"> mc(100, -PI()/2,0,-1, 1, "ln(EXP(x * y))")</f>
        <v>0.37528495077768687</v>
      </c>
      <c r="K239" cm="1">
        <f t="array" ref="K239" xml:space="preserve"> mc(500, -PI()/2,0,-1, 1, "ln(EXP(x * y))")</f>
        <v>-3.8417498953613044E-2</v>
      </c>
      <c r="L239" cm="1">
        <f t="array" ref="L239" xml:space="preserve"> mc(1000, -PI()/2,0,-1, 1, "ln(EXP(x * y))")</f>
        <v>7.0738104995445739E-3</v>
      </c>
      <c r="N239" cm="1">
        <f t="array" ref="N239" xml:space="preserve"> mc(100, -PI()/2,PI()/2, 0, 1, "sin(cos(x + y))")-1.48235</f>
        <v>6.7435908075051731E-2</v>
      </c>
      <c r="O239" cm="1">
        <f t="array" ref="O239" xml:space="preserve"> mc(500, -PI()/2,PI()/2, 0, 1, "sin(cos(x + y))")-1.48235</f>
        <v>1.7916916193327914E-3</v>
      </c>
      <c r="P239" cm="1">
        <f t="array" ref="P239" xml:space="preserve"> mc(1000, -PI()/2,PI()/2, 0, 1, "sin(cos(x + y))")-1.48235</f>
        <v>1.7975279725010784E-2</v>
      </c>
    </row>
    <row r="240" spans="1:16" x14ac:dyDescent="0.3">
      <c r="A240">
        <v>210</v>
      </c>
      <c r="B240" cm="1">
        <f t="array" ref="B240" xml:space="preserve"> mc(100, 0, 4, 1, 2, "x^2+y^2")-92/3</f>
        <v>-1.4769658308169653</v>
      </c>
      <c r="C240" cm="1">
        <f t="array" ref="C240" xml:space="preserve"> mc(500, 0, 4, 1, 2, "x^2+y^2")-92/3</f>
        <v>-6.1899199393497639E-2</v>
      </c>
      <c r="D240" cm="1">
        <f t="array" ref="D240" xml:space="preserve"> mc(1000, 0, 4, 1, 2, "x^2+y^2")-92/3</f>
        <v>0.50293946755388674</v>
      </c>
      <c r="F240" cm="1">
        <f t="array" ref="F240" xml:space="preserve"> ( mc(100, 3, 4, -1, 1, "EXP(x * sin(y))") ) - 7.39981</f>
        <v>-0.93939899695693452</v>
      </c>
      <c r="G240" cm="1">
        <f t="array" ref="G240" xml:space="preserve"> ( mc(500, 3, 4, -1, 1, "EXP(x * sin(y))") ) - 7.39981</f>
        <v>0.26033895615595437</v>
      </c>
      <c r="H240" cm="1">
        <f t="array" ref="H240" xml:space="preserve"> ( mc(1000, 3, 4, -1, 1, "EXP(x * sin(y))") ) - 7.39981</f>
        <v>0.5032927440800945</v>
      </c>
      <c r="J240" cm="1">
        <f t="array" ref="J240" xml:space="preserve"> mc(100, -PI()/2,0,-1, 1, "ln(EXP(x * y))")</f>
        <v>0.18920099284816949</v>
      </c>
      <c r="K240" cm="1">
        <f t="array" ref="K240" xml:space="preserve"> mc(500, -PI()/2,0,-1, 1, "ln(EXP(x * y))")</f>
        <v>-7.5163370710152139E-2</v>
      </c>
      <c r="L240" cm="1">
        <f t="array" ref="L240" xml:space="preserve"> mc(1000, -PI()/2,0,-1, 1, "ln(EXP(x * y))")</f>
        <v>-3.9730477605830053E-2</v>
      </c>
      <c r="N240" cm="1">
        <f t="array" ref="N240" xml:space="preserve"> mc(100, -PI()/2,PI()/2, 0, 1, "sin(cos(x + y))")-1.48235</f>
        <v>0.16797118719330983</v>
      </c>
      <c r="O240" cm="1">
        <f t="array" ref="O240" xml:space="preserve"> mc(500, -PI()/2,PI()/2, 0, 1, "sin(cos(x + y))")-1.48235</f>
        <v>-2.1289646038232135E-2</v>
      </c>
      <c r="P240" cm="1">
        <f t="array" ref="P240" xml:space="preserve"> mc(1000, -PI()/2,PI()/2, 0, 1, "sin(cos(x + y))")-1.48235</f>
        <v>4.7830509296390211E-2</v>
      </c>
    </row>
    <row r="241" spans="1:16" x14ac:dyDescent="0.3">
      <c r="A241">
        <v>211</v>
      </c>
      <c r="B241" cm="1">
        <f t="array" ref="B241" xml:space="preserve"> mc(100, 0, 4, 1, 2, "x^2+y^2")-92/3</f>
        <v>1.8731713871640174</v>
      </c>
      <c r="C241" cm="1">
        <f t="array" ref="C241" xml:space="preserve"> mc(500, 0, 4, 1, 2, "x^2+y^2")-92/3</f>
        <v>-0.35757135167487419</v>
      </c>
      <c r="D241" cm="1">
        <f t="array" ref="D241" xml:space="preserve"> mc(1000, 0, 4, 1, 2, "x^2+y^2")-92/3</f>
        <v>-9.9141275028998166E-2</v>
      </c>
      <c r="F241" cm="1">
        <f t="array" ref="F241" xml:space="preserve"> ( mc(100, 3, 4, -1, 1, "EXP(x * sin(y))") ) - 7.39981</f>
        <v>-0.52104223007288475</v>
      </c>
      <c r="G241" cm="1">
        <f t="array" ref="G241" xml:space="preserve"> ( mc(500, 3, 4, -1, 1, "EXP(x * sin(y))") ) - 7.39981</f>
        <v>-0.72181826146285921</v>
      </c>
      <c r="H241" cm="1">
        <f t="array" ref="H241" xml:space="preserve"> ( mc(1000, 3, 4, -1, 1, "EXP(x * sin(y))") ) - 7.39981</f>
        <v>0.69174580177714873</v>
      </c>
      <c r="J241" cm="1">
        <f t="array" ref="J241" xml:space="preserve"> mc(100, -PI()/2,0,-1, 1, "ln(EXP(x * y))")</f>
        <v>0.11846630260888885</v>
      </c>
      <c r="K241" cm="1">
        <f t="array" ref="K241" xml:space="preserve"> mc(500, -PI()/2,0,-1, 1, "ln(EXP(x * y))")</f>
        <v>6.4738836824123652E-2</v>
      </c>
      <c r="L241" cm="1">
        <f t="array" ref="L241" xml:space="preserve"> mc(1000, -PI()/2,0,-1, 1, "ln(EXP(x * y))")</f>
        <v>6.0027311275387046E-2</v>
      </c>
      <c r="N241" cm="1">
        <f t="array" ref="N241" xml:space="preserve"> mc(100, -PI()/2,PI()/2, 0, 1, "sin(cos(x + y))")-1.48235</f>
        <v>-4.7467083078300165E-2</v>
      </c>
      <c r="O241" cm="1">
        <f t="array" ref="O241" xml:space="preserve"> mc(500, -PI()/2,PI()/2, 0, 1, "sin(cos(x + y))")-1.48235</f>
        <v>-3.5456650311475935E-2</v>
      </c>
      <c r="P241" cm="1">
        <f t="array" ref="P241" xml:space="preserve"> mc(1000, -PI()/2,PI()/2, 0, 1, "sin(cos(x + y))")-1.48235</f>
        <v>4.1906718968387491E-3</v>
      </c>
    </row>
    <row r="242" spans="1:16" x14ac:dyDescent="0.3">
      <c r="A242">
        <v>212</v>
      </c>
      <c r="B242" cm="1">
        <f t="array" ref="B242" xml:space="preserve"> mc(100, 0, 4, 1, 2, "x^2+y^2")-92/3</f>
        <v>-3.4880905793041705E-2</v>
      </c>
      <c r="C242" cm="1">
        <f t="array" ref="C242" xml:space="preserve"> mc(500, 0, 4, 1, 2, "x^2+y^2")-92/3</f>
        <v>-0.43973867959192958</v>
      </c>
      <c r="D242" cm="1">
        <f t="array" ref="D242" xml:space="preserve"> mc(1000, 0, 4, 1, 2, "x^2+y^2")-92/3</f>
        <v>0.92622759282507872</v>
      </c>
      <c r="F242" cm="1">
        <f t="array" ref="F242" xml:space="preserve"> ( mc(100, 3, 4, -1, 1, "EXP(x * sin(y))") ) - 7.39981</f>
        <v>1.0273385563160176</v>
      </c>
      <c r="G242" cm="1">
        <f t="array" ref="G242" xml:space="preserve"> ( mc(500, 3, 4, -1, 1, "EXP(x * sin(y))") ) - 7.39981</f>
        <v>0.31028412376103987</v>
      </c>
      <c r="H242" cm="1">
        <f t="array" ref="H242" xml:space="preserve"> ( mc(1000, 3, 4, -1, 1, "EXP(x * sin(y))") ) - 7.39981</f>
        <v>-0.25005007621173725</v>
      </c>
      <c r="J242" cm="1">
        <f t="array" ref="J242" xml:space="preserve"> mc(100, -PI()/2,0,-1, 1, "ln(EXP(x * y))")</f>
        <v>3.4017008595754988E-2</v>
      </c>
      <c r="K242" cm="1">
        <f t="array" ref="K242" xml:space="preserve"> mc(500, -PI()/2,0,-1, 1, "ln(EXP(x * y))")</f>
        <v>-6.9597019644268496E-2</v>
      </c>
      <c r="L242" cm="1">
        <f t="array" ref="L242" xml:space="preserve"> mc(1000, -PI()/2,0,-1, 1, "ln(EXP(x * y))")</f>
        <v>-1.0573717563562289E-2</v>
      </c>
      <c r="N242" cm="1">
        <f t="array" ref="N242" xml:space="preserve"> mc(100, -PI()/2,PI()/2, 0, 1, "sin(cos(x + y))")-1.48235</f>
        <v>-0.11609221791842717</v>
      </c>
      <c r="O242" cm="1">
        <f t="array" ref="O242" xml:space="preserve"> mc(500, -PI()/2,PI()/2, 0, 1, "sin(cos(x + y))")-1.48235</f>
        <v>3.2147602170828904E-2</v>
      </c>
      <c r="P242" cm="1">
        <f t="array" ref="P242" xml:space="preserve"> mc(1000, -PI()/2,PI()/2, 0, 1, "sin(cos(x + y))")-1.48235</f>
        <v>-1.980295450606917E-2</v>
      </c>
    </row>
    <row r="243" spans="1:16" x14ac:dyDescent="0.3">
      <c r="A243">
        <v>213</v>
      </c>
      <c r="B243" cm="1">
        <f t="array" ref="B243" xml:space="preserve"> mc(100, 0, 4, 1, 2, "x^2+y^2")-92/3</f>
        <v>-3.5212219082482328</v>
      </c>
      <c r="C243" cm="1">
        <f t="array" ref="C243" xml:space="preserve"> mc(500, 0, 4, 1, 2, "x^2+y^2")-92/3</f>
        <v>1.6422258131536545</v>
      </c>
      <c r="D243" cm="1">
        <f t="array" ref="D243" xml:space="preserve"> mc(1000, 0, 4, 1, 2, "x^2+y^2")-92/3</f>
        <v>-0.26039920015978524</v>
      </c>
      <c r="F243" cm="1">
        <f t="array" ref="F243" xml:space="preserve"> ( mc(100, 3, 4, -1, 1, "EXP(x * sin(y))") ) - 7.39981</f>
        <v>-2.1013091677816398E-2</v>
      </c>
      <c r="G243" cm="1">
        <f t="array" ref="G243" xml:space="preserve"> ( mc(500, 3, 4, -1, 1, "EXP(x * sin(y))") ) - 7.39981</f>
        <v>-0.52513483517720783</v>
      </c>
      <c r="H243" cm="1">
        <f t="array" ref="H243" xml:space="preserve"> ( mc(1000, 3, 4, -1, 1, "EXP(x * sin(y))") ) - 7.39981</f>
        <v>0.12545263473897084</v>
      </c>
      <c r="J243" cm="1">
        <f t="array" ref="J243" xml:space="preserve"> mc(100, -PI()/2,0,-1, 1, "ln(EXP(x * y))")</f>
        <v>4.2485501365889813E-2</v>
      </c>
      <c r="K243" cm="1">
        <f t="array" ref="K243" xml:space="preserve"> mc(500, -PI()/2,0,-1, 1, "ln(EXP(x * y))")</f>
        <v>-0.11198630508829442</v>
      </c>
      <c r="L243" cm="1">
        <f t="array" ref="L243" xml:space="preserve"> mc(1000, -PI()/2,0,-1, 1, "ln(EXP(x * y))")</f>
        <v>-5.0789754279083332E-2</v>
      </c>
      <c r="N243" cm="1">
        <f t="array" ref="N243" xml:space="preserve"> mc(100, -PI()/2,PI()/2, 0, 1, "sin(cos(x + y))")-1.48235</f>
        <v>1.089981761847425E-2</v>
      </c>
      <c r="O243" cm="1">
        <f t="array" ref="O243" xml:space="preserve"> mc(500, -PI()/2,PI()/2, 0, 1, "sin(cos(x + y))")-1.48235</f>
        <v>7.9474749335114669E-2</v>
      </c>
      <c r="P243" cm="1">
        <f t="array" ref="P243" xml:space="preserve"> mc(1000, -PI()/2,PI()/2, 0, 1, "sin(cos(x + y))")-1.48235</f>
        <v>-7.6061576965360533E-3</v>
      </c>
    </row>
    <row r="244" spans="1:16" x14ac:dyDescent="0.3">
      <c r="A244">
        <v>214</v>
      </c>
      <c r="B244" cm="1">
        <f t="array" ref="B244" xml:space="preserve"> mc(100, 0, 4, 1, 2, "x^2+y^2")-92/3</f>
        <v>2.0222702593981445</v>
      </c>
      <c r="C244" cm="1">
        <f t="array" ref="C244" xml:space="preserve"> mc(500, 0, 4, 1, 2, "x^2+y^2")-92/3</f>
        <v>-0.66635325795493827</v>
      </c>
      <c r="D244" cm="1">
        <f t="array" ref="D244" xml:space="preserve"> mc(1000, 0, 4, 1, 2, "x^2+y^2")-92/3</f>
        <v>-1.6163123685501652</v>
      </c>
      <c r="F244" cm="1">
        <f t="array" ref="F244" xml:space="preserve"> ( mc(100, 3, 4, -1, 1, "EXP(x * sin(y))") ) - 7.39981</f>
        <v>-0.40797377941130897</v>
      </c>
      <c r="G244" cm="1">
        <f t="array" ref="G244" xml:space="preserve"> ( mc(500, 3, 4, -1, 1, "EXP(x * sin(y))") ) - 7.39981</f>
        <v>-0.88965726370291787</v>
      </c>
      <c r="H244" cm="1">
        <f t="array" ref="H244" xml:space="preserve"> ( mc(1000, 3, 4, -1, 1, "EXP(x * sin(y))") ) - 7.39981</f>
        <v>-0.33211642725521084</v>
      </c>
      <c r="J244" cm="1">
        <f t="array" ref="J244" xml:space="preserve"> mc(100, -PI()/2,0,-1, 1, "ln(EXP(x * y))")</f>
        <v>-0.17682219676625835</v>
      </c>
      <c r="K244" cm="1">
        <f t="array" ref="K244" xml:space="preserve"> mc(500, -PI()/2,0,-1, 1, "ln(EXP(x * y))")</f>
        <v>-6.0998981102576158E-3</v>
      </c>
      <c r="L244" cm="1">
        <f t="array" ref="L244" xml:space="preserve"> mc(1000, -PI()/2,0,-1, 1, "ln(EXP(x * y))")</f>
        <v>-1.0341542852323965E-2</v>
      </c>
      <c r="N244" cm="1">
        <f t="array" ref="N244" xml:space="preserve"> mc(100, -PI()/2,PI()/2, 0, 1, "sin(cos(x + y))")-1.48235</f>
        <v>2.836164511536432E-2</v>
      </c>
      <c r="O244" cm="1">
        <f t="array" ref="O244" xml:space="preserve"> mc(500, -PI()/2,PI()/2, 0, 1, "sin(cos(x + y))")-1.48235</f>
        <v>4.6093638463245989E-2</v>
      </c>
      <c r="P244" cm="1">
        <f t="array" ref="P244" xml:space="preserve"> mc(1000, -PI()/2,PI()/2, 0, 1, "sin(cos(x + y))")-1.48235</f>
        <v>2.4583407308127025E-2</v>
      </c>
    </row>
    <row r="245" spans="1:16" x14ac:dyDescent="0.3">
      <c r="A245">
        <v>215</v>
      </c>
      <c r="B245" cm="1">
        <f t="array" ref="B245" xml:space="preserve"> mc(100, 0, 4, 1, 2, "x^2+y^2")-92/3</f>
        <v>-1.7099034737351282</v>
      </c>
      <c r="C245" cm="1">
        <f t="array" ref="C245" xml:space="preserve"> mc(500, 0, 4, 1, 2, "x^2+y^2")-92/3</f>
        <v>5.0655388466754658E-2</v>
      </c>
      <c r="D245" cm="1">
        <f t="array" ref="D245" xml:space="preserve"> mc(1000, 0, 4, 1, 2, "x^2+y^2")-92/3</f>
        <v>-0.44785129659856437</v>
      </c>
      <c r="F245" cm="1">
        <f t="array" ref="F245" xml:space="preserve"> ( mc(100, 3, 4, -1, 1, "EXP(x * sin(y))") ) - 7.39981</f>
        <v>1.0694456930322396</v>
      </c>
      <c r="G245" cm="1">
        <f t="array" ref="G245" xml:space="preserve"> ( mc(500, 3, 4, -1, 1, "EXP(x * sin(y))") ) - 7.39981</f>
        <v>-0.47711823863481406</v>
      </c>
      <c r="H245" cm="1">
        <f t="array" ref="H245" xml:space="preserve"> ( mc(1000, 3, 4, -1, 1, "EXP(x * sin(y))") ) - 7.39981</f>
        <v>-5.6069427059428634E-3</v>
      </c>
      <c r="J245" cm="1">
        <f t="array" ref="J245" xml:space="preserve"> mc(100, -PI()/2,0,-1, 1, "ln(EXP(x * y))")</f>
        <v>0.28523917733032728</v>
      </c>
      <c r="K245" cm="1">
        <f t="array" ref="K245" xml:space="preserve"> mc(500, -PI()/2,0,-1, 1, "ln(EXP(x * y))")</f>
        <v>4.5690955090570105E-2</v>
      </c>
      <c r="L245" cm="1">
        <f t="array" ref="L245" xml:space="preserve"> mc(1000, -PI()/2,0,-1, 1, "ln(EXP(x * y))")</f>
        <v>6.4043432267679667E-2</v>
      </c>
      <c r="N245" cm="1">
        <f t="array" ref="N245" xml:space="preserve"> mc(100, -PI()/2,PI()/2, 0, 1, "sin(cos(x + y))")-1.48235</f>
        <v>-0.12453071309164043</v>
      </c>
      <c r="O245" cm="1">
        <f t="array" ref="O245" xml:space="preserve"> mc(500, -PI()/2,PI()/2, 0, 1, "sin(cos(x + y))")-1.48235</f>
        <v>2.9575653406956004E-2</v>
      </c>
      <c r="P245" cm="1">
        <f t="array" ref="P245" xml:space="preserve"> mc(1000, -PI()/2,PI()/2, 0, 1, "sin(cos(x + y))")-1.48235</f>
        <v>7.2404371537757584E-3</v>
      </c>
    </row>
    <row r="246" spans="1:16" x14ac:dyDescent="0.3">
      <c r="A246">
        <v>216</v>
      </c>
      <c r="B246" cm="1">
        <f t="array" ref="B246" xml:space="preserve"> mc(100, 0, 4, 1, 2, "x^2+y^2")-92/3</f>
        <v>-1.5922250731690823</v>
      </c>
      <c r="C246" cm="1">
        <f t="array" ref="C246" xml:space="preserve"> mc(500, 0, 4, 1, 2, "x^2+y^2")-92/3</f>
        <v>-1.4277042388396666</v>
      </c>
      <c r="D246" cm="1">
        <f t="array" ref="D246" xml:space="preserve"> mc(1000, 0, 4, 1, 2, "x^2+y^2")-92/3</f>
        <v>0.3502419234178511</v>
      </c>
      <c r="F246" cm="1">
        <f t="array" ref="F246" xml:space="preserve"> ( mc(100, 3, 4, -1, 1, "EXP(x * sin(y))") ) - 7.39981</f>
        <v>-1.4311419482711702</v>
      </c>
      <c r="G246" cm="1">
        <f t="array" ref="G246" xml:space="preserve"> ( mc(500, 3, 4, -1, 1, "EXP(x * sin(y))") ) - 7.39981</f>
        <v>-1.0425211714229938</v>
      </c>
      <c r="H246" cm="1">
        <f t="array" ref="H246" xml:space="preserve"> ( mc(1000, 3, 4, -1, 1, "EXP(x * sin(y))") ) - 7.39981</f>
        <v>7.3940894629847875E-2</v>
      </c>
      <c r="J246" cm="1">
        <f t="array" ref="J246" xml:space="preserve"> mc(100, -PI()/2,0,-1, 1, "ln(EXP(x * y))")</f>
        <v>0.22022225068561607</v>
      </c>
      <c r="K246" cm="1">
        <f t="array" ref="K246" xml:space="preserve"> mc(500, -PI()/2,0,-1, 1, "ln(EXP(x * y))")</f>
        <v>4.5375406243347079E-2</v>
      </c>
      <c r="L246" cm="1">
        <f t="array" ref="L246" xml:space="preserve"> mc(1000, -PI()/2,0,-1, 1, "ln(EXP(x * y))")</f>
        <v>-5.4302384889482747E-2</v>
      </c>
      <c r="N246" cm="1">
        <f t="array" ref="N246" xml:space="preserve"> mc(100, -PI()/2,PI()/2, 0, 1, "sin(cos(x + y))")-1.48235</f>
        <v>-0.15543256241590431</v>
      </c>
      <c r="O246" cm="1">
        <f t="array" ref="O246" xml:space="preserve"> mc(500, -PI()/2,PI()/2, 0, 1, "sin(cos(x + y))")-1.48235</f>
        <v>8.3087964879228204E-2</v>
      </c>
      <c r="P246" cm="1">
        <f t="array" ref="P246" xml:space="preserve"> mc(1000, -PI()/2,PI()/2, 0, 1, "sin(cos(x + y))")-1.48235</f>
        <v>-5.7165031774153441E-4</v>
      </c>
    </row>
    <row r="247" spans="1:16" x14ac:dyDescent="0.3">
      <c r="A247">
        <v>217</v>
      </c>
      <c r="B247" cm="1">
        <f t="array" ref="B247" xml:space="preserve"> mc(100, 0, 4, 1, 2, "x^2+y^2")-92/3</f>
        <v>-4.6313628731946288</v>
      </c>
      <c r="C247" cm="1">
        <f t="array" ref="C247" xml:space="preserve"> mc(500, 0, 4, 1, 2, "x^2+y^2")-92/3</f>
        <v>0.83690690366847065</v>
      </c>
      <c r="D247" cm="1">
        <f t="array" ref="D247" xml:space="preserve"> mc(1000, 0, 4, 1, 2, "x^2+y^2")-92/3</f>
        <v>1.1336235850551617</v>
      </c>
      <c r="F247" cm="1">
        <f t="array" ref="F247" xml:space="preserve"> ( mc(100, 3, 4, -1, 1, "EXP(x * sin(y))") ) - 7.39981</f>
        <v>-0.35766786947396501</v>
      </c>
      <c r="G247" cm="1">
        <f t="array" ref="G247" xml:space="preserve"> ( mc(500, 3, 4, -1, 1, "EXP(x * sin(y))") ) - 7.39981</f>
        <v>-0.33589193131838169</v>
      </c>
      <c r="H247" cm="1">
        <f t="array" ref="H247" xml:space="preserve"> ( mc(1000, 3, 4, -1, 1, "EXP(x * sin(y))") ) - 7.39981</f>
        <v>-9.1269455531307386E-2</v>
      </c>
      <c r="J247" cm="1">
        <f t="array" ref="J247" xml:space="preserve"> mc(100, -PI()/2,0,-1, 1, "ln(EXP(x * y))")</f>
        <v>-0.12091031961969166</v>
      </c>
      <c r="K247" cm="1">
        <f t="array" ref="K247" xml:space="preserve"> mc(500, -PI()/2,0,-1, 1, "ln(EXP(x * y))")</f>
        <v>-0.11922146373173924</v>
      </c>
      <c r="L247" cm="1">
        <f t="array" ref="L247" xml:space="preserve"> mc(1000, -PI()/2,0,-1, 1, "ln(EXP(x * y))")</f>
        <v>5.066524371852333E-2</v>
      </c>
      <c r="N247" cm="1">
        <f t="array" ref="N247" xml:space="preserve"> mc(100, -PI()/2,PI()/2, 0, 1, "sin(cos(x + y))")-1.48235</f>
        <v>-2.4704609031298119E-2</v>
      </c>
      <c r="O247" cm="1">
        <f t="array" ref="O247" xml:space="preserve"> mc(500, -PI()/2,PI()/2, 0, 1, "sin(cos(x + y))")-1.48235</f>
        <v>1.8877998607028434E-2</v>
      </c>
      <c r="P247" cm="1">
        <f t="array" ref="P247" xml:space="preserve"> mc(1000, -PI()/2,PI()/2, 0, 1, "sin(cos(x + y))")-1.48235</f>
        <v>-1.2023237859332347E-2</v>
      </c>
    </row>
    <row r="248" spans="1:16" x14ac:dyDescent="0.3">
      <c r="A248">
        <v>218</v>
      </c>
      <c r="B248" cm="1">
        <f t="array" ref="B248" xml:space="preserve"> mc(100, 0, 4, 1, 2, "x^2+y^2")-92/3</f>
        <v>0.2079136317594461</v>
      </c>
      <c r="C248" cm="1">
        <f t="array" ref="C248" xml:space="preserve"> mc(500, 0, 4, 1, 2, "x^2+y^2")-92/3</f>
        <v>0.36204605396324041</v>
      </c>
      <c r="D248" cm="1">
        <f t="array" ref="D248" xml:space="preserve"> mc(1000, 0, 4, 1, 2, "x^2+y^2")-92/3</f>
        <v>-0.16969273290072451</v>
      </c>
      <c r="F248" cm="1">
        <f t="array" ref="F248" xml:space="preserve"> ( mc(100, 3, 4, -1, 1, "EXP(x * sin(y))") ) - 7.39981</f>
        <v>1.316905425479975</v>
      </c>
      <c r="G248" cm="1">
        <f t="array" ref="G248" xml:space="preserve"> ( mc(500, 3, 4, -1, 1, "EXP(x * sin(y))") ) - 7.39981</f>
        <v>-0.31121079072085234</v>
      </c>
      <c r="H248" cm="1">
        <f t="array" ref="H248" xml:space="preserve"> ( mc(1000, 3, 4, -1, 1, "EXP(x * sin(y))") ) - 7.39981</f>
        <v>-0.28927567032673718</v>
      </c>
      <c r="J248" cm="1">
        <f t="array" ref="J248" xml:space="preserve"> mc(100, -PI()/2,0,-1, 1, "ln(EXP(x * y))")</f>
        <v>-0.14116227608872653</v>
      </c>
      <c r="K248" cm="1">
        <f t="array" ref="K248" xml:space="preserve"> mc(500, -PI()/2,0,-1, 1, "ln(EXP(x * y))")</f>
        <v>7.0894454868492135E-2</v>
      </c>
      <c r="L248" cm="1">
        <f t="array" ref="L248" xml:space="preserve"> mc(1000, -PI()/2,0,-1, 1, "ln(EXP(x * y))")</f>
        <v>6.8158663776278668E-3</v>
      </c>
      <c r="N248" cm="1">
        <f t="array" ref="N248" xml:space="preserve"> mc(100, -PI()/2,PI()/2, 0, 1, "sin(cos(x + y))")-1.48235</f>
        <v>0.14439861694110556</v>
      </c>
      <c r="O248" cm="1">
        <f t="array" ref="O248" xml:space="preserve"> mc(500, -PI()/2,PI()/2, 0, 1, "sin(cos(x + y))")-1.48235</f>
        <v>6.0502712806848269E-2</v>
      </c>
      <c r="P248" cm="1">
        <f t="array" ref="P248" xml:space="preserve"> mc(1000, -PI()/2,PI()/2, 0, 1, "sin(cos(x + y))")-1.48235</f>
        <v>-3.3478142104301334E-2</v>
      </c>
    </row>
    <row r="249" spans="1:16" x14ac:dyDescent="0.3">
      <c r="A249">
        <v>219</v>
      </c>
      <c r="B249" cm="1">
        <f t="array" ref="B249" xml:space="preserve"> mc(100, 0, 4, 1, 2, "x^2+y^2")-92/3</f>
        <v>-1.5483872342809981</v>
      </c>
      <c r="C249" cm="1">
        <f t="array" ref="C249" xml:space="preserve"> mc(500, 0, 4, 1, 2, "x^2+y^2")-92/3</f>
        <v>1.2761789339881098</v>
      </c>
      <c r="D249" cm="1">
        <f t="array" ref="D249" xml:space="preserve"> mc(1000, 0, 4, 1, 2, "x^2+y^2")-92/3</f>
        <v>4.8508543418897432E-2</v>
      </c>
      <c r="F249" cm="1">
        <f t="array" ref="F249" xml:space="preserve"> ( mc(100, 3, 4, -1, 1, "EXP(x * sin(y))") ) - 7.39981</f>
        <v>1.0195653148789052</v>
      </c>
      <c r="G249" cm="1">
        <f t="array" ref="G249" xml:space="preserve"> ( mc(500, 3, 4, -1, 1, "EXP(x * sin(y))") ) - 7.39981</f>
        <v>0.54583540890816451</v>
      </c>
      <c r="H249" cm="1">
        <f t="array" ref="H249" xml:space="preserve"> ( mc(1000, 3, 4, -1, 1, "EXP(x * sin(y))") ) - 7.39981</f>
        <v>4.1822953917248107E-2</v>
      </c>
      <c r="J249" cm="1">
        <f t="array" ref="J249" xml:space="preserve"> mc(100, -PI()/2,0,-1, 1, "ln(EXP(x * y))")</f>
        <v>-9.8663478608508423E-2</v>
      </c>
      <c r="K249" cm="1">
        <f t="array" ref="K249" xml:space="preserve"> mc(500, -PI()/2,0,-1, 1, "ln(EXP(x * y))")</f>
        <v>-2.7807352619076339E-2</v>
      </c>
      <c r="L249" cm="1">
        <f t="array" ref="L249" xml:space="preserve"> mc(1000, -PI()/2,0,-1, 1, "ln(EXP(x * y))")</f>
        <v>-9.9830289015495108E-2</v>
      </c>
      <c r="N249" cm="1">
        <f t="array" ref="N249" xml:space="preserve"> mc(100, -PI()/2,PI()/2, 0, 1, "sin(cos(x + y))")-1.48235</f>
        <v>0.14682744296066685</v>
      </c>
      <c r="O249" cm="1">
        <f t="array" ref="O249" xml:space="preserve"> mc(500, -PI()/2,PI()/2, 0, 1, "sin(cos(x + y))")-1.48235</f>
        <v>0.10193455159458176</v>
      </c>
      <c r="P249" cm="1">
        <f t="array" ref="P249" xml:space="preserve"> mc(1000, -PI()/2,PI()/2, 0, 1, "sin(cos(x + y))")-1.48235</f>
        <v>-2.0286983129673697E-2</v>
      </c>
    </row>
    <row r="250" spans="1:16" x14ac:dyDescent="0.3">
      <c r="A250">
        <v>220</v>
      </c>
      <c r="B250" cm="1">
        <f t="array" ref="B250" xml:space="preserve"> mc(100, 0, 4, 1, 2, "x^2+y^2")-92/3</f>
        <v>-0.54818345811063551</v>
      </c>
      <c r="C250" cm="1">
        <f t="array" ref="C250" xml:space="preserve"> mc(500, 0, 4, 1, 2, "x^2+y^2")-92/3</f>
        <v>0.40231727452889743</v>
      </c>
      <c r="D250" cm="1">
        <f t="array" ref="D250" xml:space="preserve"> mc(1000, 0, 4, 1, 2, "x^2+y^2")-92/3</f>
        <v>-0.90834169402011256</v>
      </c>
      <c r="F250" cm="1">
        <f t="array" ref="F250" xml:space="preserve"> ( mc(100, 3, 4, -1, 1, "EXP(x * sin(y))") ) - 7.39981</f>
        <v>-1.4657005732138026</v>
      </c>
      <c r="G250" cm="1">
        <f t="array" ref="G250" xml:space="preserve"> ( mc(500, 3, 4, -1, 1, "EXP(x * sin(y))") ) - 7.39981</f>
        <v>0.10096640293810566</v>
      </c>
      <c r="H250" cm="1">
        <f t="array" ref="H250" xml:space="preserve"> ( mc(1000, 3, 4, -1, 1, "EXP(x * sin(y))") ) - 7.39981</f>
        <v>1.0551329317007863E-2</v>
      </c>
      <c r="J250" cm="1">
        <f t="array" ref="J250" xml:space="preserve"> mc(100, -PI()/2,0,-1, 1, "ln(EXP(x * y))")</f>
        <v>-4.2878563676323575E-2</v>
      </c>
      <c r="K250" cm="1">
        <f t="array" ref="K250" xml:space="preserve"> mc(500, -PI()/2,0,-1, 1, "ln(EXP(x * y))")</f>
        <v>-5.3608073311749056E-3</v>
      </c>
      <c r="L250" cm="1">
        <f t="array" ref="L250" xml:space="preserve"> mc(1000, -PI()/2,0,-1, 1, "ln(EXP(x * y))")</f>
        <v>-4.9891333055455442E-2</v>
      </c>
      <c r="N250" cm="1">
        <f t="array" ref="N250" xml:space="preserve"> mc(100, -PI()/2,PI()/2, 0, 1, "sin(cos(x + y))")-1.48235</f>
        <v>-8.9647384652699724E-2</v>
      </c>
      <c r="O250" cm="1">
        <f t="array" ref="O250" xml:space="preserve"> mc(500, -PI()/2,PI()/2, 0, 1, "sin(cos(x + y))")-1.48235</f>
        <v>-2.0277385965346895E-2</v>
      </c>
      <c r="P250" cm="1">
        <f t="array" ref="P250" xml:space="preserve"> mc(1000, -PI()/2,PI()/2, 0, 1, "sin(cos(x + y))")-1.48235</f>
        <v>-3.6074734749946824E-2</v>
      </c>
    </row>
    <row r="251" spans="1:16" x14ac:dyDescent="0.3">
      <c r="A251">
        <v>221</v>
      </c>
      <c r="B251" cm="1">
        <f t="array" ref="B251" xml:space="preserve"> mc(100, 0, 4, 1, 2, "x^2+y^2")-92/3</f>
        <v>-1.2361885609769274</v>
      </c>
      <c r="C251" cm="1">
        <f t="array" ref="C251" xml:space="preserve"> mc(500, 0, 4, 1, 2, "x^2+y^2")-92/3</f>
        <v>0.82582132862270186</v>
      </c>
      <c r="D251" cm="1">
        <f t="array" ref="D251" xml:space="preserve"> mc(1000, 0, 4, 1, 2, "x^2+y^2")-92/3</f>
        <v>1.2488083690720622</v>
      </c>
      <c r="F251" cm="1">
        <f t="array" ref="F251" xml:space="preserve"> ( mc(100, 3, 4, -1, 1, "EXP(x * sin(y))") ) - 7.39981</f>
        <v>0.31979827215718704</v>
      </c>
      <c r="G251" cm="1">
        <f t="array" ref="G251" xml:space="preserve"> ( mc(500, 3, 4, -1, 1, "EXP(x * sin(y))") ) - 7.39981</f>
        <v>1.0455981451370562</v>
      </c>
      <c r="H251" cm="1">
        <f t="array" ref="H251" xml:space="preserve"> ( mc(1000, 3, 4, -1, 1, "EXP(x * sin(y))") ) - 7.39981</f>
        <v>-0.55934893526637453</v>
      </c>
      <c r="J251" cm="1">
        <f t="array" ref="J251" xml:space="preserve"> mc(100, -PI()/2,0,-1, 1, "ln(EXP(x * y))")</f>
        <v>1.9451212529234749E-2</v>
      </c>
      <c r="K251" cm="1">
        <f t="array" ref="K251" xml:space="preserve"> mc(500, -PI()/2,0,-1, 1, "ln(EXP(x * y))")</f>
        <v>-3.3754145983245894E-2</v>
      </c>
      <c r="L251" cm="1">
        <f t="array" ref="L251" xml:space="preserve"> mc(1000, -PI()/2,0,-1, 1, "ln(EXP(x * y))")</f>
        <v>-6.4095737953692819E-2</v>
      </c>
      <c r="N251" cm="1">
        <f t="array" ref="N251" xml:space="preserve"> mc(100, -PI()/2,PI()/2, 0, 1, "sin(cos(x + y))")-1.48235</f>
        <v>-5.1647941199717717E-2</v>
      </c>
      <c r="O251" cm="1">
        <f t="array" ref="O251" xml:space="preserve"> mc(500, -PI()/2,PI()/2, 0, 1, "sin(cos(x + y))")-1.48235</f>
        <v>-2.7808451013922042E-3</v>
      </c>
      <c r="P251" cm="1">
        <f t="array" ref="P251" xml:space="preserve"> mc(1000, -PI()/2,PI()/2, 0, 1, "sin(cos(x + y))")-1.48235</f>
        <v>-5.154335137902688E-2</v>
      </c>
    </row>
    <row r="252" spans="1:16" x14ac:dyDescent="0.3">
      <c r="A252">
        <v>222</v>
      </c>
      <c r="B252" cm="1">
        <f t="array" ref="B252" xml:space="preserve"> mc(100, 0, 4, 1, 2, "x^2+y^2")-92/3</f>
        <v>-0.57934524094314099</v>
      </c>
      <c r="C252" cm="1">
        <f t="array" ref="C252" xml:space="preserve"> mc(500, 0, 4, 1, 2, "x^2+y^2")-92/3</f>
        <v>0.12173033019962531</v>
      </c>
      <c r="D252" cm="1">
        <f t="array" ref="D252" xml:space="preserve"> mc(1000, 0, 4, 1, 2, "x^2+y^2")-92/3</f>
        <v>0.32517532384979475</v>
      </c>
      <c r="F252" cm="1">
        <f t="array" ref="F252" xml:space="preserve"> ( mc(100, 3, 4, -1, 1, "EXP(x * sin(y))") ) - 7.39981</f>
        <v>1.9493153307693749</v>
      </c>
      <c r="G252" cm="1">
        <f t="array" ref="G252" xml:space="preserve"> ( mc(500, 3, 4, -1, 1, "EXP(x * sin(y))") ) - 7.39981</f>
        <v>-4.1944447719234113E-2</v>
      </c>
      <c r="H252" cm="1">
        <f t="array" ref="H252" xml:space="preserve"> ( mc(1000, 3, 4, -1, 1, "EXP(x * sin(y))") ) - 7.39981</f>
        <v>0.18518779017793197</v>
      </c>
      <c r="J252" cm="1">
        <f t="array" ref="J252" xml:space="preserve"> mc(100, -PI()/2,0,-1, 1, "ln(EXP(x * y))")</f>
        <v>0.11271926334433584</v>
      </c>
      <c r="K252" cm="1">
        <f t="array" ref="K252" xml:space="preserve"> mc(500, -PI()/2,0,-1, 1, "ln(EXP(x * y))")</f>
        <v>-8.1619450741299334E-3</v>
      </c>
      <c r="L252" cm="1">
        <f t="array" ref="L252" xml:space="preserve"> mc(1000, -PI()/2,0,-1, 1, "ln(EXP(x * y))")</f>
        <v>-3.1704576888612064E-2</v>
      </c>
      <c r="N252" cm="1">
        <f t="array" ref="N252" xml:space="preserve"> mc(100, -PI()/2,PI()/2, 0, 1, "sin(cos(x + y))")-1.48235</f>
        <v>4.1174276201331184E-2</v>
      </c>
      <c r="O252" cm="1">
        <f t="array" ref="O252" xml:space="preserve"> mc(500, -PI()/2,PI()/2, 0, 1, "sin(cos(x + y))")-1.48235</f>
        <v>5.2131002236180057E-2</v>
      </c>
      <c r="P252" cm="1">
        <f t="array" ref="P252" xml:space="preserve"> mc(1000, -PI()/2,PI()/2, 0, 1, "sin(cos(x + y))")-1.48235</f>
        <v>-4.0044913036656027E-2</v>
      </c>
    </row>
    <row r="253" spans="1:16" x14ac:dyDescent="0.3">
      <c r="A253">
        <v>223</v>
      </c>
      <c r="B253" cm="1">
        <f t="array" ref="B253" xml:space="preserve"> mc(100, 0, 4, 1, 2, "x^2+y^2")-92/3</f>
        <v>1.3955890855697852</v>
      </c>
      <c r="C253" cm="1">
        <f t="array" ref="C253" xml:space="preserve"> mc(500, 0, 4, 1, 2, "x^2+y^2")-92/3</f>
        <v>-1.1204954038723614</v>
      </c>
      <c r="D253" cm="1">
        <f t="array" ref="D253" xml:space="preserve"> mc(1000, 0, 4, 1, 2, "x^2+y^2")-92/3</f>
        <v>-0.27175006309155592</v>
      </c>
      <c r="F253" cm="1">
        <f t="array" ref="F253" xml:space="preserve"> ( mc(100, 3, 4, -1, 1, "EXP(x * sin(y))") ) - 7.39981</f>
        <v>-0.40615753369101704</v>
      </c>
      <c r="G253" cm="1">
        <f t="array" ref="G253" xml:space="preserve"> ( mc(500, 3, 4, -1, 1, "EXP(x * sin(y))") ) - 7.39981</f>
        <v>-9.8294967030223113E-2</v>
      </c>
      <c r="H253" cm="1">
        <f t="array" ref="H253" xml:space="preserve"> ( mc(1000, 3, 4, -1, 1, "EXP(x * sin(y))") ) - 7.39981</f>
        <v>0.45842957699317655</v>
      </c>
      <c r="J253" cm="1">
        <f t="array" ref="J253" xml:space="preserve"> mc(100, -PI()/2,0,-1, 1, "ln(EXP(x * y))")</f>
        <v>-2.4618486250938851E-2</v>
      </c>
      <c r="K253" cm="1">
        <f t="array" ref="K253" xml:space="preserve"> mc(500, -PI()/2,0,-1, 1, "ln(EXP(x * y))")</f>
        <v>3.1489550484430681E-2</v>
      </c>
      <c r="L253" cm="1">
        <f t="array" ref="L253" xml:space="preserve"> mc(1000, -PI()/2,0,-1, 1, "ln(EXP(x * y))")</f>
        <v>1.4983110828013079E-2</v>
      </c>
      <c r="N253" cm="1">
        <f t="array" ref="N253" xml:space="preserve"> mc(100, -PI()/2,PI()/2, 0, 1, "sin(cos(x + y))")-1.48235</f>
        <v>-0.20832081475474507</v>
      </c>
      <c r="O253" cm="1">
        <f t="array" ref="O253" xml:space="preserve"> mc(500, -PI()/2,PI()/2, 0, 1, "sin(cos(x + y))")-1.48235</f>
        <v>-3.4489636247671429E-2</v>
      </c>
      <c r="P253" cm="1">
        <f t="array" ref="P253" xml:space="preserve"> mc(1000, -PI()/2,PI()/2, 0, 1, "sin(cos(x + y))")-1.48235</f>
        <v>-1.5439363431760889E-2</v>
      </c>
    </row>
    <row r="254" spans="1:16" x14ac:dyDescent="0.3">
      <c r="A254">
        <v>224</v>
      </c>
      <c r="B254" cm="1">
        <f t="array" ref="B254" xml:space="preserve"> mc(100, 0, 4, 1, 2, "x^2+y^2")-92/3</f>
        <v>-2.9461165319296363</v>
      </c>
      <c r="C254" cm="1">
        <f t="array" ref="C254" xml:space="preserve"> mc(500, 0, 4, 1, 2, "x^2+y^2")-92/3</f>
        <v>0.43713266922255301</v>
      </c>
      <c r="D254" cm="1">
        <f t="array" ref="D254" xml:space="preserve"> mc(1000, 0, 4, 1, 2, "x^2+y^2")-92/3</f>
        <v>-0.92624580708795534</v>
      </c>
      <c r="F254" cm="1">
        <f t="array" ref="F254" xml:space="preserve"> ( mc(100, 3, 4, -1, 1, "EXP(x * sin(y))") ) - 7.39981</f>
        <v>0.30008318469177819</v>
      </c>
      <c r="G254" cm="1">
        <f t="array" ref="G254" xml:space="preserve"> ( mc(500, 3, 4, -1, 1, "EXP(x * sin(y))") ) - 7.39981</f>
        <v>0.1930915036121279</v>
      </c>
      <c r="H254" cm="1">
        <f t="array" ref="H254" xml:space="preserve"> ( mc(1000, 3, 4, -1, 1, "EXP(x * sin(y))") ) - 7.39981</f>
        <v>0.1063574656219215</v>
      </c>
      <c r="J254" cm="1">
        <f t="array" ref="J254" xml:space="preserve"> mc(100, -PI()/2,0,-1, 1, "ln(EXP(x * y))")</f>
        <v>-0.1389904225792418</v>
      </c>
      <c r="K254" cm="1">
        <f t="array" ref="K254" xml:space="preserve"> mc(500, -PI()/2,0,-1, 1, "ln(EXP(x * y))")</f>
        <v>0.13547160045028339</v>
      </c>
      <c r="L254" cm="1">
        <f t="array" ref="L254" xml:space="preserve"> mc(1000, -PI()/2,0,-1, 1, "ln(EXP(x * y))")</f>
        <v>8.3918269549949104E-2</v>
      </c>
      <c r="N254" cm="1">
        <f t="array" ref="N254" xml:space="preserve"> mc(100, -PI()/2,PI()/2, 0, 1, "sin(cos(x + y))")-1.48235</f>
        <v>4.0053043138863043E-2</v>
      </c>
      <c r="O254" cm="1">
        <f t="array" ref="O254" xml:space="preserve"> mc(500, -PI()/2,PI()/2, 0, 1, "sin(cos(x + y))")-1.48235</f>
        <v>-5.7799812573537057E-2</v>
      </c>
      <c r="P254" cm="1">
        <f t="array" ref="P254" xml:space="preserve"> mc(1000, -PI()/2,PI()/2, 0, 1, "sin(cos(x + y))")-1.48235</f>
        <v>-2.1149074075197394E-2</v>
      </c>
    </row>
    <row r="255" spans="1:16" x14ac:dyDescent="0.3">
      <c r="A255">
        <v>225</v>
      </c>
      <c r="B255" cm="1">
        <f t="array" ref="B255" xml:space="preserve"> mc(100, 0, 4, 1, 2, "x^2+y^2")-92/3</f>
        <v>1.2409787191364998</v>
      </c>
      <c r="C255" cm="1">
        <f t="array" ref="C255" xml:space="preserve"> mc(500, 0, 4, 1, 2, "x^2+y^2")-92/3</f>
        <v>-0.6189975278394364</v>
      </c>
      <c r="D255" cm="1">
        <f t="array" ref="D255" xml:space="preserve"> mc(1000, 0, 4, 1, 2, "x^2+y^2")-92/3</f>
        <v>-0.41317363798430407</v>
      </c>
      <c r="F255" cm="1">
        <f t="array" ref="F255" xml:space="preserve"> ( mc(100, 3, 4, -1, 1, "EXP(x * sin(y))") ) - 7.39981</f>
        <v>0.68521154468610135</v>
      </c>
      <c r="G255" cm="1">
        <f t="array" ref="G255" xml:space="preserve"> ( mc(500, 3, 4, -1, 1, "EXP(x * sin(y))") ) - 7.39981</f>
        <v>-0.56850879714862046</v>
      </c>
      <c r="H255" cm="1">
        <f t="array" ref="H255" xml:space="preserve"> ( mc(1000, 3, 4, -1, 1, "EXP(x * sin(y))") ) - 7.39981</f>
        <v>-0.32773541522193295</v>
      </c>
      <c r="J255" cm="1">
        <f t="array" ref="J255" xml:space="preserve"> mc(100, -PI()/2,0,-1, 1, "ln(EXP(x * y))")</f>
        <v>-5.2645185299438997E-3</v>
      </c>
      <c r="K255" cm="1">
        <f t="array" ref="K255" xml:space="preserve"> mc(500, -PI()/2,0,-1, 1, "ln(EXP(x * y))")</f>
        <v>-1.2151061050827075E-2</v>
      </c>
      <c r="L255" cm="1">
        <f t="array" ref="L255" xml:space="preserve"> mc(1000, -PI()/2,0,-1, 1, "ln(EXP(x * y))")</f>
        <v>8.4735764429924153E-3</v>
      </c>
      <c r="N255" cm="1">
        <f t="array" ref="N255" xml:space="preserve"> mc(100, -PI()/2,PI()/2, 0, 1, "sin(cos(x + y))")-1.48235</f>
        <v>-0.14427071277512393</v>
      </c>
      <c r="O255" cm="1">
        <f t="array" ref="O255" xml:space="preserve"> mc(500, -PI()/2,PI()/2, 0, 1, "sin(cos(x + y))")-1.48235</f>
        <v>5.4860609231937252E-2</v>
      </c>
      <c r="P255" cm="1">
        <f t="array" ref="P255" xml:space="preserve"> mc(1000, -PI()/2,PI()/2, 0, 1, "sin(cos(x + y))")-1.48235</f>
        <v>-6.6640449323300821E-3</v>
      </c>
    </row>
    <row r="256" spans="1:16" x14ac:dyDescent="0.3">
      <c r="A256">
        <v>226</v>
      </c>
      <c r="B256" cm="1">
        <f t="array" ref="B256" xml:space="preserve"> mc(100, 0, 4, 1, 2, "x^2+y^2")-92/3</f>
        <v>-1.6872454142607864</v>
      </c>
      <c r="C256" cm="1">
        <f t="array" ref="C256" xml:space="preserve"> mc(500, 0, 4, 1, 2, "x^2+y^2")-92/3</f>
        <v>0.65298172125041631</v>
      </c>
      <c r="D256" cm="1">
        <f t="array" ref="D256" xml:space="preserve"> mc(1000, 0, 4, 1, 2, "x^2+y^2")-92/3</f>
        <v>-6.6379667157178801E-2</v>
      </c>
      <c r="F256" cm="1">
        <f t="array" ref="F256" xml:space="preserve"> ( mc(100, 3, 4, -1, 1, "EXP(x * sin(y))") ) - 7.39981</f>
        <v>1.9467249197514853</v>
      </c>
      <c r="G256" cm="1">
        <f t="array" ref="G256" xml:space="preserve"> ( mc(500, 3, 4, -1, 1, "EXP(x * sin(y))") ) - 7.39981</f>
        <v>-0.21108376124863781</v>
      </c>
      <c r="H256" cm="1">
        <f t="array" ref="H256" xml:space="preserve"> ( mc(1000, 3, 4, -1, 1, "EXP(x * sin(y))") ) - 7.39981</f>
        <v>0.304312972603066</v>
      </c>
      <c r="J256" cm="1">
        <f t="array" ref="J256" xml:space="preserve"> mc(100, -PI()/2,0,-1, 1, "ln(EXP(x * y))")</f>
        <v>-9.5217049694652348E-2</v>
      </c>
      <c r="K256" cm="1">
        <f t="array" ref="K256" xml:space="preserve"> mc(500, -PI()/2,0,-1, 1, "ln(EXP(x * y))")</f>
        <v>-1.4372428606818227E-2</v>
      </c>
      <c r="L256" cm="1">
        <f t="array" ref="L256" xml:space="preserve"> mc(1000, -PI()/2,0,-1, 1, "ln(EXP(x * y))")</f>
        <v>0.10308618501179283</v>
      </c>
      <c r="N256" cm="1">
        <f t="array" ref="N256" xml:space="preserve"> mc(100, -PI()/2,PI()/2, 0, 1, "sin(cos(x + y))")-1.48235</f>
        <v>-1.9458445903034916E-2</v>
      </c>
      <c r="O256" cm="1">
        <f t="array" ref="O256" xml:space="preserve"> mc(500, -PI()/2,PI()/2, 0, 1, "sin(cos(x + y))")-1.48235</f>
        <v>-5.2849645087651442E-3</v>
      </c>
      <c r="P256" cm="1">
        <f t="array" ref="P256" xml:space="preserve"> mc(1000, -PI()/2,PI()/2, 0, 1, "sin(cos(x + y))")-1.48235</f>
        <v>3.4240470862311412E-2</v>
      </c>
    </row>
    <row r="257" spans="1:16" x14ac:dyDescent="0.3">
      <c r="A257">
        <v>227</v>
      </c>
      <c r="B257" cm="1">
        <f t="array" ref="B257" xml:space="preserve"> mc(100, 0, 4, 1, 2, "x^2+y^2")-92/3</f>
        <v>2.479451093173882</v>
      </c>
      <c r="C257" cm="1">
        <f t="array" ref="C257" xml:space="preserve"> mc(500, 0, 4, 1, 2, "x^2+y^2")-92/3</f>
        <v>0.38079218002836868</v>
      </c>
      <c r="D257" cm="1">
        <f t="array" ref="D257" xml:space="preserve"> mc(1000, 0, 4, 1, 2, "x^2+y^2")-92/3</f>
        <v>-1.1361249971653891</v>
      </c>
      <c r="F257" cm="1">
        <f t="array" ref="F257" xml:space="preserve"> ( mc(100, 3, 4, -1, 1, "EXP(x * sin(y))") ) - 7.39981</f>
        <v>1.2208278820566694</v>
      </c>
      <c r="G257" cm="1">
        <f t="array" ref="G257" xml:space="preserve"> ( mc(500, 3, 4, -1, 1, "EXP(x * sin(y))") ) - 7.39981</f>
        <v>-0.25534676737100437</v>
      </c>
      <c r="H257" cm="1">
        <f t="array" ref="H257" xml:space="preserve"> ( mc(1000, 3, 4, -1, 1, "EXP(x * sin(y))") ) - 7.39981</f>
        <v>-1.0929894858252354E-2</v>
      </c>
      <c r="J257" cm="1">
        <f t="array" ref="J257" xml:space="preserve"> mc(100, -PI()/2,0,-1, 1, "ln(EXP(x * y))")</f>
        <v>-5.2483899479768011E-2</v>
      </c>
      <c r="K257" cm="1">
        <f t="array" ref="K257" xml:space="preserve"> mc(500, -PI()/2,0,-1, 1, "ln(EXP(x * y))")</f>
        <v>-0.14361699320253676</v>
      </c>
      <c r="L257" cm="1">
        <f t="array" ref="L257" xml:space="preserve"> mc(1000, -PI()/2,0,-1, 1, "ln(EXP(x * y))")</f>
        <v>-6.2322914056650434E-2</v>
      </c>
      <c r="N257" cm="1">
        <f t="array" ref="N257" xml:space="preserve"> mc(100, -PI()/2,PI()/2, 0, 1, "sin(cos(x + y))")-1.48235</f>
        <v>-3.0958445454773997E-3</v>
      </c>
      <c r="O257" cm="1">
        <f t="array" ref="O257" xml:space="preserve"> mc(500, -PI()/2,PI()/2, 0, 1, "sin(cos(x + y))")-1.48235</f>
        <v>-1.6564085004870499E-2</v>
      </c>
      <c r="P257" cm="1">
        <f t="array" ref="P257" xml:space="preserve"> mc(1000, -PI()/2,PI()/2, 0, 1, "sin(cos(x + y))")-1.48235</f>
        <v>0.11676635788599499</v>
      </c>
    </row>
    <row r="258" spans="1:16" x14ac:dyDescent="0.3">
      <c r="A258">
        <v>228</v>
      </c>
      <c r="B258" cm="1">
        <f t="array" ref="B258" xml:space="preserve"> mc(100, 0, 4, 1, 2, "x^2+y^2")-92/3</f>
        <v>0.9074383147552112</v>
      </c>
      <c r="C258" cm="1">
        <f t="array" ref="C258" xml:space="preserve"> mc(500, 0, 4, 1, 2, "x^2+y^2")-92/3</f>
        <v>0.25690550258705969</v>
      </c>
      <c r="D258" cm="1">
        <f t="array" ref="D258" xml:space="preserve"> mc(1000, 0, 4, 1, 2, "x^2+y^2")-92/3</f>
        <v>8.7816053612673528E-2</v>
      </c>
      <c r="F258" cm="1">
        <f t="array" ref="F258" xml:space="preserve"> ( mc(100, 3, 4, -1, 1, "EXP(x * sin(y))") ) - 7.39981</f>
        <v>-1.0113078995304061</v>
      </c>
      <c r="G258" cm="1">
        <f t="array" ref="G258" xml:space="preserve"> ( mc(500, 3, 4, -1, 1, "EXP(x * sin(y))") ) - 7.39981</f>
        <v>0.45415780715819665</v>
      </c>
      <c r="H258" cm="1">
        <f t="array" ref="H258" xml:space="preserve"> ( mc(1000, 3, 4, -1, 1, "EXP(x * sin(y))") ) - 7.39981</f>
        <v>0.74289618152374004</v>
      </c>
      <c r="J258" cm="1">
        <f t="array" ref="J258" xml:space="preserve"> mc(100, -PI()/2,0,-1, 1, "ln(EXP(x * y))")</f>
        <v>9.9502032041487193E-2</v>
      </c>
      <c r="K258" cm="1">
        <f t="array" ref="K258" xml:space="preserve"> mc(500, -PI()/2,0,-1, 1, "ln(EXP(x * y))")</f>
        <v>-8.426424140530113E-2</v>
      </c>
      <c r="L258" cm="1">
        <f t="array" ref="L258" xml:space="preserve"> mc(1000, -PI()/2,0,-1, 1, "ln(EXP(x * y))")</f>
        <v>-5.2215606598800604E-2</v>
      </c>
      <c r="N258" cm="1">
        <f t="array" ref="N258" xml:space="preserve"> mc(100, -PI()/2,PI()/2, 0, 1, "sin(cos(x + y))")-1.48235</f>
        <v>7.0990888551953013E-2</v>
      </c>
      <c r="O258" cm="1">
        <f t="array" ref="O258" xml:space="preserve"> mc(500, -PI()/2,PI()/2, 0, 1, "sin(cos(x + y))")-1.48235</f>
        <v>2.8427877283009773E-2</v>
      </c>
      <c r="P258" cm="1">
        <f t="array" ref="P258" xml:space="preserve"> mc(1000, -PI()/2,PI()/2, 0, 1, "sin(cos(x + y))")-1.48235</f>
        <v>4.9188161249604123E-2</v>
      </c>
    </row>
    <row r="259" spans="1:16" x14ac:dyDescent="0.3">
      <c r="A259">
        <v>229</v>
      </c>
      <c r="B259" cm="1">
        <f t="array" ref="B259" xml:space="preserve"> mc(100, 0, 4, 1, 2, "x^2+y^2")-92/3</f>
        <v>2.0879474403461273E-2</v>
      </c>
      <c r="C259" cm="1">
        <f t="array" ref="C259" xml:space="preserve"> mc(500, 0, 4, 1, 2, "x^2+y^2")-92/3</f>
        <v>0.12746333753729644</v>
      </c>
      <c r="D259" cm="1">
        <f t="array" ref="D259" xml:space="preserve"> mc(1000, 0, 4, 1, 2, "x^2+y^2")-92/3</f>
        <v>0.33518405239754756</v>
      </c>
      <c r="F259" cm="1">
        <f t="array" ref="F259" xml:space="preserve"> ( mc(100, 3, 4, -1, 1, "EXP(x * sin(y))") ) - 7.39981</f>
        <v>0.59998723622553918</v>
      </c>
      <c r="G259" cm="1">
        <f t="array" ref="G259" xml:space="preserve"> ( mc(500, 3, 4, -1, 1, "EXP(x * sin(y))") ) - 7.39981</f>
        <v>-0.25009591460418701</v>
      </c>
      <c r="H259" cm="1">
        <f t="array" ref="H259" xml:space="preserve"> ( mc(1000, 3, 4, -1, 1, "EXP(x * sin(y))") ) - 7.39981</f>
        <v>-3.3138292570271233E-2</v>
      </c>
      <c r="J259" cm="1">
        <f t="array" ref="J259" xml:space="preserve"> mc(100, -PI()/2,0,-1, 1, "ln(EXP(x * y))")</f>
        <v>-0.12496500750199631</v>
      </c>
      <c r="K259" cm="1">
        <f t="array" ref="K259" xml:space="preserve"> mc(500, -PI()/2,0,-1, 1, "ln(EXP(x * y))")</f>
        <v>-9.6859230328051493E-2</v>
      </c>
      <c r="L259" cm="1">
        <f t="array" ref="L259" xml:space="preserve"> mc(1000, -PI()/2,0,-1, 1, "ln(EXP(x * y))")</f>
        <v>4.9335258703726521E-2</v>
      </c>
      <c r="N259" cm="1">
        <f t="array" ref="N259" xml:space="preserve"> mc(100, -PI()/2,PI()/2, 0, 1, "sin(cos(x + y))")-1.48235</f>
        <v>-3.0822358125045524E-2</v>
      </c>
      <c r="O259" cm="1">
        <f t="array" ref="O259" xml:space="preserve"> mc(500, -PI()/2,PI()/2, 0, 1, "sin(cos(x + y))")-1.48235</f>
        <v>6.8054947084975614E-2</v>
      </c>
      <c r="P259" cm="1">
        <f t="array" ref="P259" xml:space="preserve"> mc(1000, -PI()/2,PI()/2, 0, 1, "sin(cos(x + y))")-1.48235</f>
        <v>2.7784507094825273E-2</v>
      </c>
    </row>
    <row r="260" spans="1:16" x14ac:dyDescent="0.3">
      <c r="A260">
        <v>230</v>
      </c>
      <c r="B260" cm="1">
        <f t="array" ref="B260" xml:space="preserve"> mc(100, 0, 4, 1, 2, "x^2+y^2")-92/3</f>
        <v>-1.5868877491309128</v>
      </c>
      <c r="C260" cm="1">
        <f t="array" ref="C260" xml:space="preserve"> mc(500, 0, 4, 1, 2, "x^2+y^2")-92/3</f>
        <v>-0.30771229863819372</v>
      </c>
      <c r="D260" cm="1">
        <f t="array" ref="D260" xml:space="preserve"> mc(1000, 0, 4, 1, 2, "x^2+y^2")-92/3</f>
        <v>0.50098095946686172</v>
      </c>
      <c r="F260" cm="1">
        <f t="array" ref="F260" xml:space="preserve"> ( mc(100, 3, 4, -1, 1, "EXP(x * sin(y))") ) - 7.39981</f>
        <v>1.4668561342240221</v>
      </c>
      <c r="G260" cm="1">
        <f t="array" ref="G260" xml:space="preserve"> ( mc(500, 3, 4, -1, 1, "EXP(x * sin(y))") ) - 7.39981</f>
        <v>0.13408276106275618</v>
      </c>
      <c r="H260" cm="1">
        <f t="array" ref="H260" xml:space="preserve"> ( mc(1000, 3, 4, -1, 1, "EXP(x * sin(y))") ) - 7.39981</f>
        <v>0.39235231394115377</v>
      </c>
      <c r="J260" cm="1">
        <f t="array" ref="J260" xml:space="preserve"> mc(100, -PI()/2,0,-1, 1, "ln(EXP(x * y))")</f>
        <v>-8.0569100183134193E-2</v>
      </c>
      <c r="K260" cm="1">
        <f t="array" ref="K260" xml:space="preserve"> mc(500, -PI()/2,0,-1, 1, "ln(EXP(x * y))")</f>
        <v>-7.0768187574126095E-3</v>
      </c>
      <c r="L260" cm="1">
        <f t="array" ref="L260" xml:space="preserve"> mc(1000, -PI()/2,0,-1, 1, "ln(EXP(x * y))")</f>
        <v>1.4970947467594647E-2</v>
      </c>
      <c r="N260" cm="1">
        <f t="array" ref="N260" xml:space="preserve"> mc(100, -PI()/2,PI()/2, 0, 1, "sin(cos(x + y))")-1.48235</f>
        <v>0.13097534499235697</v>
      </c>
      <c r="O260" cm="1">
        <f t="array" ref="O260" xml:space="preserve"> mc(500, -PI()/2,PI()/2, 0, 1, "sin(cos(x + y))")-1.48235</f>
        <v>-4.4137906010843775E-2</v>
      </c>
      <c r="P260" cm="1">
        <f t="array" ref="P260" xml:space="preserve"> mc(1000, -PI()/2,PI()/2, 0, 1, "sin(cos(x + y))")-1.48235</f>
        <v>4.8322464131588694E-2</v>
      </c>
    </row>
    <row r="261" spans="1:16" x14ac:dyDescent="0.3">
      <c r="A261">
        <v>231</v>
      </c>
      <c r="B261" cm="1">
        <f t="array" ref="B261" xml:space="preserve"> mc(100, 0, 4, 1, 2, "x^2+y^2")-92/3</f>
        <v>-1.4174645724032082</v>
      </c>
      <c r="C261" cm="1">
        <f t="array" ref="C261" xml:space="preserve"> mc(500, 0, 4, 1, 2, "x^2+y^2")-92/3</f>
        <v>-8.0735691965770684E-2</v>
      </c>
      <c r="D261" cm="1">
        <f t="array" ref="D261" xml:space="preserve"> mc(1000, 0, 4, 1, 2, "x^2+y^2")-92/3</f>
        <v>-0.12129926657423695</v>
      </c>
      <c r="F261" cm="1">
        <f t="array" ref="F261" xml:space="preserve"> ( mc(100, 3, 4, -1, 1, "EXP(x * sin(y))") ) - 7.39981</f>
        <v>1.7532328197698419</v>
      </c>
      <c r="G261" cm="1">
        <f t="array" ref="G261" xml:space="preserve"> ( mc(500, 3, 4, -1, 1, "EXP(x * sin(y))") ) - 7.39981</f>
        <v>0.21168128784520057</v>
      </c>
      <c r="H261" cm="1">
        <f t="array" ref="H261" xml:space="preserve"> ( mc(1000, 3, 4, -1, 1, "EXP(x * sin(y))") ) - 7.39981</f>
        <v>-0.31103743078982493</v>
      </c>
      <c r="J261" cm="1">
        <f t="array" ref="J261" xml:space="preserve"> mc(100, -PI()/2,0,-1, 1, "ln(EXP(x * y))")</f>
        <v>-0.26281435365461098</v>
      </c>
      <c r="K261" cm="1">
        <f t="array" ref="K261" xml:space="preserve"> mc(500, -PI()/2,0,-1, 1, "ln(EXP(x * y))")</f>
        <v>0.15379606411020999</v>
      </c>
      <c r="L261" cm="1">
        <f t="array" ref="L261" xml:space="preserve"> mc(1000, -PI()/2,0,-1, 1, "ln(EXP(x * y))")</f>
        <v>-1.356991201999107E-2</v>
      </c>
      <c r="N261" cm="1">
        <f t="array" ref="N261" xml:space="preserve"> mc(100, -PI()/2,PI()/2, 0, 1, "sin(cos(x + y))")-1.48235</f>
        <v>0.1482455329181227</v>
      </c>
      <c r="O261" cm="1">
        <f t="array" ref="O261" xml:space="preserve"> mc(500, -PI()/2,PI()/2, 0, 1, "sin(cos(x + y))")-1.48235</f>
        <v>-1.9046610489029669E-2</v>
      </c>
      <c r="P261" cm="1">
        <f t="array" ref="P261" xml:space="preserve"> mc(1000, -PI()/2,PI()/2, 0, 1, "sin(cos(x + y))")-1.48235</f>
        <v>-3.0236822452327505E-3</v>
      </c>
    </row>
    <row r="262" spans="1:16" x14ac:dyDescent="0.3">
      <c r="A262">
        <v>232</v>
      </c>
      <c r="B262" cm="1">
        <f t="array" ref="B262" xml:space="preserve"> mc(100, 0, 4, 1, 2, "x^2+y^2")-92/3</f>
        <v>4.8084777333061162</v>
      </c>
      <c r="C262" cm="1">
        <f t="array" ref="C262" xml:space="preserve"> mc(500, 0, 4, 1, 2, "x^2+y^2")-92/3</f>
        <v>-0.97838609812157529</v>
      </c>
      <c r="D262" cm="1">
        <f t="array" ref="D262" xml:space="preserve"> mc(1000, 0, 4, 1, 2, "x^2+y^2")-92/3</f>
        <v>-0.95487398652500488</v>
      </c>
      <c r="F262" cm="1">
        <f t="array" ref="F262" xml:space="preserve"> ( mc(100, 3, 4, -1, 1, "EXP(x * sin(y))") ) - 7.39981</f>
        <v>1.9724752947613755</v>
      </c>
      <c r="G262" cm="1">
        <f t="array" ref="G262" xml:space="preserve"> ( mc(500, 3, 4, -1, 1, "EXP(x * sin(y))") ) - 7.39981</f>
        <v>0.31773982269986245</v>
      </c>
      <c r="H262" cm="1">
        <f t="array" ref="H262" xml:space="preserve"> ( mc(1000, 3, 4, -1, 1, "EXP(x * sin(y))") ) - 7.39981</f>
        <v>0.35502050208135483</v>
      </c>
      <c r="J262" cm="1">
        <f t="array" ref="J262" xml:space="preserve"> mc(100, -PI()/2,0,-1, 1, "ln(EXP(x * y))")</f>
        <v>-0.24261028679574786</v>
      </c>
      <c r="K262" cm="1">
        <f t="array" ref="K262" xml:space="preserve"> mc(500, -PI()/2,0,-1, 1, "ln(EXP(x * y))")</f>
        <v>-0.14515858943206741</v>
      </c>
      <c r="L262" cm="1">
        <f t="array" ref="L262" xml:space="preserve"> mc(1000, -PI()/2,0,-1, 1, "ln(EXP(x * y))")</f>
        <v>4.1958249934678726E-2</v>
      </c>
      <c r="N262" cm="1">
        <f t="array" ref="N262" xml:space="preserve"> mc(100, -PI()/2,PI()/2, 0, 1, "sin(cos(x + y))")-1.48235</f>
        <v>0.21262531203191215</v>
      </c>
      <c r="O262" cm="1">
        <f t="array" ref="O262" xml:space="preserve"> mc(500, -PI()/2,PI()/2, 0, 1, "sin(cos(x + y))")-1.48235</f>
        <v>1.1068966037827366E-2</v>
      </c>
      <c r="P262" cm="1">
        <f t="array" ref="P262" xml:space="preserve"> mc(1000, -PI()/2,PI()/2, 0, 1, "sin(cos(x + y))")-1.48235</f>
        <v>6.8036862803405374E-2</v>
      </c>
    </row>
    <row r="263" spans="1:16" x14ac:dyDescent="0.3">
      <c r="A263">
        <v>233</v>
      </c>
      <c r="B263" cm="1">
        <f t="array" ref="B263" xml:space="preserve"> mc(100, 0, 4, 1, 2, "x^2+y^2")-92/3</f>
        <v>-1.6944338709893714</v>
      </c>
      <c r="C263" cm="1">
        <f t="array" ref="C263" xml:space="preserve"> mc(500, 0, 4, 1, 2, "x^2+y^2")-92/3</f>
        <v>-2.3885202525635698</v>
      </c>
      <c r="D263" cm="1">
        <f t="array" ref="D263" xml:space="preserve"> mc(1000, 0, 4, 1, 2, "x^2+y^2")-92/3</f>
        <v>-0.38718937787637131</v>
      </c>
      <c r="F263" cm="1">
        <f t="array" ref="F263" xml:space="preserve"> ( mc(100, 3, 4, -1, 1, "EXP(x * sin(y))") ) - 7.39981</f>
        <v>1.2485443657919451</v>
      </c>
      <c r="G263" cm="1">
        <f t="array" ref="G263" xml:space="preserve"> ( mc(500, 3, 4, -1, 1, "EXP(x * sin(y))") ) - 7.39981</f>
        <v>0.75479213993668814</v>
      </c>
      <c r="H263" cm="1">
        <f t="array" ref="H263" xml:space="preserve"> ( mc(1000, 3, 4, -1, 1, "EXP(x * sin(y))") ) - 7.39981</f>
        <v>-0.28792633803760026</v>
      </c>
      <c r="J263" cm="1">
        <f t="array" ref="J263" xml:space="preserve"> mc(100, -PI()/2,0,-1, 1, "ln(EXP(x * y))")</f>
        <v>-7.5399837614117421E-2</v>
      </c>
      <c r="K263" cm="1">
        <f t="array" ref="K263" xml:space="preserve"> mc(500, -PI()/2,0,-1, 1, "ln(EXP(x * y))")</f>
        <v>1.0846155221539791E-3</v>
      </c>
      <c r="L263" cm="1">
        <f t="array" ref="L263" xml:space="preserve"> mc(1000, -PI()/2,0,-1, 1, "ln(EXP(x * y))")</f>
        <v>-2.3021734040175358E-2</v>
      </c>
      <c r="N263" cm="1">
        <f t="array" ref="N263" xml:space="preserve"> mc(100, -PI()/2,PI()/2, 0, 1, "sin(cos(x + y))")-1.48235</f>
        <v>-3.2069628197201494E-2</v>
      </c>
      <c r="O263" cm="1">
        <f t="array" ref="O263" xml:space="preserve"> mc(500, -PI()/2,PI()/2, 0, 1, "sin(cos(x + y))")-1.48235</f>
        <v>4.0607359436860557E-2</v>
      </c>
      <c r="P263" cm="1">
        <f t="array" ref="P263" xml:space="preserve"> mc(1000, -PI()/2,PI()/2, 0, 1, "sin(cos(x + y))")-1.48235</f>
        <v>-2.9955244609014997E-2</v>
      </c>
    </row>
    <row r="264" spans="1:16" x14ac:dyDescent="0.3">
      <c r="A264">
        <v>234</v>
      </c>
      <c r="B264" cm="1">
        <f t="array" ref="B264" xml:space="preserve"> mc(100, 0, 4, 1, 2, "x^2+y^2")-92/3</f>
        <v>-1.5469675721343172</v>
      </c>
      <c r="C264" cm="1">
        <f t="array" ref="C264" xml:space="preserve"> mc(500, 0, 4, 1, 2, "x^2+y^2")-92/3</f>
        <v>0.30603058996836552</v>
      </c>
      <c r="D264" cm="1">
        <f t="array" ref="D264" xml:space="preserve"> mc(1000, 0, 4, 1, 2, "x^2+y^2")-92/3</f>
        <v>-0.89388487945238282</v>
      </c>
      <c r="F264" cm="1">
        <f t="array" ref="F264" xml:space="preserve"> ( mc(100, 3, 4, -1, 1, "EXP(x * sin(y))") ) - 7.39981</f>
        <v>-1.1837875412634062</v>
      </c>
      <c r="G264" cm="1">
        <f t="array" ref="G264" xml:space="preserve"> ( mc(500, 3, 4, -1, 1, "EXP(x * sin(y))") ) - 7.39981</f>
        <v>0.17892662631525091</v>
      </c>
      <c r="H264" cm="1">
        <f t="array" ref="H264" xml:space="preserve"> ( mc(1000, 3, 4, -1, 1, "EXP(x * sin(y))") ) - 7.39981</f>
        <v>0.73567447666352237</v>
      </c>
      <c r="J264" cm="1">
        <f t="array" ref="J264" xml:space="preserve"> mc(100, -PI()/2,0,-1, 1, "ln(EXP(x * y))")</f>
        <v>-1.5172200645600761E-2</v>
      </c>
      <c r="K264" cm="1">
        <f t="array" ref="K264" xml:space="preserve"> mc(500, -PI()/2,0,-1, 1, "ln(EXP(x * y))")</f>
        <v>-5.6126221979008815E-2</v>
      </c>
      <c r="L264" cm="1">
        <f t="array" ref="L264" xml:space="preserve"> mc(1000, -PI()/2,0,-1, 1, "ln(EXP(x * y))")</f>
        <v>8.7675476595524396E-2</v>
      </c>
      <c r="N264" cm="1">
        <f t="array" ref="N264" xml:space="preserve"> mc(100, -PI()/2,PI()/2, 0, 1, "sin(cos(x + y))")-1.48235</f>
        <v>0.19642144562456454</v>
      </c>
      <c r="O264" cm="1">
        <f t="array" ref="O264" xml:space="preserve"> mc(500, -PI()/2,PI()/2, 0, 1, "sin(cos(x + y))")-1.48235</f>
        <v>2.3412848603097558E-2</v>
      </c>
      <c r="P264" cm="1">
        <f t="array" ref="P264" xml:space="preserve"> mc(1000, -PI()/2,PI()/2, 0, 1, "sin(cos(x + y))")-1.48235</f>
        <v>7.5367866639864722E-2</v>
      </c>
    </row>
    <row r="265" spans="1:16" x14ac:dyDescent="0.3">
      <c r="A265">
        <v>235</v>
      </c>
      <c r="B265" cm="1">
        <f t="array" ref="B265" xml:space="preserve"> mc(100, 0, 4, 1, 2, "x^2+y^2")-92/3</f>
        <v>-3.7733522901519123</v>
      </c>
      <c r="C265" cm="1">
        <f t="array" ref="C265" xml:space="preserve"> mc(500, 0, 4, 1, 2, "x^2+y^2")-92/3</f>
        <v>1.2149278410067481</v>
      </c>
      <c r="D265" cm="1">
        <f t="array" ref="D265" xml:space="preserve"> mc(1000, 0, 4, 1, 2, "x^2+y^2")-92/3</f>
        <v>0.34566430916276758</v>
      </c>
      <c r="F265" cm="1">
        <f t="array" ref="F265" xml:space="preserve"> ( mc(100, 3, 4, -1, 1, "EXP(x * sin(y))") ) - 7.39981</f>
        <v>-1.1413678110732786</v>
      </c>
      <c r="G265" cm="1">
        <f t="array" ref="G265" xml:space="preserve"> ( mc(500, 3, 4, -1, 1, "EXP(x * sin(y))") ) - 7.39981</f>
        <v>-0.24739778606758289</v>
      </c>
      <c r="H265" cm="1">
        <f t="array" ref="H265" xml:space="preserve"> ( mc(1000, 3, 4, -1, 1, "EXP(x * sin(y))") ) - 7.39981</f>
        <v>-7.8948180133822987E-2</v>
      </c>
      <c r="J265" cm="1">
        <f t="array" ref="J265" xml:space="preserve"> mc(100, -PI()/2,0,-1, 1, "ln(EXP(x * y))")</f>
        <v>-0.25935677416787895</v>
      </c>
      <c r="K265" cm="1">
        <f t="array" ref="K265" xml:space="preserve"> mc(500, -PI()/2,0,-1, 1, "ln(EXP(x * y))")</f>
        <v>3.7088900200750625E-2</v>
      </c>
      <c r="L265" cm="1">
        <f t="array" ref="L265" xml:space="preserve"> mc(1000, -PI()/2,0,-1, 1, "ln(EXP(x * y))")</f>
        <v>-3.2541754123658916E-2</v>
      </c>
      <c r="N265" cm="1">
        <f t="array" ref="N265" xml:space="preserve"> mc(100, -PI()/2,PI()/2, 0, 1, "sin(cos(x + y))")-1.48235</f>
        <v>1.6511006437086806E-2</v>
      </c>
      <c r="O265" cm="1">
        <f t="array" ref="O265" xml:space="preserve"> mc(500, -PI()/2,PI()/2, 0, 1, "sin(cos(x + y))")-1.48235</f>
        <v>4.766771439515094E-2</v>
      </c>
      <c r="P265" cm="1">
        <f t="array" ref="P265" xml:space="preserve"> mc(1000, -PI()/2,PI()/2, 0, 1, "sin(cos(x + y))")-1.48235</f>
        <v>-8.105541431189911E-2</v>
      </c>
    </row>
    <row r="266" spans="1:16" x14ac:dyDescent="0.3">
      <c r="A266">
        <v>236</v>
      </c>
      <c r="B266" cm="1">
        <f t="array" ref="B266" xml:space="preserve"> mc(100, 0, 4, 1, 2, "x^2+y^2")-92/3</f>
        <v>1.2462056723962434</v>
      </c>
      <c r="C266" cm="1">
        <f t="array" ref="C266" xml:space="preserve"> mc(500, 0, 4, 1, 2, "x^2+y^2")-92/3</f>
        <v>0.36822101889164216</v>
      </c>
      <c r="D266" cm="1">
        <f t="array" ref="D266" xml:space="preserve"> mc(1000, 0, 4, 1, 2, "x^2+y^2")-92/3</f>
        <v>1.0804007483788816</v>
      </c>
      <c r="F266" cm="1">
        <f t="array" ref="F266" xml:space="preserve"> ( mc(100, 3, 4, -1, 1, "EXP(x * sin(y))") ) - 7.39981</f>
        <v>5.584472847928712E-2</v>
      </c>
      <c r="G266" cm="1">
        <f t="array" ref="G266" xml:space="preserve"> ( mc(500, 3, 4, -1, 1, "EXP(x * sin(y))") ) - 7.39981</f>
        <v>0.37613540330869277</v>
      </c>
      <c r="H266" cm="1">
        <f t="array" ref="H266" xml:space="preserve"> ( mc(1000, 3, 4, -1, 1, "EXP(x * sin(y))") ) - 7.39981</f>
        <v>-0.2800808021167045</v>
      </c>
      <c r="J266" cm="1">
        <f t="array" ref="J266" xml:space="preserve"> mc(100, -PI()/2,0,-1, 1, "ln(EXP(x * y))")</f>
        <v>0.19508040895606343</v>
      </c>
      <c r="K266" cm="1">
        <f t="array" ref="K266" xml:space="preserve"> mc(500, -PI()/2,0,-1, 1, "ln(EXP(x * y))")</f>
        <v>-5.2764592066071994E-2</v>
      </c>
      <c r="L266" cm="1">
        <f t="array" ref="L266" xml:space="preserve"> mc(1000, -PI()/2,0,-1, 1, "ln(EXP(x * y))")</f>
        <v>0.11056140025647108</v>
      </c>
      <c r="N266" cm="1">
        <f t="array" ref="N266" xml:space="preserve"> mc(100, -PI()/2,PI()/2, 0, 1, "sin(cos(x + y))")-1.48235</f>
        <v>9.7353551906038449E-2</v>
      </c>
      <c r="O266" cm="1">
        <f t="array" ref="O266" xml:space="preserve"> mc(500, -PI()/2,PI()/2, 0, 1, "sin(cos(x + y))")-1.48235</f>
        <v>-9.0418329985807233E-2</v>
      </c>
      <c r="P266" cm="1">
        <f t="array" ref="P266" xml:space="preserve"> mc(1000, -PI()/2,PI()/2, 0, 1, "sin(cos(x + y))")-1.48235</f>
        <v>-7.3485881111734708E-2</v>
      </c>
    </row>
    <row r="267" spans="1:16" x14ac:dyDescent="0.3">
      <c r="A267">
        <v>237</v>
      </c>
      <c r="B267" cm="1">
        <f t="array" ref="B267" xml:space="preserve"> mc(100, 0, 4, 1, 2, "x^2+y^2")-92/3</f>
        <v>2.4738807671018073</v>
      </c>
      <c r="C267" cm="1">
        <f t="array" ref="C267" xml:space="preserve"> mc(500, 0, 4, 1, 2, "x^2+y^2")-92/3</f>
        <v>-0.18213852969779154</v>
      </c>
      <c r="D267" cm="1">
        <f t="array" ref="D267" xml:space="preserve"> mc(1000, 0, 4, 1, 2, "x^2+y^2")-92/3</f>
        <v>-0.42673613759572504</v>
      </c>
      <c r="F267" cm="1">
        <f t="array" ref="F267" xml:space="preserve"> ( mc(100, 3, 4, -1, 1, "EXP(x * sin(y))") ) - 7.39981</f>
        <v>0.67094259684988167</v>
      </c>
      <c r="G267" cm="1">
        <f t="array" ref="G267" xml:space="preserve"> ( mc(500, 3, 4, -1, 1, "EXP(x * sin(y))") ) - 7.39981</f>
        <v>0.51643422869567424</v>
      </c>
      <c r="H267" cm="1">
        <f t="array" ref="H267" xml:space="preserve"> ( mc(1000, 3, 4, -1, 1, "EXP(x * sin(y))") ) - 7.39981</f>
        <v>6.4379177951322752E-2</v>
      </c>
      <c r="J267" cm="1">
        <f t="array" ref="J267" xml:space="preserve"> mc(100, -PI()/2,0,-1, 1, "ln(EXP(x * y))")</f>
        <v>0.16678388210815673</v>
      </c>
      <c r="K267" cm="1">
        <f t="array" ref="K267" xml:space="preserve"> mc(500, -PI()/2,0,-1, 1, "ln(EXP(x * y))")</f>
        <v>-8.0811314852829053E-2</v>
      </c>
      <c r="L267" cm="1">
        <f t="array" ref="L267" xml:space="preserve"> mc(1000, -PI()/2,0,-1, 1, "ln(EXP(x * y))")</f>
        <v>1.7469609941432564E-2</v>
      </c>
      <c r="N267" cm="1">
        <f t="array" ref="N267" xml:space="preserve"> mc(100, -PI()/2,PI()/2, 0, 1, "sin(cos(x + y))")-1.48235</f>
        <v>7.5132545970254538E-2</v>
      </c>
      <c r="O267" cm="1">
        <f t="array" ref="O267" xml:space="preserve"> mc(500, -PI()/2,PI()/2, 0, 1, "sin(cos(x + y))")-1.48235</f>
        <v>-8.2654959538920547E-2</v>
      </c>
      <c r="P267" cm="1">
        <f t="array" ref="P267" xml:space="preserve"> mc(1000, -PI()/2,PI()/2, 0, 1, "sin(cos(x + y))")-1.48235</f>
        <v>6.6726471250938335E-2</v>
      </c>
    </row>
    <row r="268" spans="1:16" x14ac:dyDescent="0.3">
      <c r="A268">
        <v>238</v>
      </c>
      <c r="B268" cm="1">
        <f t="array" ref="B268" xml:space="preserve"> mc(100, 0, 4, 1, 2, "x^2+y^2")-92/3</f>
        <v>-3.1087222947292936</v>
      </c>
      <c r="C268" cm="1">
        <f t="array" ref="C268" xml:space="preserve"> mc(500, 0, 4, 1, 2, "x^2+y^2")-92/3</f>
        <v>0.79280123783953016</v>
      </c>
      <c r="D268" cm="1">
        <f t="array" ref="D268" xml:space="preserve"> mc(1000, 0, 4, 1, 2, "x^2+y^2")-92/3</f>
        <v>-0.86086160059059935</v>
      </c>
      <c r="F268" cm="1">
        <f t="array" ref="F268" xml:space="preserve"> ( mc(100, 3, 4, -1, 1, "EXP(x * sin(y))") ) - 7.39981</f>
        <v>-0.2111153074438672</v>
      </c>
      <c r="G268" cm="1">
        <f t="array" ref="G268" xml:space="preserve"> ( mc(500, 3, 4, -1, 1, "EXP(x * sin(y))") ) - 7.39981</f>
        <v>0.48106192808661952</v>
      </c>
      <c r="H268" cm="1">
        <f t="array" ref="H268" xml:space="preserve"> ( mc(1000, 3, 4, -1, 1, "EXP(x * sin(y))") ) - 7.39981</f>
        <v>8.862362141256952E-2</v>
      </c>
      <c r="J268" cm="1">
        <f t="array" ref="J268" xml:space="preserve"> mc(100, -PI()/2,0,-1, 1, "ln(EXP(x * y))")</f>
        <v>0.10002042600316488</v>
      </c>
      <c r="K268" cm="1">
        <f t="array" ref="K268" xml:space="preserve"> mc(500, -PI()/2,0,-1, 1, "ln(EXP(x * y))")</f>
        <v>7.7824879047798362E-2</v>
      </c>
      <c r="L268" cm="1">
        <f t="array" ref="L268" xml:space="preserve"> mc(1000, -PI()/2,0,-1, 1, "ln(EXP(x * y))")</f>
        <v>-8.2813735654475695E-2</v>
      </c>
      <c r="N268" cm="1">
        <f t="array" ref="N268" xml:space="preserve"> mc(100, -PI()/2,PI()/2, 0, 1, "sin(cos(x + y))")-1.48235</f>
        <v>0.10060299716129917</v>
      </c>
      <c r="O268" cm="1">
        <f t="array" ref="O268" xml:space="preserve"> mc(500, -PI()/2,PI()/2, 0, 1, "sin(cos(x + y))")-1.48235</f>
        <v>-3.0065489736806672E-2</v>
      </c>
      <c r="P268" cm="1">
        <f t="array" ref="P268" xml:space="preserve"> mc(1000, -PI()/2,PI()/2, 0, 1, "sin(cos(x + y))")-1.48235</f>
        <v>-3.6910163742456925E-2</v>
      </c>
    </row>
    <row r="269" spans="1:16" x14ac:dyDescent="0.3">
      <c r="A269">
        <v>239</v>
      </c>
      <c r="B269" cm="1">
        <f t="array" ref="B269" xml:space="preserve"> mc(100, 0, 4, 1, 2, "x^2+y^2")-92/3</f>
        <v>3.1172760878610042</v>
      </c>
      <c r="C269" cm="1">
        <f t="array" ref="C269" xml:space="preserve"> mc(500, 0, 4, 1, 2, "x^2+y^2")-92/3</f>
        <v>-0.29126050113972823</v>
      </c>
      <c r="D269" cm="1">
        <f t="array" ref="D269" xml:space="preserve"> mc(1000, 0, 4, 1, 2, "x^2+y^2")-92/3</f>
        <v>0.29792692967879475</v>
      </c>
      <c r="F269" cm="1">
        <f t="array" ref="F269" xml:space="preserve"> ( mc(100, 3, 4, -1, 1, "EXP(x * sin(y))") ) - 7.39981</f>
        <v>-7.8170928362548686E-2</v>
      </c>
      <c r="G269" cm="1">
        <f t="array" ref="G269" xml:space="preserve"> ( mc(500, 3, 4, -1, 1, "EXP(x * sin(y))") ) - 7.39981</f>
        <v>0.25143739014824096</v>
      </c>
      <c r="H269" cm="1">
        <f t="array" ref="H269" xml:space="preserve"> ( mc(1000, 3, 4, -1, 1, "EXP(x * sin(y))") ) - 7.39981</f>
        <v>0.36178743658886425</v>
      </c>
      <c r="J269" cm="1">
        <f t="array" ref="J269" xml:space="preserve"> mc(100, -PI()/2,0,-1, 1, "ln(EXP(x * y))")</f>
        <v>0.11963792665291065</v>
      </c>
      <c r="K269" cm="1">
        <f t="array" ref="K269" xml:space="preserve"> mc(500, -PI()/2,0,-1, 1, "ln(EXP(x * y))")</f>
        <v>4.6566515813147143E-2</v>
      </c>
      <c r="L269" cm="1">
        <f t="array" ref="L269" xml:space="preserve"> mc(1000, -PI()/2,0,-1, 1, "ln(EXP(x * y))")</f>
        <v>-2.951758817295427E-2</v>
      </c>
      <c r="N269" cm="1">
        <f t="array" ref="N269" xml:space="preserve"> mc(100, -PI()/2,PI()/2, 0, 1, "sin(cos(x + y))")-1.48235</f>
        <v>0.16725044188933813</v>
      </c>
      <c r="O269" cm="1">
        <f t="array" ref="O269" xml:space="preserve"> mc(500, -PI()/2,PI()/2, 0, 1, "sin(cos(x + y))")-1.48235</f>
        <v>-7.5850109761385509E-2</v>
      </c>
      <c r="P269" cm="1">
        <f t="array" ref="P269" xml:space="preserve"> mc(1000, -PI()/2,PI()/2, 0, 1, "sin(cos(x + y))")-1.48235</f>
        <v>1.2056940984548348E-2</v>
      </c>
    </row>
    <row r="270" spans="1:16" x14ac:dyDescent="0.3">
      <c r="A270">
        <v>240</v>
      </c>
      <c r="B270" cm="1">
        <f t="array" ref="B270" xml:space="preserve"> mc(100, 0, 4, 1, 2, "x^2+y^2")-92/3</f>
        <v>-1.9794201664486479</v>
      </c>
      <c r="C270" cm="1">
        <f t="array" ref="C270" xml:space="preserve"> mc(500, 0, 4, 1, 2, "x^2+y^2")-92/3</f>
        <v>-1.0194423161876038</v>
      </c>
      <c r="D270" cm="1">
        <f t="array" ref="D270" xml:space="preserve"> mc(1000, 0, 4, 1, 2, "x^2+y^2")-92/3</f>
        <v>-0.55887940062700281</v>
      </c>
      <c r="F270" cm="1">
        <f t="array" ref="F270" xml:space="preserve"> ( mc(100, 3, 4, -1, 1, "EXP(x * sin(y))") ) - 7.39981</f>
        <v>1.1225461346022314</v>
      </c>
      <c r="G270" cm="1">
        <f t="array" ref="G270" xml:space="preserve"> ( mc(500, 3, 4, -1, 1, "EXP(x * sin(y))") ) - 7.39981</f>
        <v>-0.39006599073977011</v>
      </c>
      <c r="H270" cm="1">
        <f t="array" ref="H270" xml:space="preserve"> ( mc(1000, 3, 4, -1, 1, "EXP(x * sin(y))") ) - 7.39981</f>
        <v>-0.17331798764893769</v>
      </c>
      <c r="J270" cm="1">
        <f t="array" ref="J270" xml:space="preserve"> mc(100, -PI()/2,0,-1, 1, "ln(EXP(x * y))")</f>
        <v>4.606309882109247E-3</v>
      </c>
      <c r="K270" cm="1">
        <f t="array" ref="K270" xml:space="preserve"> mc(500, -PI()/2,0,-1, 1, "ln(EXP(x * y))")</f>
        <v>-1.4722319310128651E-2</v>
      </c>
      <c r="L270" cm="1">
        <f t="array" ref="L270" xml:space="preserve"> mc(1000, -PI()/2,0,-1, 1, "ln(EXP(x * y))")</f>
        <v>-9.5081726336536496E-4</v>
      </c>
      <c r="N270" cm="1">
        <f t="array" ref="N270" xml:space="preserve"> mc(100, -PI()/2,PI()/2, 0, 1, "sin(cos(x + y))")-1.48235</f>
        <v>-0.1436429644555639</v>
      </c>
      <c r="O270" cm="1">
        <f t="array" ref="O270" xml:space="preserve"> mc(500, -PI()/2,PI()/2, 0, 1, "sin(cos(x + y))")-1.48235</f>
        <v>-5.5442776927320248E-2</v>
      </c>
      <c r="P270" cm="1">
        <f t="array" ref="P270" xml:space="preserve"> mc(1000, -PI()/2,PI()/2, 0, 1, "sin(cos(x + y))")-1.48235</f>
        <v>4.3562963260281862E-3</v>
      </c>
    </row>
    <row r="271" spans="1:16" x14ac:dyDescent="0.3">
      <c r="A271">
        <v>241</v>
      </c>
      <c r="B271" cm="1">
        <f t="array" ref="B271" xml:space="preserve"> mc(100, 0, 4, 1, 2, "x^2+y^2")-92/3</f>
        <v>0.23319789241347877</v>
      </c>
      <c r="C271" cm="1">
        <f t="array" ref="C271" xml:space="preserve"> mc(500, 0, 4, 1, 2, "x^2+y^2")-92/3</f>
        <v>1.9686552184032244</v>
      </c>
      <c r="D271" cm="1">
        <f t="array" ref="D271" xml:space="preserve"> mc(1000, 0, 4, 1, 2, "x^2+y^2")-92/3</f>
        <v>0.29301340103626927</v>
      </c>
      <c r="F271" cm="1">
        <f t="array" ref="F271" xml:space="preserve"> ( mc(100, 3, 4, -1, 1, "EXP(x * sin(y))") ) - 7.39981</f>
        <v>1.7589165593385641</v>
      </c>
      <c r="G271" cm="1">
        <f t="array" ref="G271" xml:space="preserve"> ( mc(500, 3, 4, -1, 1, "EXP(x * sin(y))") ) - 7.39981</f>
        <v>-0.68899109737009834</v>
      </c>
      <c r="H271" cm="1">
        <f t="array" ref="H271" xml:space="preserve"> ( mc(1000, 3, 4, -1, 1, "EXP(x * sin(y))") ) - 7.39981</f>
        <v>-0.61053540907601178</v>
      </c>
      <c r="J271" cm="1">
        <f t="array" ref="J271" xml:space="preserve"> mc(100, -PI()/2,0,-1, 1, "ln(EXP(x * y))")</f>
        <v>-3.8737168696707535E-3</v>
      </c>
      <c r="K271" cm="1">
        <f t="array" ref="K271" xml:space="preserve"> mc(500, -PI()/2,0,-1, 1, "ln(EXP(x * y))")</f>
        <v>-1.7398094308226388E-2</v>
      </c>
      <c r="L271" cm="1">
        <f t="array" ref="L271" xml:space="preserve"> mc(1000, -PI()/2,0,-1, 1, "ln(EXP(x * y))")</f>
        <v>-3.5570922448076872E-2</v>
      </c>
      <c r="N271" cm="1">
        <f t="array" ref="N271" xml:space="preserve"> mc(100, -PI()/2,PI()/2, 0, 1, "sin(cos(x + y))")-1.48235</f>
        <v>0.11049497479795867</v>
      </c>
      <c r="O271" cm="1">
        <f t="array" ref="O271" xml:space="preserve"> mc(500, -PI()/2,PI()/2, 0, 1, "sin(cos(x + y))")-1.48235</f>
        <v>-7.7758441470622053E-2</v>
      </c>
      <c r="P271" cm="1">
        <f t="array" ref="P271" xml:space="preserve"> mc(1000, -PI()/2,PI()/2, 0, 1, "sin(cos(x + y))")-1.48235</f>
        <v>-2.0298073145150752E-3</v>
      </c>
    </row>
    <row r="272" spans="1:16" x14ac:dyDescent="0.3">
      <c r="A272">
        <v>242</v>
      </c>
      <c r="B272" cm="1">
        <f t="array" ref="B272" xml:space="preserve"> mc(100, 0, 4, 1, 2, "x^2+y^2")-92/3</f>
        <v>-0.2365033311628757</v>
      </c>
      <c r="C272" cm="1">
        <f t="array" ref="C272" xml:space="preserve"> mc(500, 0, 4, 1, 2, "x^2+y^2")-92/3</f>
        <v>-0.36897666715237776</v>
      </c>
      <c r="D272" cm="1">
        <f t="array" ref="D272" xml:space="preserve"> mc(1000, 0, 4, 1, 2, "x^2+y^2")-92/3</f>
        <v>7.6995056790291727E-2</v>
      </c>
      <c r="F272" cm="1">
        <f t="array" ref="F272" xml:space="preserve"> ( mc(100, 3, 4, -1, 1, "EXP(x * sin(y))") ) - 7.39981</f>
        <v>-0.79525760251958566</v>
      </c>
      <c r="G272" cm="1">
        <f t="array" ref="G272" xml:space="preserve"> ( mc(500, 3, 4, -1, 1, "EXP(x * sin(y))") ) - 7.39981</f>
        <v>-0.35537962055947414</v>
      </c>
      <c r="H272" cm="1">
        <f t="array" ref="H272" xml:space="preserve"> ( mc(1000, 3, 4, -1, 1, "EXP(x * sin(y))") ) - 7.39981</f>
        <v>6.2139107678173211E-2</v>
      </c>
      <c r="J272" cm="1">
        <f t="array" ref="J272" xml:space="preserve"> mc(100, -PI()/2,0,-1, 1, "ln(EXP(x * y))")</f>
        <v>-4.611145430963428E-2</v>
      </c>
      <c r="K272" cm="1">
        <f t="array" ref="K272" xml:space="preserve"> mc(500, -PI()/2,0,-1, 1, "ln(EXP(x * y))")</f>
        <v>-1.2564277210241373E-2</v>
      </c>
      <c r="L272" cm="1">
        <f t="array" ref="L272" xml:space="preserve"> mc(1000, -PI()/2,0,-1, 1, "ln(EXP(x * y))")</f>
        <v>9.6598119542068525E-2</v>
      </c>
      <c r="N272" cm="1">
        <f t="array" ref="N272" xml:space="preserve"> mc(100, -PI()/2,PI()/2, 0, 1, "sin(cos(x + y))")-1.48235</f>
        <v>4.1148305005783481E-2</v>
      </c>
      <c r="O272" cm="1">
        <f t="array" ref="O272" xml:space="preserve"> mc(500, -PI()/2,PI()/2, 0, 1, "sin(cos(x + y))")-1.48235</f>
        <v>-1.3700849479123534E-3</v>
      </c>
      <c r="P272" cm="1">
        <f t="array" ref="P272" xml:space="preserve"> mc(1000, -PI()/2,PI()/2, 0, 1, "sin(cos(x + y))")-1.48235</f>
        <v>1.6195699032202304E-2</v>
      </c>
    </row>
    <row r="273" spans="1:16" x14ac:dyDescent="0.3">
      <c r="A273">
        <v>243</v>
      </c>
      <c r="B273" cm="1">
        <f t="array" ref="B273" xml:space="preserve"> mc(100, 0, 4, 1, 2, "x^2+y^2")-92/3</f>
        <v>1.4056382373113827</v>
      </c>
      <c r="C273" cm="1">
        <f t="array" ref="C273" xml:space="preserve"> mc(500, 0, 4, 1, 2, "x^2+y^2")-92/3</f>
        <v>0.60136219737352548</v>
      </c>
      <c r="D273" cm="1">
        <f t="array" ref="D273" xml:space="preserve"> mc(1000, 0, 4, 1, 2, "x^2+y^2")-92/3</f>
        <v>-0.63849380064621997</v>
      </c>
      <c r="F273" cm="1">
        <f t="array" ref="F273" xml:space="preserve"> ( mc(100, 3, 4, -1, 1, "EXP(x * sin(y))") ) - 7.39981</f>
        <v>-1.8945312802591756</v>
      </c>
      <c r="G273" cm="1">
        <f t="array" ref="G273" xml:space="preserve"> ( mc(500, 3, 4, -1, 1, "EXP(x * sin(y))") ) - 7.39981</f>
        <v>-0.63973766293847145</v>
      </c>
      <c r="H273" cm="1">
        <f t="array" ref="H273" xml:space="preserve"> ( mc(1000, 3, 4, -1, 1, "EXP(x * sin(y))") ) - 7.39981</f>
        <v>0.21067454588631929</v>
      </c>
      <c r="J273" cm="1">
        <f t="array" ref="J273" xml:space="preserve"> mc(100, -PI()/2,0,-1, 1, "ln(EXP(x * y))")</f>
        <v>-3.8537129072382957E-2</v>
      </c>
      <c r="K273" cm="1">
        <f t="array" ref="K273" xml:space="preserve"> mc(500, -PI()/2,0,-1, 1, "ln(EXP(x * y))")</f>
        <v>-0.21280573826021174</v>
      </c>
      <c r="L273" cm="1">
        <f t="array" ref="L273" xml:space="preserve"> mc(1000, -PI()/2,0,-1, 1, "ln(EXP(x * y))")</f>
        <v>3.6718030812439045E-2</v>
      </c>
      <c r="N273" cm="1">
        <f t="array" ref="N273" xml:space="preserve"> mc(100, -PI()/2,PI()/2, 0, 1, "sin(cos(x + y))")-1.48235</f>
        <v>-0.24698507428848804</v>
      </c>
      <c r="O273" cm="1">
        <f t="array" ref="O273" xml:space="preserve"> mc(500, -PI()/2,PI()/2, 0, 1, "sin(cos(x + y))")-1.48235</f>
        <v>5.1161320534349963E-2</v>
      </c>
      <c r="P273" cm="1">
        <f t="array" ref="P273" xml:space="preserve"> mc(1000, -PI()/2,PI()/2, 0, 1, "sin(cos(x + y))")-1.48235</f>
        <v>3.2033314583397532E-2</v>
      </c>
    </row>
    <row r="274" spans="1:16" x14ac:dyDescent="0.3">
      <c r="A274">
        <v>244</v>
      </c>
      <c r="B274" cm="1">
        <f t="array" ref="B274" xml:space="preserve"> mc(100, 0, 4, 1, 2, "x^2+y^2")-92/3</f>
        <v>0.30204176032119534</v>
      </c>
      <c r="C274" cm="1">
        <f t="array" ref="C274" xml:space="preserve"> mc(500, 0, 4, 1, 2, "x^2+y^2")-92/3</f>
        <v>0.56032422346505939</v>
      </c>
      <c r="D274" cm="1">
        <f t="array" ref="D274" xml:space="preserve"> mc(1000, 0, 4, 1, 2, "x^2+y^2")-92/3</f>
        <v>-0.65823988369024988</v>
      </c>
      <c r="F274" cm="1">
        <f t="array" ref="F274" xml:space="preserve"> ( mc(100, 3, 4, -1, 1, "EXP(x * sin(y))") ) - 7.39981</f>
        <v>-0.56651183314864006</v>
      </c>
      <c r="G274" cm="1">
        <f t="array" ref="G274" xml:space="preserve"> ( mc(500, 3, 4, -1, 1, "EXP(x * sin(y))") ) - 7.39981</f>
        <v>0.77375242135966538</v>
      </c>
      <c r="H274" cm="1">
        <f t="array" ref="H274" xml:space="preserve"> ( mc(1000, 3, 4, -1, 1, "EXP(x * sin(y))") ) - 7.39981</f>
        <v>-0.18266247560915616</v>
      </c>
      <c r="J274" cm="1">
        <f t="array" ref="J274" xml:space="preserve"> mc(100, -PI()/2,0,-1, 1, "ln(EXP(x * y))")</f>
        <v>0.33133674717788697</v>
      </c>
      <c r="K274" cm="1">
        <f t="array" ref="K274" xml:space="preserve"> mc(500, -PI()/2,0,-1, 1, "ln(EXP(x * y))")</f>
        <v>-7.3492250797374384E-2</v>
      </c>
      <c r="L274" cm="1">
        <f t="array" ref="L274" xml:space="preserve"> mc(1000, -PI()/2,0,-1, 1, "ln(EXP(x * y))")</f>
        <v>-7.8718895716582513E-2</v>
      </c>
      <c r="N274" cm="1">
        <f t="array" ref="N274" xml:space="preserve"> mc(100, -PI()/2,PI()/2, 0, 1, "sin(cos(x + y))")-1.48235</f>
        <v>-1.9801329543010837E-2</v>
      </c>
      <c r="O274" cm="1">
        <f t="array" ref="O274" xml:space="preserve"> mc(500, -PI()/2,PI()/2, 0, 1, "sin(cos(x + y))")-1.48235</f>
        <v>4.1669408131991492E-2</v>
      </c>
      <c r="P274" cm="1">
        <f t="array" ref="P274" xml:space="preserve"> mc(1000, -PI()/2,PI()/2, 0, 1, "sin(cos(x + y))")-1.48235</f>
        <v>5.3479947557385943E-2</v>
      </c>
    </row>
    <row r="275" spans="1:16" x14ac:dyDescent="0.3">
      <c r="A275">
        <v>245</v>
      </c>
      <c r="B275" cm="1">
        <f t="array" ref="B275" xml:space="preserve"> mc(100, 0, 4, 1, 2, "x^2+y^2")-92/3</f>
        <v>3.7770051931035731</v>
      </c>
      <c r="C275" cm="1">
        <f t="array" ref="C275" xml:space="preserve"> mc(500, 0, 4, 1, 2, "x^2+y^2")-92/3</f>
        <v>0.68490463688513969</v>
      </c>
      <c r="D275" cm="1">
        <f t="array" ref="D275" xml:space="preserve"> mc(1000, 0, 4, 1, 2, "x^2+y^2")-92/3</f>
        <v>0.19724282356760625</v>
      </c>
      <c r="F275" cm="1">
        <f t="array" ref="F275" xml:space="preserve"> ( mc(100, 3, 4, -1, 1, "EXP(x * sin(y))") ) - 7.39981</f>
        <v>1.1791490129772448</v>
      </c>
      <c r="G275" cm="1">
        <f t="array" ref="G275" xml:space="preserve"> ( mc(500, 3, 4, -1, 1, "EXP(x * sin(y))") ) - 7.39981</f>
        <v>-0.54810045610591818</v>
      </c>
      <c r="H275" cm="1">
        <f t="array" ref="H275" xml:space="preserve"> ( mc(1000, 3, 4, -1, 1, "EXP(x * sin(y))") ) - 7.39981</f>
        <v>0.64118658835672626</v>
      </c>
      <c r="J275" cm="1">
        <f t="array" ref="J275" xml:space="preserve"> mc(100, -PI()/2,0,-1, 1, "ln(EXP(x * y))")</f>
        <v>0.11654812225205455</v>
      </c>
      <c r="K275" cm="1">
        <f t="array" ref="K275" xml:space="preserve"> mc(500, -PI()/2,0,-1, 1, "ln(EXP(x * y))")</f>
        <v>-1.959360117302484E-2</v>
      </c>
      <c r="L275" cm="1">
        <f t="array" ref="L275" xml:space="preserve"> mc(1000, -PI()/2,0,-1, 1, "ln(EXP(x * y))")</f>
        <v>-9.6250752102492437E-3</v>
      </c>
      <c r="N275" cm="1">
        <f t="array" ref="N275" xml:space="preserve"> mc(100, -PI()/2,PI()/2, 0, 1, "sin(cos(x + y))")-1.48235</f>
        <v>-0.19314510550397346</v>
      </c>
      <c r="O275" cm="1">
        <f t="array" ref="O275" xml:space="preserve"> mc(500, -PI()/2,PI()/2, 0, 1, "sin(cos(x + y))")-1.48235</f>
        <v>4.0769022329540272E-2</v>
      </c>
      <c r="P275" cm="1">
        <f t="array" ref="P275" xml:space="preserve"> mc(1000, -PI()/2,PI()/2, 0, 1, "sin(cos(x + y))")-1.48235</f>
        <v>-5.5022011247005675E-3</v>
      </c>
    </row>
    <row r="276" spans="1:16" x14ac:dyDescent="0.3">
      <c r="A276">
        <v>246</v>
      </c>
      <c r="B276" cm="1">
        <f t="array" ref="B276" xml:space="preserve"> mc(100, 0, 4, 1, 2, "x^2+y^2")-92/3</f>
        <v>-0.60021726652071905</v>
      </c>
      <c r="C276" cm="1">
        <f t="array" ref="C276" xml:space="preserve"> mc(500, 0, 4, 1, 2, "x^2+y^2")-92/3</f>
        <v>-0.55753398551451028</v>
      </c>
      <c r="D276" cm="1">
        <f t="array" ref="D276" xml:space="preserve"> mc(1000, 0, 4, 1, 2, "x^2+y^2")-92/3</f>
        <v>-0.44663411514686757</v>
      </c>
      <c r="F276" cm="1">
        <f t="array" ref="F276" xml:space="preserve"> ( mc(100, 3, 4, -1, 1, "EXP(x * sin(y))") ) - 7.39981</f>
        <v>4.2361489750306021</v>
      </c>
      <c r="G276" cm="1">
        <f t="array" ref="G276" xml:space="preserve"> ( mc(500, 3, 4, -1, 1, "EXP(x * sin(y))") ) - 7.39981</f>
        <v>-0.31810483415145541</v>
      </c>
      <c r="H276" cm="1">
        <f t="array" ref="H276" xml:space="preserve"> ( mc(1000, 3, 4, -1, 1, "EXP(x * sin(y))") ) - 7.39981</f>
        <v>-7.5056134241246575E-2</v>
      </c>
      <c r="J276" cm="1">
        <f t="array" ref="J276" xml:space="preserve"> mc(100, -PI()/2,0,-1, 1, "ln(EXP(x * y))")</f>
        <v>3.4989442349027452E-3</v>
      </c>
      <c r="K276" cm="1">
        <f t="array" ref="K276" xml:space="preserve"> mc(500, -PI()/2,0,-1, 1, "ln(EXP(x * y))")</f>
        <v>0.16384089377741234</v>
      </c>
      <c r="L276" cm="1">
        <f t="array" ref="L276" xml:space="preserve"> mc(1000, -PI()/2,0,-1, 1, "ln(EXP(x * y))")</f>
        <v>-1.8027007474364819E-2</v>
      </c>
      <c r="N276" cm="1">
        <f t="array" ref="N276" xml:space="preserve"> mc(100, -PI()/2,PI()/2, 0, 1, "sin(cos(x + y))")-1.48235</f>
        <v>-1.721666802559918E-2</v>
      </c>
      <c r="O276" cm="1">
        <f t="array" ref="O276" xml:space="preserve"> mc(500, -PI()/2,PI()/2, 0, 1, "sin(cos(x + y))")-1.48235</f>
        <v>9.7768920514381685E-2</v>
      </c>
      <c r="P276" cm="1">
        <f t="array" ref="P276" xml:space="preserve"> mc(1000, -PI()/2,PI()/2, 0, 1, "sin(cos(x + y))")-1.48235</f>
        <v>-1.1161948334981631E-2</v>
      </c>
    </row>
    <row r="277" spans="1:16" x14ac:dyDescent="0.3">
      <c r="A277">
        <v>247</v>
      </c>
      <c r="B277" cm="1">
        <f t="array" ref="B277" xml:space="preserve"> mc(100, 0, 4, 1, 2, "x^2+y^2")-92/3</f>
        <v>1.0216179304518604</v>
      </c>
      <c r="C277" cm="1">
        <f t="array" ref="C277" xml:space="preserve"> mc(500, 0, 4, 1, 2, "x^2+y^2")-92/3</f>
        <v>-9.4640880400991279E-2</v>
      </c>
      <c r="D277" cm="1">
        <f t="array" ref="D277" xml:space="preserve"> mc(1000, 0, 4, 1, 2, "x^2+y^2")-92/3</f>
        <v>-0.14417927439948741</v>
      </c>
      <c r="F277" cm="1">
        <f t="array" ref="F277" xml:space="preserve"> ( mc(100, 3, 4, -1, 1, "EXP(x * sin(y))") ) - 7.39981</f>
        <v>1.3119244765071905</v>
      </c>
      <c r="G277" cm="1">
        <f t="array" ref="G277" xml:space="preserve"> ( mc(500, 3, 4, -1, 1, "EXP(x * sin(y))") ) - 7.39981</f>
        <v>0.40779516987209252</v>
      </c>
      <c r="H277" cm="1">
        <f t="array" ref="H277" xml:space="preserve"> ( mc(1000, 3, 4, -1, 1, "EXP(x * sin(y))") ) - 7.39981</f>
        <v>-0.76748083622662744</v>
      </c>
      <c r="J277" cm="1">
        <f t="array" ref="J277" xml:space="preserve"> mc(100, -PI()/2,0,-1, 1, "ln(EXP(x * y))")</f>
        <v>-0.16115874092217242</v>
      </c>
      <c r="K277" cm="1">
        <f t="array" ref="K277" xml:space="preserve"> mc(500, -PI()/2,0,-1, 1, "ln(EXP(x * y))")</f>
        <v>-3.2392056227923557E-3</v>
      </c>
      <c r="L277" cm="1">
        <f t="array" ref="L277" xml:space="preserve"> mc(1000, -PI()/2,0,-1, 1, "ln(EXP(x * y))")</f>
        <v>1.5758416555100647E-2</v>
      </c>
      <c r="N277" cm="1">
        <f t="array" ref="N277" xml:space="preserve"> mc(100, -PI()/2,PI()/2, 0, 1, "sin(cos(x + y))")-1.48235</f>
        <v>0.1438475645748738</v>
      </c>
      <c r="O277" cm="1">
        <f t="array" ref="O277" xml:space="preserve"> mc(500, -PI()/2,PI()/2, 0, 1, "sin(cos(x + y))")-1.48235</f>
        <v>4.7948427307950015E-2</v>
      </c>
      <c r="P277" cm="1">
        <f t="array" ref="P277" xml:space="preserve"> mc(1000, -PI()/2,PI()/2, 0, 1, "sin(cos(x + y))")-1.48235</f>
        <v>3.8594988464917268E-2</v>
      </c>
    </row>
    <row r="278" spans="1:16" x14ac:dyDescent="0.3">
      <c r="A278">
        <v>248</v>
      </c>
      <c r="B278" cm="1">
        <f t="array" ref="B278" xml:space="preserve"> mc(100, 0, 4, 1, 2, "x^2+y^2")-92/3</f>
        <v>3.1933894970904753</v>
      </c>
      <c r="C278" cm="1">
        <f t="array" ref="C278" xml:space="preserve"> mc(500, 0, 4, 1, 2, "x^2+y^2")-92/3</f>
        <v>0.28533095432934985</v>
      </c>
      <c r="D278" cm="1">
        <f t="array" ref="D278" xml:space="preserve"> mc(1000, 0, 4, 1, 2, "x^2+y^2")-92/3</f>
        <v>-0.84486044429741725</v>
      </c>
      <c r="F278" cm="1">
        <f t="array" ref="F278" xml:space="preserve"> ( mc(100, 3, 4, -1, 1, "EXP(x * sin(y))") ) - 7.39981</f>
        <v>0.24487916128681686</v>
      </c>
      <c r="G278" cm="1">
        <f t="array" ref="G278" xml:space="preserve"> ( mc(500, 3, 4, -1, 1, "EXP(x * sin(y))") ) - 7.39981</f>
        <v>0.78763788775161991</v>
      </c>
      <c r="H278" cm="1">
        <f t="array" ref="H278" xml:space="preserve"> ( mc(1000, 3, 4, -1, 1, "EXP(x * sin(y))") ) - 7.39981</f>
        <v>0.39035421142734528</v>
      </c>
      <c r="J278" cm="1">
        <f t="array" ref="J278" xml:space="preserve"> mc(100, -PI()/2,0,-1, 1, "ln(EXP(x * y))")</f>
        <v>6.2197615363888632E-2</v>
      </c>
      <c r="K278" cm="1">
        <f t="array" ref="K278" xml:space="preserve"> mc(500, -PI()/2,0,-1, 1, "ln(EXP(x * y))")</f>
        <v>-5.5391221802320645E-2</v>
      </c>
      <c r="L278" cm="1">
        <f t="array" ref="L278" xml:space="preserve"> mc(1000, -PI()/2,0,-1, 1, "ln(EXP(x * y))")</f>
        <v>3.0006463010691733E-2</v>
      </c>
      <c r="N278" cm="1">
        <f t="array" ref="N278" xml:space="preserve"> mc(100, -PI()/2,PI()/2, 0, 1, "sin(cos(x + y))")-1.48235</f>
        <v>-1.6298506952086012E-2</v>
      </c>
      <c r="O278" cm="1">
        <f t="array" ref="O278" xml:space="preserve"> mc(500, -PI()/2,PI()/2, 0, 1, "sin(cos(x + y))")-1.48235</f>
        <v>6.9446086396047768E-2</v>
      </c>
      <c r="P278" cm="1">
        <f t="array" ref="P278" xml:space="preserve"> mc(1000, -PI()/2,PI()/2, 0, 1, "sin(cos(x + y))")-1.48235</f>
        <v>-6.1069597520342356E-3</v>
      </c>
    </row>
    <row r="279" spans="1:16" x14ac:dyDescent="0.3">
      <c r="A279">
        <v>249</v>
      </c>
      <c r="B279" cm="1">
        <f t="array" ref="B279" xml:space="preserve"> mc(100, 0, 4, 1, 2, "x^2+y^2")-92/3</f>
        <v>-0.47476439776957235</v>
      </c>
      <c r="C279" cm="1">
        <f t="array" ref="C279" xml:space="preserve"> mc(500, 0, 4, 1, 2, "x^2+y^2")-92/3</f>
        <v>0.71463870491126968</v>
      </c>
      <c r="D279" cm="1">
        <f t="array" ref="D279" xml:space="preserve"> mc(1000, 0, 4, 1, 2, "x^2+y^2")-92/3</f>
        <v>-0.75675062163603712</v>
      </c>
      <c r="F279" cm="1">
        <f t="array" ref="F279" xml:space="preserve"> ( mc(100, 3, 4, -1, 1, "EXP(x * sin(y))") ) - 7.39981</f>
        <v>0.6740295521446118</v>
      </c>
      <c r="G279" cm="1">
        <f t="array" ref="G279" xml:space="preserve"> ( mc(500, 3, 4, -1, 1, "EXP(x * sin(y))") ) - 7.39981</f>
        <v>-4.245332009076197E-2</v>
      </c>
      <c r="H279" cm="1">
        <f t="array" ref="H279" xml:space="preserve"> ( mc(1000, 3, 4, -1, 1, "EXP(x * sin(y))") ) - 7.39981</f>
        <v>0.39184312611995686</v>
      </c>
      <c r="J279" cm="1">
        <f t="array" ref="J279" xml:space="preserve"> mc(100, -PI()/2,0,-1, 1, "ln(EXP(x * y))")</f>
        <v>0.11801385669584488</v>
      </c>
      <c r="K279" cm="1">
        <f t="array" ref="K279" xml:space="preserve"> mc(500, -PI()/2,0,-1, 1, "ln(EXP(x * y))")</f>
        <v>-0.14401314638910512</v>
      </c>
      <c r="L279" cm="1">
        <f t="array" ref="L279" xml:space="preserve"> mc(1000, -PI()/2,0,-1, 1, "ln(EXP(x * y))")</f>
        <v>-7.4037007434022001E-2</v>
      </c>
      <c r="N279" cm="1">
        <f t="array" ref="N279" xml:space="preserve"> mc(100, -PI()/2,PI()/2, 0, 1, "sin(cos(x + y))")-1.48235</f>
        <v>0.14222553793528192</v>
      </c>
      <c r="O279" cm="1">
        <f t="array" ref="O279" xml:space="preserve"> mc(500, -PI()/2,PI()/2, 0, 1, "sin(cos(x + y))")-1.48235</f>
        <v>0.12145426716892427</v>
      </c>
      <c r="P279" cm="1">
        <f t="array" ref="P279" xml:space="preserve"> mc(1000, -PI()/2,PI()/2, 0, 1, "sin(cos(x + y))")-1.48235</f>
        <v>-7.0486033366337297E-2</v>
      </c>
    </row>
    <row r="280" spans="1:16" x14ac:dyDescent="0.3">
      <c r="A280">
        <v>250</v>
      </c>
      <c r="B280" cm="1">
        <f t="array" ref="B280" xml:space="preserve"> mc(100, 0, 4, 1, 2, "x^2+y^2")-92/3</f>
        <v>-3.2666423299445881</v>
      </c>
      <c r="C280" cm="1">
        <f t="array" ref="C280" xml:space="preserve"> mc(500, 0, 4, 1, 2, "x^2+y^2")-92/3</f>
        <v>1.1405975848095338</v>
      </c>
      <c r="D280" cm="1">
        <f t="array" ref="D280" xml:space="preserve"> mc(1000, 0, 4, 1, 2, "x^2+y^2")-92/3</f>
        <v>0.14094439539499604</v>
      </c>
      <c r="F280" cm="1">
        <f t="array" ref="F280" xml:space="preserve"> ( mc(100, 3, 4, -1, 1, "EXP(x * sin(y))") ) - 7.39981</f>
        <v>-1.8955147717251819E-2</v>
      </c>
      <c r="G280" cm="1">
        <f t="array" ref="G280" xml:space="preserve"> ( mc(500, 3, 4, -1, 1, "EXP(x * sin(y))") ) - 7.39981</f>
        <v>1.3782256143473486</v>
      </c>
      <c r="H280" cm="1">
        <f t="array" ref="H280" xml:space="preserve"> ( mc(1000, 3, 4, -1, 1, "EXP(x * sin(y))") ) - 7.39981</f>
        <v>0.10756572939038023</v>
      </c>
      <c r="J280" cm="1">
        <f t="array" ref="J280" xml:space="preserve"> mc(100, -PI()/2,0,-1, 1, "ln(EXP(x * y))")</f>
        <v>-0.19128390358964101</v>
      </c>
      <c r="K280" cm="1">
        <f t="array" ref="K280" xml:space="preserve"> mc(500, -PI()/2,0,-1, 1, "ln(EXP(x * y))")</f>
        <v>-3.3453094057869767E-2</v>
      </c>
      <c r="L280" cm="1">
        <f t="array" ref="L280" xml:space="preserve"> mc(1000, -PI()/2,0,-1, 1, "ln(EXP(x * y))")</f>
        <v>4.5229222968110033E-3</v>
      </c>
      <c r="N280" cm="1">
        <f t="array" ref="N280" xml:space="preserve"> mc(100, -PI()/2,PI()/2, 0, 1, "sin(cos(x + y))")-1.48235</f>
        <v>-0.26190630097924372</v>
      </c>
      <c r="O280" cm="1">
        <f t="array" ref="O280" xml:space="preserve"> mc(500, -PI()/2,PI()/2, 0, 1, "sin(cos(x + y))")-1.48235</f>
        <v>8.8068535116675895E-2</v>
      </c>
      <c r="P280" cm="1">
        <f t="array" ref="P280" xml:space="preserve"> mc(1000, -PI()/2,PI()/2, 0, 1, "sin(cos(x + y))")-1.48235</f>
        <v>4.2250621082671858E-2</v>
      </c>
    </row>
    <row r="281" spans="1:16" x14ac:dyDescent="0.3">
      <c r="A281">
        <v>251</v>
      </c>
      <c r="B281" cm="1">
        <f t="array" ref="B281" xml:space="preserve"> mc(100, 0, 4, 1, 2, "x^2+y^2")-92/3</f>
        <v>-2.3265457775488017</v>
      </c>
      <c r="C281" cm="1">
        <f t="array" ref="C281" xml:space="preserve"> mc(500, 0, 4, 1, 2, "x^2+y^2")-92/3</f>
        <v>1.7192121346871438</v>
      </c>
      <c r="D281" cm="1">
        <f t="array" ref="D281" xml:space="preserve"> mc(1000, 0, 4, 1, 2, "x^2+y^2")-92/3</f>
        <v>-3.4082592156956082E-2</v>
      </c>
      <c r="F281" cm="1">
        <f t="array" ref="F281" xml:space="preserve"> ( mc(100, 3, 4, -1, 1, "EXP(x * sin(y))") ) - 7.39981</f>
        <v>1.1638146026465286</v>
      </c>
      <c r="G281" cm="1">
        <f t="array" ref="G281" xml:space="preserve"> ( mc(500, 3, 4, -1, 1, "EXP(x * sin(y))") ) - 7.39981</f>
        <v>-0.65684326623189371</v>
      </c>
      <c r="H281" cm="1">
        <f t="array" ref="H281" xml:space="preserve"> ( mc(1000, 3, 4, -1, 1, "EXP(x * sin(y))") ) - 7.39981</f>
        <v>-0.50708906179791136</v>
      </c>
      <c r="J281" cm="1">
        <f t="array" ref="J281" xml:space="preserve"> mc(100, -PI()/2,0,-1, 1, "ln(EXP(x * y))")</f>
        <v>-5.4294106594936116E-2</v>
      </c>
      <c r="K281" cm="1">
        <f t="array" ref="K281" xml:space="preserve"> mc(500, -PI()/2,0,-1, 1, "ln(EXP(x * y))")</f>
        <v>-0.14028540120951469</v>
      </c>
      <c r="L281" cm="1">
        <f t="array" ref="L281" xml:space="preserve"> mc(1000, -PI()/2,0,-1, 1, "ln(EXP(x * y))")</f>
        <v>-1.5247924648470291E-2</v>
      </c>
      <c r="N281" cm="1">
        <f t="array" ref="N281" xml:space="preserve"> mc(100, -PI()/2,PI()/2, 0, 1, "sin(cos(x + y))")-1.48235</f>
        <v>-5.6146009336508707E-2</v>
      </c>
      <c r="O281" cm="1">
        <f t="array" ref="O281" xml:space="preserve"> mc(500, -PI()/2,PI()/2, 0, 1, "sin(cos(x + y))")-1.48235</f>
        <v>4.4846495871618597E-2</v>
      </c>
      <c r="P281" cm="1">
        <f t="array" ref="P281" xml:space="preserve"> mc(1000, -PI()/2,PI()/2, 0, 1, "sin(cos(x + y))")-1.48235</f>
        <v>-7.4610559368240237E-2</v>
      </c>
    </row>
    <row r="282" spans="1:16" x14ac:dyDescent="0.3">
      <c r="A282">
        <v>252</v>
      </c>
      <c r="B282" cm="1">
        <f t="array" ref="B282" xml:space="preserve"> mc(100, 0, 4, 1, 2, "x^2+y^2")-92/3</f>
        <v>0.76499195438224987</v>
      </c>
      <c r="C282" cm="1">
        <f t="array" ref="C282" xml:space="preserve"> mc(500, 0, 4, 1, 2, "x^2+y^2")-92/3</f>
        <v>-0.63289598883081766</v>
      </c>
      <c r="D282" cm="1">
        <f t="array" ref="D282" xml:space="preserve"> mc(1000, 0, 4, 1, 2, "x^2+y^2")-92/3</f>
        <v>7.8422114109628183E-2</v>
      </c>
      <c r="F282" cm="1">
        <f t="array" ref="F282" xml:space="preserve"> ( mc(100, 3, 4, -1, 1, "EXP(x * sin(y))") ) - 7.39981</f>
        <v>0.98771943892165481</v>
      </c>
      <c r="G282" cm="1">
        <f t="array" ref="G282" xml:space="preserve"> ( mc(500, 3, 4, -1, 1, "EXP(x * sin(y))") ) - 7.39981</f>
        <v>8.9375764159091986E-2</v>
      </c>
      <c r="H282" cm="1">
        <f t="array" ref="H282" xml:space="preserve"> ( mc(1000, 3, 4, -1, 1, "EXP(x * sin(y))") ) - 7.39981</f>
        <v>-0.11407447656560077</v>
      </c>
      <c r="J282" cm="1">
        <f t="array" ref="J282" xml:space="preserve"> mc(100, -PI()/2,0,-1, 1, "ln(EXP(x * y))")</f>
        <v>0.1790334000341687</v>
      </c>
      <c r="K282" cm="1">
        <f t="array" ref="K282" xml:space="preserve"> mc(500, -PI()/2,0,-1, 1, "ln(EXP(x * y))")</f>
        <v>-5.9863427080215303E-2</v>
      </c>
      <c r="L282" cm="1">
        <f t="array" ref="L282" xml:space="preserve"> mc(1000, -PI()/2,0,-1, 1, "ln(EXP(x * y))")</f>
        <v>7.7552861408623764E-4</v>
      </c>
      <c r="N282" cm="1">
        <f t="array" ref="N282" xml:space="preserve"> mc(100, -PI()/2,PI()/2, 0, 1, "sin(cos(x + y))")-1.48235</f>
        <v>6.4399922007588817E-2</v>
      </c>
      <c r="O282" cm="1">
        <f t="array" ref="O282" xml:space="preserve"> mc(500, -PI()/2,PI()/2, 0, 1, "sin(cos(x + y))")-1.48235</f>
        <v>-4.5873117942130337E-2</v>
      </c>
      <c r="P282" cm="1">
        <f t="array" ref="P282" xml:space="preserve"> mc(1000, -PI()/2,PI()/2, 0, 1, "sin(cos(x + y))")-1.48235</f>
        <v>-8.9986494834356057E-2</v>
      </c>
    </row>
    <row r="283" spans="1:16" x14ac:dyDescent="0.3">
      <c r="A283">
        <v>253</v>
      </c>
      <c r="B283" cm="1">
        <f t="array" ref="B283" xml:space="preserve"> mc(100, 0, 4, 1, 2, "x^2+y^2")-92/3</f>
        <v>0.41052995865166153</v>
      </c>
      <c r="C283" cm="1">
        <f t="array" ref="C283" xml:space="preserve"> mc(500, 0, 4, 1, 2, "x^2+y^2")-92/3</f>
        <v>1.7153916479060278</v>
      </c>
      <c r="D283" cm="1">
        <f t="array" ref="D283" xml:space="preserve"> mc(1000, 0, 4, 1, 2, "x^2+y^2")-92/3</f>
        <v>0.38934098192329714</v>
      </c>
      <c r="F283" cm="1">
        <f t="array" ref="F283" xml:space="preserve"> ( mc(100, 3, 4, -1, 1, "EXP(x * sin(y))") ) - 7.39981</f>
        <v>-5.6955425606241228E-2</v>
      </c>
      <c r="G283" cm="1">
        <f t="array" ref="G283" xml:space="preserve"> ( mc(500, 3, 4, -1, 1, "EXP(x * sin(y))") ) - 7.39981</f>
        <v>-0.76321937033405352</v>
      </c>
      <c r="H283" cm="1">
        <f t="array" ref="H283" xml:space="preserve"> ( mc(1000, 3, 4, -1, 1, "EXP(x * sin(y))") ) - 7.39981</f>
        <v>9.1132348766596927E-2</v>
      </c>
      <c r="J283" cm="1">
        <f t="array" ref="J283" xml:space="preserve"> mc(100, -PI()/2,0,-1, 1, "ln(EXP(x * y))")</f>
        <v>-9.0503747574068094E-2</v>
      </c>
      <c r="K283" cm="1">
        <f t="array" ref="K283" xml:space="preserve"> mc(500, -PI()/2,0,-1, 1, "ln(EXP(x * y))")</f>
        <v>-0.15894119923802466</v>
      </c>
      <c r="L283" cm="1">
        <f t="array" ref="L283" xml:space="preserve"> mc(1000, -PI()/2,0,-1, 1, "ln(EXP(x * y))")</f>
        <v>-1.7032152883074119E-3</v>
      </c>
      <c r="N283" cm="1">
        <f t="array" ref="N283" xml:space="preserve"> mc(100, -PI()/2,PI()/2, 0, 1, "sin(cos(x + y))")-1.48235</f>
        <v>-2.9091970491796904E-2</v>
      </c>
      <c r="O283" cm="1">
        <f t="array" ref="O283" xml:space="preserve"> mc(500, -PI()/2,PI()/2, 0, 1, "sin(cos(x + y))")-1.48235</f>
        <v>-6.5444049196456966E-3</v>
      </c>
      <c r="P283" cm="1">
        <f t="array" ref="P283" xml:space="preserve"> mc(1000, -PI()/2,PI()/2, 0, 1, "sin(cos(x + y))")-1.48235</f>
        <v>-2.2905638036667231E-2</v>
      </c>
    </row>
    <row r="284" spans="1:16" x14ac:dyDescent="0.3">
      <c r="A284">
        <v>254</v>
      </c>
      <c r="B284" cm="1">
        <f t="array" ref="B284" xml:space="preserve"> mc(100, 0, 4, 1, 2, "x^2+y^2")-92/3</f>
        <v>0.95703773470687992</v>
      </c>
      <c r="C284" cm="1">
        <f t="array" ref="C284" xml:space="preserve"> mc(500, 0, 4, 1, 2, "x^2+y^2")-92/3</f>
        <v>-0.5924901403932985</v>
      </c>
      <c r="D284" cm="1">
        <f t="array" ref="D284" xml:space="preserve"> mc(1000, 0, 4, 1, 2, "x^2+y^2")-92/3</f>
        <v>6.663490755113699E-2</v>
      </c>
      <c r="F284" cm="1">
        <f t="array" ref="F284" xml:space="preserve"> ( mc(100, 3, 4, -1, 1, "EXP(x * sin(y))") ) - 7.39981</f>
        <v>0.51598534451455702</v>
      </c>
      <c r="G284" cm="1">
        <f t="array" ref="G284" xml:space="preserve"> ( mc(500, 3, 4, -1, 1, "EXP(x * sin(y))") ) - 7.39981</f>
        <v>0.83571976031748818</v>
      </c>
      <c r="H284" cm="1">
        <f t="array" ref="H284" xml:space="preserve"> ( mc(1000, 3, 4, -1, 1, "EXP(x * sin(y))") ) - 7.39981</f>
        <v>-0.3678083661327447</v>
      </c>
      <c r="J284" cm="1">
        <f t="array" ref="J284" xml:space="preserve"> mc(100, -PI()/2,0,-1, 1, "ln(EXP(x * y))")</f>
        <v>-0.10701712554264518</v>
      </c>
      <c r="K284" cm="1">
        <f t="array" ref="K284" xml:space="preserve"> mc(500, -PI()/2,0,-1, 1, "ln(EXP(x * y))")</f>
        <v>1.8802232375577644E-2</v>
      </c>
      <c r="L284" cm="1">
        <f t="array" ref="L284" xml:space="preserve"> mc(1000, -PI()/2,0,-1, 1, "ln(EXP(x * y))")</f>
        <v>3.0485246447102977E-2</v>
      </c>
      <c r="N284" cm="1">
        <f t="array" ref="N284" xml:space="preserve"> mc(100, -PI()/2,PI()/2, 0, 1, "sin(cos(x + y))")-1.48235</f>
        <v>-7.904601392577848E-2</v>
      </c>
      <c r="O284" cm="1">
        <f t="array" ref="O284" xml:space="preserve"> mc(500, -PI()/2,PI()/2, 0, 1, "sin(cos(x + y))")-1.48235</f>
        <v>-1.6364110318728864E-2</v>
      </c>
      <c r="P284" cm="1">
        <f t="array" ref="P284" xml:space="preserve"> mc(1000, -PI()/2,PI()/2, 0, 1, "sin(cos(x + y))")-1.48235</f>
        <v>-4.2701769197291961E-2</v>
      </c>
    </row>
    <row r="285" spans="1:16" x14ac:dyDescent="0.3">
      <c r="A285">
        <v>255</v>
      </c>
      <c r="B285" cm="1">
        <f t="array" ref="B285" xml:space="preserve"> mc(100, 0, 4, 1, 2, "x^2+y^2")-92/3</f>
        <v>0.99149659917771515</v>
      </c>
      <c r="C285" cm="1">
        <f t="array" ref="C285" xml:space="preserve"> mc(500, 0, 4, 1, 2, "x^2+y^2")-92/3</f>
        <v>0.16164457720982739</v>
      </c>
      <c r="D285" cm="1">
        <f t="array" ref="D285" xml:space="preserve"> mc(1000, 0, 4, 1, 2, "x^2+y^2")-92/3</f>
        <v>-0.73631878407718077</v>
      </c>
      <c r="F285" cm="1">
        <f t="array" ref="F285" xml:space="preserve"> ( mc(100, 3, 4, -1, 1, "EXP(x * sin(y))") ) - 7.39981</f>
        <v>2.2667822846726811</v>
      </c>
      <c r="G285" cm="1">
        <f t="array" ref="G285" xml:space="preserve"> ( mc(500, 3, 4, -1, 1, "EXP(x * sin(y))") ) - 7.39981</f>
        <v>0.92531203102057269</v>
      </c>
      <c r="H285" cm="1">
        <f t="array" ref="H285" xml:space="preserve"> ( mc(1000, 3, 4, -1, 1, "EXP(x * sin(y))") ) - 7.39981</f>
        <v>6.2110645402464471E-3</v>
      </c>
      <c r="J285" cm="1">
        <f t="array" ref="J285" xml:space="preserve"> mc(100, -PI()/2,0,-1, 1, "ln(EXP(x * y))")</f>
        <v>0.10486098602152981</v>
      </c>
      <c r="K285" cm="1">
        <f t="array" ref="K285" xml:space="preserve"> mc(500, -PI()/2,0,-1, 1, "ln(EXP(x * y))")</f>
        <v>-7.2723457867454766E-2</v>
      </c>
      <c r="L285" cm="1">
        <f t="array" ref="L285" xml:space="preserve"> mc(1000, -PI()/2,0,-1, 1, "ln(EXP(x * y))")</f>
        <v>2.1341932219647988E-2</v>
      </c>
      <c r="N285" cm="1">
        <f t="array" ref="N285" xml:space="preserve"> mc(100, -PI()/2,PI()/2, 0, 1, "sin(cos(x + y))")-1.48235</f>
        <v>0.1978262031773137</v>
      </c>
      <c r="O285" cm="1">
        <f t="array" ref="O285" xml:space="preserve"> mc(500, -PI()/2,PI()/2, 0, 1, "sin(cos(x + y))")-1.48235</f>
        <v>3.378095997102748E-2</v>
      </c>
      <c r="P285" cm="1">
        <f t="array" ref="P285" xml:space="preserve"> mc(1000, -PI()/2,PI()/2, 0, 1, "sin(cos(x + y))")-1.48235</f>
        <v>3.0435269461905445E-2</v>
      </c>
    </row>
    <row r="286" spans="1:16" x14ac:dyDescent="0.3">
      <c r="A286">
        <v>256</v>
      </c>
      <c r="B286" cm="1">
        <f t="array" ref="B286" xml:space="preserve"> mc(100, 0, 4, 1, 2, "x^2+y^2")-92/3</f>
        <v>7.8212474991325109E-2</v>
      </c>
      <c r="C286" cm="1">
        <f t="array" ref="C286" xml:space="preserve"> mc(500, 0, 4, 1, 2, "x^2+y^2")-92/3</f>
        <v>-5.7267408243792062E-2</v>
      </c>
      <c r="D286" cm="1">
        <f t="array" ref="D286" xml:space="preserve"> mc(1000, 0, 4, 1, 2, "x^2+y^2")-92/3</f>
        <v>0.18506506631825204</v>
      </c>
      <c r="F286" cm="1">
        <f t="array" ref="F286" xml:space="preserve"> ( mc(100, 3, 4, -1, 1, "EXP(x * sin(y))") ) - 7.39981</f>
        <v>0.77791647366221817</v>
      </c>
      <c r="G286" cm="1">
        <f t="array" ref="G286" xml:space="preserve"> ( mc(500, 3, 4, -1, 1, "EXP(x * sin(y))") ) - 7.39981</f>
        <v>0.30647667632794118</v>
      </c>
      <c r="H286" cm="1">
        <f t="array" ref="H286" xml:space="preserve"> ( mc(1000, 3, 4, -1, 1, "EXP(x * sin(y))") ) - 7.39981</f>
        <v>0.6949076186053631</v>
      </c>
      <c r="J286" cm="1">
        <f t="array" ref="J286" xml:space="preserve"> mc(100, -PI()/2,0,-1, 1, "ln(EXP(x * y))")</f>
        <v>0.18219721287815199</v>
      </c>
      <c r="K286" cm="1">
        <f t="array" ref="K286" xml:space="preserve"> mc(500, -PI()/2,0,-1, 1, "ln(EXP(x * y))")</f>
        <v>-6.5495424480971722E-4</v>
      </c>
      <c r="L286" cm="1">
        <f t="array" ref="L286" xml:space="preserve"> mc(1000, -PI()/2,0,-1, 1, "ln(EXP(x * y))")</f>
        <v>5.1394200784648687E-3</v>
      </c>
      <c r="N286" cm="1">
        <f t="array" ref="N286" xml:space="preserve"> mc(100, -PI()/2,PI()/2, 0, 1, "sin(cos(x + y))")-1.48235</f>
        <v>-6.5115808460168623E-2</v>
      </c>
      <c r="O286" cm="1">
        <f t="array" ref="O286" xml:space="preserve"> mc(500, -PI()/2,PI()/2, 0, 1, "sin(cos(x + y))")-1.48235</f>
        <v>-3.6896477187214449E-2</v>
      </c>
      <c r="P286" cm="1">
        <f t="array" ref="P286" xml:space="preserve"> mc(1000, -PI()/2,PI()/2, 0, 1, "sin(cos(x + y))")-1.48235</f>
        <v>-7.429329885177971E-5</v>
      </c>
    </row>
    <row r="287" spans="1:16" x14ac:dyDescent="0.3">
      <c r="A287">
        <v>257</v>
      </c>
      <c r="B287" cm="1">
        <f t="array" ref="B287" xml:space="preserve"> mc(100, 0, 4, 1, 2, "x^2+y^2")-92/3</f>
        <v>-1.6517947939781301</v>
      </c>
      <c r="C287" cm="1">
        <f t="array" ref="C287" xml:space="preserve"> mc(500, 0, 4, 1, 2, "x^2+y^2")-92/3</f>
        <v>-1.0950979595919961</v>
      </c>
      <c r="D287" cm="1">
        <f t="array" ref="D287" xml:space="preserve"> mc(1000, 0, 4, 1, 2, "x^2+y^2")-92/3</f>
        <v>1.0218125302548806</v>
      </c>
      <c r="F287" cm="1">
        <f t="array" ref="F287" xml:space="preserve"> ( mc(100, 3, 4, -1, 1, "EXP(x * sin(y))") ) - 7.39981</f>
        <v>-1.1631120898895944</v>
      </c>
      <c r="G287" cm="1">
        <f t="array" ref="G287" xml:space="preserve"> ( mc(500, 3, 4, -1, 1, "EXP(x * sin(y))") ) - 7.39981</f>
        <v>9.8569021146387215E-2</v>
      </c>
      <c r="H287" cm="1">
        <f t="array" ref="H287" xml:space="preserve"> ( mc(1000, 3, 4, -1, 1, "EXP(x * sin(y))") ) - 7.39981</f>
        <v>0.38306040897548943</v>
      </c>
      <c r="J287" cm="1">
        <f t="array" ref="J287" xml:space="preserve"> mc(100, -PI()/2,0,-1, 1, "ln(EXP(x * y))")</f>
        <v>6.2080460223173026E-2</v>
      </c>
      <c r="K287" cm="1">
        <f t="array" ref="K287" xml:space="preserve"> mc(500, -PI()/2,0,-1, 1, "ln(EXP(x * y))")</f>
        <v>-5.220855406031971E-3</v>
      </c>
      <c r="L287" cm="1">
        <f t="array" ref="L287" xml:space="preserve"> mc(1000, -PI()/2,0,-1, 1, "ln(EXP(x * y))")</f>
        <v>3.2239967951091353E-2</v>
      </c>
      <c r="N287" cm="1">
        <f t="array" ref="N287" xml:space="preserve"> mc(100, -PI()/2,PI()/2, 0, 1, "sin(cos(x + y))")-1.48235</f>
        <v>1.8355740013406452E-2</v>
      </c>
      <c r="O287" cm="1">
        <f t="array" ref="O287" xml:space="preserve"> mc(500, -PI()/2,PI()/2, 0, 1, "sin(cos(x + y))")-1.48235</f>
        <v>4.4296977418837535E-2</v>
      </c>
      <c r="P287" cm="1">
        <f t="array" ref="P287" xml:space="preserve"> mc(1000, -PI()/2,PI()/2, 0, 1, "sin(cos(x + y))")-1.48235</f>
        <v>9.9354266332296604E-4</v>
      </c>
    </row>
    <row r="288" spans="1:16" x14ac:dyDescent="0.3">
      <c r="A288">
        <v>258</v>
      </c>
      <c r="B288" cm="1">
        <f t="array" ref="B288" xml:space="preserve"> mc(100, 0, 4, 1, 2, "x^2+y^2")-92/3</f>
        <v>-1.806384084373871</v>
      </c>
      <c r="C288" cm="1">
        <f t="array" ref="C288" xml:space="preserve"> mc(500, 0, 4, 1, 2, "x^2+y^2")-92/3</f>
        <v>8.595247270051587E-2</v>
      </c>
      <c r="D288" cm="1">
        <f t="array" ref="D288" xml:space="preserve"> mc(1000, 0, 4, 1, 2, "x^2+y^2")-92/3</f>
        <v>-0.5586471305530587</v>
      </c>
      <c r="F288" cm="1">
        <f t="array" ref="F288" xml:space="preserve"> ( mc(100, 3, 4, -1, 1, "EXP(x * sin(y))") ) - 7.39981</f>
        <v>2.3459130400893926</v>
      </c>
      <c r="G288" cm="1">
        <f t="array" ref="G288" xml:space="preserve"> ( mc(500, 3, 4, -1, 1, "EXP(x * sin(y))") ) - 7.39981</f>
        <v>0.41270668015053946</v>
      </c>
      <c r="H288" cm="1">
        <f t="array" ref="H288" xml:space="preserve"> ( mc(1000, 3, 4, -1, 1, "EXP(x * sin(y))") ) - 7.39981</f>
        <v>-8.324834015241489E-2</v>
      </c>
      <c r="J288" cm="1">
        <f t="array" ref="J288" xml:space="preserve"> mc(100, -PI()/2,0,-1, 1, "ln(EXP(x * y))")</f>
        <v>-1.5431987038737431E-2</v>
      </c>
      <c r="K288" cm="1">
        <f t="array" ref="K288" xml:space="preserve"> mc(500, -PI()/2,0,-1, 1, "ln(EXP(x * y))")</f>
        <v>-2.0864571561231338E-2</v>
      </c>
      <c r="L288" cm="1">
        <f t="array" ref="L288" xml:space="preserve"> mc(1000, -PI()/2,0,-1, 1, "ln(EXP(x * y))")</f>
        <v>0.13494471860415644</v>
      </c>
      <c r="N288" cm="1">
        <f t="array" ref="N288" xml:space="preserve"> mc(100, -PI()/2,PI()/2, 0, 1, "sin(cos(x + y))")-1.48235</f>
        <v>-0.11702087999394162</v>
      </c>
      <c r="O288" cm="1">
        <f t="array" ref="O288" xml:space="preserve"> mc(500, -PI()/2,PI()/2, 0, 1, "sin(cos(x + y))")-1.48235</f>
        <v>1.3267322162167972E-2</v>
      </c>
      <c r="P288" cm="1">
        <f t="array" ref="P288" xml:space="preserve"> mc(1000, -PI()/2,PI()/2, 0, 1, "sin(cos(x + y))")-1.48235</f>
        <v>-4.3930421130185193E-2</v>
      </c>
    </row>
    <row r="289" spans="1:16" x14ac:dyDescent="0.3">
      <c r="A289">
        <v>259</v>
      </c>
      <c r="B289" cm="1">
        <f t="array" ref="B289" xml:space="preserve"> mc(100, 0, 4, 1, 2, "x^2+y^2")-92/3</f>
        <v>-0.98506342804166636</v>
      </c>
      <c r="C289" cm="1">
        <f t="array" ref="C289" xml:space="preserve"> mc(500, 0, 4, 1, 2, "x^2+y^2")-92/3</f>
        <v>0.14667139406581597</v>
      </c>
      <c r="D289" cm="1">
        <f t="array" ref="D289" xml:space="preserve"> mc(1000, 0, 4, 1, 2, "x^2+y^2")-92/3</f>
        <v>0.44608520319079759</v>
      </c>
      <c r="F289" cm="1">
        <f t="array" ref="F289" xml:space="preserve"> ( mc(100, 3, 4, -1, 1, "EXP(x * sin(y))") ) - 7.39981</f>
        <v>-1.3811840760247858</v>
      </c>
      <c r="G289" cm="1">
        <f t="array" ref="G289" xml:space="preserve"> ( mc(500, 3, 4, -1, 1, "EXP(x * sin(y))") ) - 7.39981</f>
        <v>0.20485893424256396</v>
      </c>
      <c r="H289" cm="1">
        <f t="array" ref="H289" xml:space="preserve"> ( mc(1000, 3, 4, -1, 1, "EXP(x * sin(y))") ) - 7.39981</f>
        <v>0.22092307762197461</v>
      </c>
      <c r="J289" cm="1">
        <f t="array" ref="J289" xml:space="preserve"> mc(100, -PI()/2,0,-1, 1, "ln(EXP(x * y))")</f>
        <v>0.16141192990366274</v>
      </c>
      <c r="K289" cm="1">
        <f t="array" ref="K289" xml:space="preserve"> mc(500, -PI()/2,0,-1, 1, "ln(EXP(x * y))")</f>
        <v>5.0710482115694157E-2</v>
      </c>
      <c r="L289" cm="1">
        <f t="array" ref="L289" xml:space="preserve"> mc(1000, -PI()/2,0,-1, 1, "ln(EXP(x * y))")</f>
        <v>6.3431245550019985E-2</v>
      </c>
      <c r="N289" cm="1">
        <f t="array" ref="N289" xml:space="preserve"> mc(100, -PI()/2,PI()/2, 0, 1, "sin(cos(x + y))")-1.48235</f>
        <v>0.21958723613915043</v>
      </c>
      <c r="O289" cm="1">
        <f t="array" ref="O289" xml:space="preserve"> mc(500, -PI()/2,PI()/2, 0, 1, "sin(cos(x + y))")-1.48235</f>
        <v>-3.1655031500295028E-2</v>
      </c>
      <c r="P289" cm="1">
        <f t="array" ref="P289" xml:space="preserve"> mc(1000, -PI()/2,PI()/2, 0, 1, "sin(cos(x + y))")-1.48235</f>
        <v>4.3242169098263394E-2</v>
      </c>
    </row>
    <row r="290" spans="1:16" x14ac:dyDescent="0.3">
      <c r="A290">
        <v>260</v>
      </c>
      <c r="B290" cm="1">
        <f t="array" ref="B290" xml:space="preserve"> mc(100, 0, 4, 1, 2, "x^2+y^2")-92/3</f>
        <v>-0.59684780551698324</v>
      </c>
      <c r="C290" cm="1">
        <f t="array" ref="C290" xml:space="preserve"> mc(500, 0, 4, 1, 2, "x^2+y^2")-92/3</f>
        <v>0.11718778886340075</v>
      </c>
      <c r="D290" cm="1">
        <f t="array" ref="D290" xml:space="preserve"> mc(1000, 0, 4, 1, 2, "x^2+y^2")-92/3</f>
        <v>-1.0261524252480321</v>
      </c>
      <c r="F290" cm="1">
        <f t="array" ref="F290" xml:space="preserve"> ( mc(100, 3, 4, -1, 1, "EXP(x * sin(y))") ) - 7.39981</f>
        <v>1.3517451626042618</v>
      </c>
      <c r="G290" cm="1">
        <f t="array" ref="G290" xml:space="preserve"> ( mc(500, 3, 4, -1, 1, "EXP(x * sin(y))") ) - 7.39981</f>
        <v>-0.48266582660731139</v>
      </c>
      <c r="H290" cm="1">
        <f t="array" ref="H290" xml:space="preserve"> ( mc(1000, 3, 4, -1, 1, "EXP(x * sin(y))") ) - 7.39981</f>
        <v>-0.18904917777349528</v>
      </c>
      <c r="J290" cm="1">
        <f t="array" ref="J290" xml:space="preserve"> mc(100, -PI()/2,0,-1, 1, "ln(EXP(x * y))")</f>
        <v>-9.541894499081504E-3</v>
      </c>
      <c r="K290" cm="1">
        <f t="array" ref="K290" xml:space="preserve"> mc(500, -PI()/2,0,-1, 1, "ln(EXP(x * y))")</f>
        <v>-9.1071573685834781E-2</v>
      </c>
      <c r="L290" cm="1">
        <f t="array" ref="L290" xml:space="preserve"> mc(1000, -PI()/2,0,-1, 1, "ln(EXP(x * y))")</f>
        <v>-9.2766859187204009E-2</v>
      </c>
      <c r="N290" cm="1">
        <f t="array" ref="N290" xml:space="preserve"> mc(100, -PI()/2,PI()/2, 0, 1, "sin(cos(x + y))")-1.48235</f>
        <v>-0.23764801401847579</v>
      </c>
      <c r="O290" cm="1">
        <f t="array" ref="O290" xml:space="preserve"> mc(500, -PI()/2,PI()/2, 0, 1, "sin(cos(x + y))")-1.48235</f>
        <v>5.3299765760237428E-3</v>
      </c>
      <c r="P290" cm="1">
        <f t="array" ref="P290" xml:space="preserve"> mc(1000, -PI()/2,PI()/2, 0, 1, "sin(cos(x + y))")-1.48235</f>
        <v>-1.109226107204675E-2</v>
      </c>
    </row>
    <row r="291" spans="1:16" x14ac:dyDescent="0.3">
      <c r="A291">
        <v>261</v>
      </c>
      <c r="B291" cm="1">
        <f t="array" ref="B291" xml:space="preserve"> mc(100, 0, 4, 1, 2, "x^2+y^2")-92/3</f>
        <v>0.696896589964215</v>
      </c>
      <c r="C291" cm="1">
        <f t="array" ref="C291" xml:space="preserve"> mc(500, 0, 4, 1, 2, "x^2+y^2")-92/3</f>
        <v>-0.15875561335597865</v>
      </c>
      <c r="D291" cm="1">
        <f t="array" ref="D291" xml:space="preserve"> mc(1000, 0, 4, 1, 2, "x^2+y^2")-92/3</f>
        <v>-0.67190596073471553</v>
      </c>
      <c r="F291" cm="1">
        <f t="array" ref="F291" xml:space="preserve"> ( mc(100, 3, 4, -1, 1, "EXP(x * sin(y))") ) - 7.39981</f>
        <v>-1.2270794524391633</v>
      </c>
      <c r="G291" cm="1">
        <f t="array" ref="G291" xml:space="preserve"> ( mc(500, 3, 4, -1, 1, "EXP(x * sin(y))") ) - 7.39981</f>
        <v>0.19518204412736395</v>
      </c>
      <c r="H291" cm="1">
        <f t="array" ref="H291" xml:space="preserve"> ( mc(1000, 3, 4, -1, 1, "EXP(x * sin(y))") ) - 7.39981</f>
        <v>-0.22499768388334029</v>
      </c>
      <c r="J291" cm="1">
        <f t="array" ref="J291" xml:space="preserve"> mc(100, -PI()/2,0,-1, 1, "ln(EXP(x * y))")</f>
        <v>-4.2524350083297996E-2</v>
      </c>
      <c r="K291" cm="1">
        <f t="array" ref="K291" xml:space="preserve"> mc(500, -PI()/2,0,-1, 1, "ln(EXP(x * y))")</f>
        <v>-2.0339743779906799E-2</v>
      </c>
      <c r="L291" cm="1">
        <f t="array" ref="L291" xml:space="preserve"> mc(1000, -PI()/2,0,-1, 1, "ln(EXP(x * y))")</f>
        <v>-2.0377126900880987E-2</v>
      </c>
      <c r="N291" cm="1">
        <f t="array" ref="N291" xml:space="preserve"> mc(100, -PI()/2,PI()/2, 0, 1, "sin(cos(x + y))")-1.48235</f>
        <v>-0.1203903312362915</v>
      </c>
      <c r="O291" cm="1">
        <f t="array" ref="O291" xml:space="preserve"> mc(500, -PI()/2,PI()/2, 0, 1, "sin(cos(x + y))")-1.48235</f>
        <v>0.14253287119335112</v>
      </c>
      <c r="P291" cm="1">
        <f t="array" ref="P291" xml:space="preserve"> mc(1000, -PI()/2,PI()/2, 0, 1, "sin(cos(x + y))")-1.48235</f>
        <v>-3.0651990232413162E-3</v>
      </c>
    </row>
    <row r="292" spans="1:16" x14ac:dyDescent="0.3">
      <c r="A292">
        <v>262</v>
      </c>
      <c r="B292" cm="1">
        <f t="array" ref="B292" xml:space="preserve"> mc(100, 0, 4, 1, 2, "x^2+y^2")-92/3</f>
        <v>0.35982218291233536</v>
      </c>
      <c r="C292" cm="1">
        <f t="array" ref="C292" xml:space="preserve"> mc(500, 0, 4, 1, 2, "x^2+y^2")-92/3</f>
        <v>-0.12120387516451459</v>
      </c>
      <c r="D292" cm="1">
        <f t="array" ref="D292" xml:space="preserve"> mc(1000, 0, 4, 1, 2, "x^2+y^2")-92/3</f>
        <v>-0.88890364377181186</v>
      </c>
      <c r="F292" cm="1">
        <f t="array" ref="F292" xml:space="preserve"> ( mc(100, 3, 4, -1, 1, "EXP(x * sin(y))") ) - 7.39981</f>
        <v>1.6732160110131211</v>
      </c>
      <c r="G292" cm="1">
        <f t="array" ref="G292" xml:space="preserve"> ( mc(500, 3, 4, -1, 1, "EXP(x * sin(y))") ) - 7.39981</f>
        <v>0.41571914539190935</v>
      </c>
      <c r="H292" cm="1">
        <f t="array" ref="H292" xml:space="preserve"> ( mc(1000, 3, 4, -1, 1, "EXP(x * sin(y))") ) - 7.39981</f>
        <v>-0.41165692624663119</v>
      </c>
      <c r="J292" cm="1">
        <f t="array" ref="J292" xml:space="preserve"> mc(100, -PI()/2,0,-1, 1, "ln(EXP(x * y))")</f>
        <v>3.4839638627153433E-3</v>
      </c>
      <c r="K292" cm="1">
        <f t="array" ref="K292" xml:space="preserve"> mc(500, -PI()/2,0,-1, 1, "ln(EXP(x * y))")</f>
        <v>-0.11142837228023515</v>
      </c>
      <c r="L292" cm="1">
        <f t="array" ref="L292" xml:space="preserve"> mc(1000, -PI()/2,0,-1, 1, "ln(EXP(x * y))")</f>
        <v>-6.1532899868196558E-2</v>
      </c>
      <c r="N292" cm="1">
        <f t="array" ref="N292" xml:space="preserve"> mc(100, -PI()/2,PI()/2, 0, 1, "sin(cos(x + y))")-1.48235</f>
        <v>-2.4421544609305901E-2</v>
      </c>
      <c r="O292" cm="1">
        <f t="array" ref="O292" xml:space="preserve"> mc(500, -PI()/2,PI()/2, 0, 1, "sin(cos(x + y))")-1.48235</f>
        <v>-2.9155116344353749E-2</v>
      </c>
      <c r="P292" cm="1">
        <f t="array" ref="P292" xml:space="preserve"> mc(1000, -PI()/2,PI()/2, 0, 1, "sin(cos(x + y))")-1.48235</f>
        <v>2.8287832616790354E-2</v>
      </c>
    </row>
    <row r="293" spans="1:16" x14ac:dyDescent="0.3">
      <c r="A293">
        <v>263</v>
      </c>
      <c r="B293" cm="1">
        <f t="array" ref="B293" xml:space="preserve"> mc(100, 0, 4, 1, 2, "x^2+y^2")-92/3</f>
        <v>-2.2400562868543261</v>
      </c>
      <c r="C293" cm="1">
        <f t="array" ref="C293" xml:space="preserve"> mc(500, 0, 4, 1, 2, "x^2+y^2")-92/3</f>
        <v>-2.2166796338328361</v>
      </c>
      <c r="D293" cm="1">
        <f t="array" ref="D293" xml:space="preserve"> mc(1000, 0, 4, 1, 2, "x^2+y^2")-92/3</f>
        <v>0.23810163599389966</v>
      </c>
      <c r="F293" cm="1">
        <f t="array" ref="F293" xml:space="preserve"> ( mc(100, 3, 4, -1, 1, "EXP(x * sin(y))") ) - 7.39981</f>
        <v>1.509065137425889</v>
      </c>
      <c r="G293" cm="1">
        <f t="array" ref="G293" xml:space="preserve"> ( mc(500, 3, 4, -1, 1, "EXP(x * sin(y))") ) - 7.39981</f>
        <v>2.632014249305481E-2</v>
      </c>
      <c r="H293" cm="1">
        <f t="array" ref="H293" xml:space="preserve"> ( mc(1000, 3, 4, -1, 1, "EXP(x * sin(y))") ) - 7.39981</f>
        <v>-7.7955652212924775E-2</v>
      </c>
      <c r="J293" cm="1">
        <f t="array" ref="J293" xml:space="preserve"> mc(100, -PI()/2,0,-1, 1, "ln(EXP(x * y))")</f>
        <v>-0.1023644422633813</v>
      </c>
      <c r="K293" cm="1">
        <f t="array" ref="K293" xml:space="preserve"> mc(500, -PI()/2,0,-1, 1, "ln(EXP(x * y))")</f>
        <v>2.1783344907448141E-2</v>
      </c>
      <c r="L293" cm="1">
        <f t="array" ref="L293" xml:space="preserve"> mc(1000, -PI()/2,0,-1, 1, "ln(EXP(x * y))")</f>
        <v>-7.52355839917907E-2</v>
      </c>
      <c r="N293" cm="1">
        <f t="array" ref="N293" xml:space="preserve"> mc(100, -PI()/2,PI()/2, 0, 1, "sin(cos(x + y))")-1.48235</f>
        <v>-2.9246350196784787E-2</v>
      </c>
      <c r="O293" cm="1">
        <f t="array" ref="O293" xml:space="preserve"> mc(500, -PI()/2,PI()/2, 0, 1, "sin(cos(x + y))")-1.48235</f>
        <v>-9.3880503403678262E-3</v>
      </c>
      <c r="P293" cm="1">
        <f t="array" ref="P293" xml:space="preserve"> mc(1000, -PI()/2,PI()/2, 0, 1, "sin(cos(x + y))")-1.48235</f>
        <v>2.3969055775936443E-2</v>
      </c>
    </row>
    <row r="294" spans="1:16" x14ac:dyDescent="0.3">
      <c r="A294">
        <v>264</v>
      </c>
      <c r="B294" cm="1">
        <f t="array" ref="B294" xml:space="preserve"> mc(100, 0, 4, 1, 2, "x^2+y^2")-92/3</f>
        <v>-0.44861229822421578</v>
      </c>
      <c r="C294" cm="1">
        <f t="array" ref="C294" xml:space="preserve"> mc(500, 0, 4, 1, 2, "x^2+y^2")-92/3</f>
        <v>2.2978207097550047</v>
      </c>
      <c r="D294" cm="1">
        <f t="array" ref="D294" xml:space="preserve"> mc(1000, 0, 4, 1, 2, "x^2+y^2")-92/3</f>
        <v>0.64800149765791204</v>
      </c>
      <c r="F294" cm="1">
        <f t="array" ref="F294" xml:space="preserve"> ( mc(100, 3, 4, -1, 1, "EXP(x * sin(y))") ) - 7.39981</f>
        <v>0.56964569545833399</v>
      </c>
      <c r="G294" cm="1">
        <f t="array" ref="G294" xml:space="preserve"> ( mc(500, 3, 4, -1, 1, "EXP(x * sin(y))") ) - 7.39981</f>
        <v>-0.57649812242941589</v>
      </c>
      <c r="H294" cm="1">
        <f t="array" ref="H294" xml:space="preserve"> ( mc(1000, 3, 4, -1, 1, "EXP(x * sin(y))") ) - 7.39981</f>
        <v>-0.13245977723440117</v>
      </c>
      <c r="J294" cm="1">
        <f t="array" ref="J294" xml:space="preserve"> mc(100, -PI()/2,0,-1, 1, "ln(EXP(x * y))")</f>
        <v>-3.2917376461424307E-2</v>
      </c>
      <c r="K294" cm="1">
        <f t="array" ref="K294" xml:space="preserve"> mc(500, -PI()/2,0,-1, 1, "ln(EXP(x * y))")</f>
        <v>-3.1277468597816965E-2</v>
      </c>
      <c r="L294" cm="1">
        <f t="array" ref="L294" xml:space="preserve"> mc(1000, -PI()/2,0,-1, 1, "ln(EXP(x * y))")</f>
        <v>-9.3299486743513585E-2</v>
      </c>
      <c r="N294" cm="1">
        <f t="array" ref="N294" xml:space="preserve"> mc(100, -PI()/2,PI()/2, 0, 1, "sin(cos(x + y))")-1.48235</f>
        <v>8.828262604142334E-2</v>
      </c>
      <c r="O294" cm="1">
        <f t="array" ref="O294" xml:space="preserve"> mc(500, -PI()/2,PI()/2, 0, 1, "sin(cos(x + y))")-1.48235</f>
        <v>-7.3660192282845038E-3</v>
      </c>
      <c r="P294" cm="1">
        <f t="array" ref="P294" xml:space="preserve"> mc(1000, -PI()/2,PI()/2, 0, 1, "sin(cos(x + y))")-1.48235</f>
        <v>-8.2366320782805147E-3</v>
      </c>
    </row>
    <row r="295" spans="1:16" x14ac:dyDescent="0.3">
      <c r="A295">
        <v>265</v>
      </c>
      <c r="B295" cm="1">
        <f t="array" ref="B295" xml:space="preserve"> mc(100, 0, 4, 1, 2, "x^2+y^2")-92/3</f>
        <v>-0.58910632147184216</v>
      </c>
      <c r="C295" cm="1">
        <f t="array" ref="C295" xml:space="preserve"> mc(500, 0, 4, 1, 2, "x^2+y^2")-92/3</f>
        <v>1.5679671054304087</v>
      </c>
      <c r="D295" cm="1">
        <f t="array" ref="D295" xml:space="preserve"> mc(1000, 0, 4, 1, 2, "x^2+y^2")-92/3</f>
        <v>-0.17147150187908977</v>
      </c>
      <c r="F295" cm="1">
        <f t="array" ref="F295" xml:space="preserve"> ( mc(100, 3, 4, -1, 1, "EXP(x * sin(y))") ) - 7.39981</f>
        <v>-0.31045658182938229</v>
      </c>
      <c r="G295" cm="1">
        <f t="array" ref="G295" xml:space="preserve"> ( mc(500, 3, 4, -1, 1, "EXP(x * sin(y))") ) - 7.39981</f>
        <v>0.2652029597835952</v>
      </c>
      <c r="H295" cm="1">
        <f t="array" ref="H295" xml:space="preserve"> ( mc(1000, 3, 4, -1, 1, "EXP(x * sin(y))") ) - 7.39981</f>
        <v>0.52416953455838211</v>
      </c>
      <c r="J295" cm="1">
        <f t="array" ref="J295" xml:space="preserve"> mc(100, -PI()/2,0,-1, 1, "ln(EXP(x * y))")</f>
        <v>4.8267375432577723E-3</v>
      </c>
      <c r="K295" cm="1">
        <f t="array" ref="K295" xml:space="preserve"> mc(500, -PI()/2,0,-1, 1, "ln(EXP(x * y))")</f>
        <v>6.7641384403670166E-2</v>
      </c>
      <c r="L295" cm="1">
        <f t="array" ref="L295" xml:space="preserve"> mc(1000, -PI()/2,0,-1, 1, "ln(EXP(x * y))")</f>
        <v>2.9233726253841481E-2</v>
      </c>
      <c r="N295" cm="1">
        <f t="array" ref="N295" xml:space="preserve"> mc(100, -PI()/2,PI()/2, 0, 1, "sin(cos(x + y))")-1.48235</f>
        <v>0.12760224923306995</v>
      </c>
      <c r="O295" cm="1">
        <f t="array" ref="O295" xml:space="preserve"> mc(500, -PI()/2,PI()/2, 0, 1, "sin(cos(x + y))")-1.48235</f>
        <v>7.0271227073984033E-2</v>
      </c>
      <c r="P295" cm="1">
        <f t="array" ref="P295" xml:space="preserve"> mc(1000, -PI()/2,PI()/2, 0, 1, "sin(cos(x + y))")-1.48235</f>
        <v>-6.910953841936518E-4</v>
      </c>
    </row>
    <row r="296" spans="1:16" x14ac:dyDescent="0.3">
      <c r="A296">
        <v>266</v>
      </c>
      <c r="B296" cm="1">
        <f t="array" ref="B296" xml:space="preserve"> mc(100, 0, 4, 1, 2, "x^2+y^2")-92/3</f>
        <v>-1.302086748631563</v>
      </c>
      <c r="C296" cm="1">
        <f t="array" ref="C296" xml:space="preserve"> mc(500, 0, 4, 1, 2, "x^2+y^2")-92/3</f>
        <v>-0.282844730900635</v>
      </c>
      <c r="D296" cm="1">
        <f t="array" ref="D296" xml:space="preserve"> mc(1000, 0, 4, 1, 2, "x^2+y^2")-92/3</f>
        <v>-0.57479261130549375</v>
      </c>
      <c r="F296" cm="1">
        <f t="array" ref="F296" xml:space="preserve"> ( mc(100, 3, 4, -1, 1, "EXP(x * sin(y))") ) - 7.39981</f>
        <v>0.1315730082353781</v>
      </c>
      <c r="G296" cm="1">
        <f t="array" ref="G296" xml:space="preserve"> ( mc(500, 3, 4, -1, 1, "EXP(x * sin(y))") ) - 7.39981</f>
        <v>-0.39452848322527689</v>
      </c>
      <c r="H296" cm="1">
        <f t="array" ref="H296" xml:space="preserve"> ( mc(1000, 3, 4, -1, 1, "EXP(x * sin(y))") ) - 7.39981</f>
        <v>0.14477832817919634</v>
      </c>
      <c r="J296" cm="1">
        <f t="array" ref="J296" xml:space="preserve"> mc(100, -PI()/2,0,-1, 1, "ln(EXP(x * y))")</f>
        <v>6.7793630576900452E-2</v>
      </c>
      <c r="K296" cm="1">
        <f t="array" ref="K296" xml:space="preserve"> mc(500, -PI()/2,0,-1, 1, "ln(EXP(x * y))")</f>
        <v>-9.6243162167172339E-2</v>
      </c>
      <c r="L296" cm="1">
        <f t="array" ref="L296" xml:space="preserve"> mc(1000, -PI()/2,0,-1, 1, "ln(EXP(x * y))")</f>
        <v>-9.0246839747482988E-2</v>
      </c>
      <c r="N296" cm="1">
        <f t="array" ref="N296" xml:space="preserve"> mc(100, -PI()/2,PI()/2, 0, 1, "sin(cos(x + y))")-1.48235</f>
        <v>-0.21294305098650979</v>
      </c>
      <c r="O296" cm="1">
        <f t="array" ref="O296" xml:space="preserve"> mc(500, -PI()/2,PI()/2, 0, 1, "sin(cos(x + y))")-1.48235</f>
        <v>8.4698290451423075E-2</v>
      </c>
      <c r="P296" cm="1">
        <f t="array" ref="P296" xml:space="preserve"> mc(1000, -PI()/2,PI()/2, 0, 1, "sin(cos(x + y))")-1.48235</f>
        <v>9.1574354496393839E-2</v>
      </c>
    </row>
    <row r="297" spans="1:16" x14ac:dyDescent="0.3">
      <c r="A297">
        <v>267</v>
      </c>
      <c r="B297" cm="1">
        <f t="array" ref="B297" xml:space="preserve"> mc(100, 0, 4, 1, 2, "x^2+y^2")-92/3</f>
        <v>-0.28820481614120297</v>
      </c>
      <c r="C297" cm="1">
        <f t="array" ref="C297" xml:space="preserve"> mc(500, 0, 4, 1, 2, "x^2+y^2")-92/3</f>
        <v>1.1690691899367245</v>
      </c>
      <c r="D297" cm="1">
        <f t="array" ref="D297" xml:space="preserve"> mc(1000, 0, 4, 1, 2, "x^2+y^2")-92/3</f>
        <v>-0.18144666040040036</v>
      </c>
      <c r="F297" cm="1">
        <f t="array" ref="F297" xml:space="preserve"> ( mc(100, 3, 4, -1, 1, "EXP(x * sin(y))") ) - 7.39981</f>
        <v>-0.58127678043654107</v>
      </c>
      <c r="G297" cm="1">
        <f t="array" ref="G297" xml:space="preserve"> ( mc(500, 3, 4, -1, 1, "EXP(x * sin(y))") ) - 7.39981</f>
        <v>0.41196021689976803</v>
      </c>
      <c r="H297" cm="1">
        <f t="array" ref="H297" xml:space="preserve"> ( mc(1000, 3, 4, -1, 1, "EXP(x * sin(y))") ) - 7.39981</f>
        <v>-0.35092621406777624</v>
      </c>
      <c r="J297" cm="1">
        <f t="array" ref="J297" xml:space="preserve"> mc(100, -PI()/2,0,-1, 1, "ln(EXP(x * y))")</f>
        <v>7.8255249266964158E-2</v>
      </c>
      <c r="K297" cm="1">
        <f t="array" ref="K297" xml:space="preserve"> mc(500, -PI()/2,0,-1, 1, "ln(EXP(x * y))")</f>
        <v>-1.3080466324187573E-2</v>
      </c>
      <c r="L297" cm="1">
        <f t="array" ref="L297" xml:space="preserve"> mc(1000, -PI()/2,0,-1, 1, "ln(EXP(x * y))")</f>
        <v>-6.0016391258582283E-2</v>
      </c>
      <c r="N297" cm="1">
        <f t="array" ref="N297" xml:space="preserve"> mc(100, -PI()/2,PI()/2, 0, 1, "sin(cos(x + y))")-1.48235</f>
        <v>-5.0990211314315914E-2</v>
      </c>
      <c r="O297" cm="1">
        <f t="array" ref="O297" xml:space="preserve"> mc(500, -PI()/2,PI()/2, 0, 1, "sin(cos(x + y))")-1.48235</f>
        <v>-2.8507288750061921E-2</v>
      </c>
      <c r="P297" cm="1">
        <f t="array" ref="P297" xml:space="preserve"> mc(1000, -PI()/2,PI()/2, 0, 1, "sin(cos(x + y))")-1.48235</f>
        <v>0.12897470831090652</v>
      </c>
    </row>
    <row r="298" spans="1:16" x14ac:dyDescent="0.3">
      <c r="A298">
        <v>268</v>
      </c>
      <c r="B298" cm="1">
        <f t="array" ref="B298" xml:space="preserve"> mc(100, 0, 4, 1, 2, "x^2+y^2")-92/3</f>
        <v>1.7825743855783678</v>
      </c>
      <c r="C298" cm="1">
        <f t="array" ref="C298" xml:space="preserve"> mc(500, 0, 4, 1, 2, "x^2+y^2")-92/3</f>
        <v>-0.55780962237223974</v>
      </c>
      <c r="D298" cm="1">
        <f t="array" ref="D298" xml:space="preserve"> mc(1000, 0, 4, 1, 2, "x^2+y^2")-92/3</f>
        <v>-0.59685527219410872</v>
      </c>
      <c r="F298" cm="1">
        <f t="array" ref="F298" xml:space="preserve"> ( mc(100, 3, 4, -1, 1, "EXP(x * sin(y))") ) - 7.39981</f>
        <v>0.20633005852485287</v>
      </c>
      <c r="G298" cm="1">
        <f t="array" ref="G298" xml:space="preserve"> ( mc(500, 3, 4, -1, 1, "EXP(x * sin(y))") ) - 7.39981</f>
        <v>-0.33425060896425673</v>
      </c>
      <c r="H298" cm="1">
        <f t="array" ref="H298" xml:space="preserve"> ( mc(1000, 3, 4, -1, 1, "EXP(x * sin(y))") ) - 7.39981</f>
        <v>-1.5678568269357207E-2</v>
      </c>
      <c r="J298" cm="1">
        <f t="array" ref="J298" xml:space="preserve"> mc(100, -PI()/2,0,-1, 1, "ln(EXP(x * y))")</f>
        <v>0.11371375509245545</v>
      </c>
      <c r="K298" cm="1">
        <f t="array" ref="K298" xml:space="preserve"> mc(500, -PI()/2,0,-1, 1, "ln(EXP(x * y))")</f>
        <v>-0.10230006522787248</v>
      </c>
      <c r="L298" cm="1">
        <f t="array" ref="L298" xml:space="preserve"> mc(1000, -PI()/2,0,-1, 1, "ln(EXP(x * y))")</f>
        <v>8.7092165541066561E-4</v>
      </c>
      <c r="N298" cm="1">
        <f t="array" ref="N298" xml:space="preserve"> mc(100, -PI()/2,PI()/2, 0, 1, "sin(cos(x + y))")-1.48235</f>
        <v>-5.5384548670805112E-2</v>
      </c>
      <c r="O298" cm="1">
        <f t="array" ref="O298" xml:space="preserve"> mc(500, -PI()/2,PI()/2, 0, 1, "sin(cos(x + y))")-1.48235</f>
        <v>4.9610097397823294E-2</v>
      </c>
      <c r="P298" cm="1">
        <f t="array" ref="P298" xml:space="preserve"> mc(1000, -PI()/2,PI()/2, 0, 1, "sin(cos(x + y))")-1.48235</f>
        <v>-7.5149021678081462E-2</v>
      </c>
    </row>
    <row r="299" spans="1:16" x14ac:dyDescent="0.3">
      <c r="A299">
        <v>269</v>
      </c>
      <c r="B299" cm="1">
        <f t="array" ref="B299" xml:space="preserve"> mc(100, 0, 4, 1, 2, "x^2+y^2")-92/3</f>
        <v>0.18792566369592478</v>
      </c>
      <c r="C299" cm="1">
        <f t="array" ref="C299" xml:space="preserve"> mc(500, 0, 4, 1, 2, "x^2+y^2")-92/3</f>
        <v>0.72424226377200895</v>
      </c>
      <c r="D299" cm="1">
        <f t="array" ref="D299" xml:space="preserve"> mc(1000, 0, 4, 1, 2, "x^2+y^2")-92/3</f>
        <v>-0.72840892172462546</v>
      </c>
      <c r="F299" cm="1">
        <f t="array" ref="F299" xml:space="preserve"> ( mc(100, 3, 4, -1, 1, "EXP(x * sin(y))") ) - 7.39981</f>
        <v>0.27774004702313526</v>
      </c>
      <c r="G299" cm="1">
        <f t="array" ref="G299" xml:space="preserve"> ( mc(500, 3, 4, -1, 1, "EXP(x * sin(y))") ) - 7.39981</f>
        <v>6.4426939357180579E-2</v>
      </c>
      <c r="H299" cm="1">
        <f t="array" ref="H299" xml:space="preserve"> ( mc(1000, 3, 4, -1, 1, "EXP(x * sin(y))") ) - 7.39981</f>
        <v>-0.4244473904097994</v>
      </c>
      <c r="J299" cm="1">
        <f t="array" ref="J299" xml:space="preserve"> mc(100, -PI()/2,0,-1, 1, "ln(EXP(x * y))")</f>
        <v>5.3920730936922477E-2</v>
      </c>
      <c r="K299" cm="1">
        <f t="array" ref="K299" xml:space="preserve"> mc(500, -PI()/2,0,-1, 1, "ln(EXP(x * y))")</f>
        <v>6.8373673222747802E-2</v>
      </c>
      <c r="L299" cm="1">
        <f t="array" ref="L299" xml:space="preserve"> mc(1000, -PI()/2,0,-1, 1, "ln(EXP(x * y))")</f>
        <v>-5.4433364537210286E-3</v>
      </c>
      <c r="N299" cm="1">
        <f t="array" ref="N299" xml:space="preserve"> mc(100, -PI()/2,PI()/2, 0, 1, "sin(cos(x + y))")-1.48235</f>
        <v>-4.0010272739846142E-2</v>
      </c>
      <c r="O299" cm="1">
        <f t="array" ref="O299" xml:space="preserve"> mc(500, -PI()/2,PI()/2, 0, 1, "sin(cos(x + y))")-1.48235</f>
        <v>2.2198178169826832E-2</v>
      </c>
      <c r="P299" cm="1">
        <f t="array" ref="P299" xml:space="preserve"> mc(1000, -PI()/2,PI()/2, 0, 1, "sin(cos(x + y))")-1.48235</f>
        <v>-4.0652121657683171E-2</v>
      </c>
    </row>
    <row r="300" spans="1:16" x14ac:dyDescent="0.3">
      <c r="A300">
        <v>270</v>
      </c>
      <c r="B300" cm="1">
        <f t="array" ref="B300" xml:space="preserve"> mc(100, 0, 4, 1, 2, "x^2+y^2")-92/3</f>
        <v>2.0755875311903402</v>
      </c>
      <c r="C300" cm="1">
        <f t="array" ref="C300" xml:space="preserve"> mc(500, 0, 4, 1, 2, "x^2+y^2")-92/3</f>
        <v>0.40758708172317881</v>
      </c>
      <c r="D300" cm="1">
        <f t="array" ref="D300" xml:space="preserve"> mc(1000, 0, 4, 1, 2, "x^2+y^2")-92/3</f>
        <v>-0.60234665473035776</v>
      </c>
      <c r="F300" cm="1">
        <f t="array" ref="F300" xml:space="preserve"> ( mc(100, 3, 4, -1, 1, "EXP(x * sin(y))") ) - 7.39981</f>
        <v>-1.0471709938018741</v>
      </c>
      <c r="G300" cm="1">
        <f t="array" ref="G300" xml:space="preserve"> ( mc(500, 3, 4, -1, 1, "EXP(x * sin(y))") ) - 7.39981</f>
        <v>1.117518791618398</v>
      </c>
      <c r="H300" cm="1">
        <f t="array" ref="H300" xml:space="preserve"> ( mc(1000, 3, 4, -1, 1, "EXP(x * sin(y))") ) - 7.39981</f>
        <v>0.31301007015763993</v>
      </c>
      <c r="J300" cm="1">
        <f t="array" ref="J300" xml:space="preserve"> mc(100, -PI()/2,0,-1, 1, "ln(EXP(x * y))")</f>
        <v>0.12905212999214627</v>
      </c>
      <c r="K300" cm="1">
        <f t="array" ref="K300" xml:space="preserve"> mc(500, -PI()/2,0,-1, 1, "ln(EXP(x * y))")</f>
        <v>-1.3524559099089582E-2</v>
      </c>
      <c r="L300" cm="1">
        <f t="array" ref="L300" xml:space="preserve"> mc(1000, -PI()/2,0,-1, 1, "ln(EXP(x * y))")</f>
        <v>-4.9336163703155217E-2</v>
      </c>
      <c r="N300" cm="1">
        <f t="array" ref="N300" xml:space="preserve"> mc(100, -PI()/2,PI()/2, 0, 1, "sin(cos(x + y))")-1.48235</f>
        <v>-0.18252001563054643</v>
      </c>
      <c r="O300" cm="1">
        <f t="array" ref="O300" xml:space="preserve"> mc(500, -PI()/2,PI()/2, 0, 1, "sin(cos(x + y))")-1.48235</f>
        <v>8.2020465459330172E-2</v>
      </c>
      <c r="P300" cm="1">
        <f t="array" ref="P300" xml:space="preserve"> mc(1000, -PI()/2,PI()/2, 0, 1, "sin(cos(x + y))")-1.48235</f>
        <v>1.8966023002119803E-2</v>
      </c>
    </row>
    <row r="301" spans="1:16" x14ac:dyDescent="0.3">
      <c r="A301">
        <v>271</v>
      </c>
      <c r="B301" cm="1">
        <f t="array" ref="B301" xml:space="preserve"> mc(100, 0, 4, 1, 2, "x^2+y^2")-92/3</f>
        <v>-0.41444924107386427</v>
      </c>
      <c r="C301" cm="1">
        <f t="array" ref="C301" xml:space="preserve"> mc(500, 0, 4, 1, 2, "x^2+y^2")-92/3</f>
        <v>0.69673847417232437</v>
      </c>
      <c r="D301" cm="1">
        <f t="array" ref="D301" xml:space="preserve"> mc(1000, 0, 4, 1, 2, "x^2+y^2")-92/3</f>
        <v>-9.3752803354071546E-2</v>
      </c>
      <c r="F301" cm="1">
        <f t="array" ref="F301" xml:space="preserve"> ( mc(100, 3, 4, -1, 1, "EXP(x * sin(y))") ) - 7.39981</f>
        <v>0.77692309405042259</v>
      </c>
      <c r="G301" cm="1">
        <f t="array" ref="G301" xml:space="preserve"> ( mc(500, 3, 4, -1, 1, "EXP(x * sin(y))") ) - 7.39981</f>
        <v>-0.34144911484645757</v>
      </c>
      <c r="H301" cm="1">
        <f t="array" ref="H301" xml:space="preserve"> ( mc(1000, 3, 4, -1, 1, "EXP(x * sin(y))") ) - 7.39981</f>
        <v>-0.15735043942498095</v>
      </c>
      <c r="J301" cm="1">
        <f t="array" ref="J301" xml:space="preserve"> mc(100, -PI()/2,0,-1, 1, "ln(EXP(x * y))")</f>
        <v>8.7331515162287487E-2</v>
      </c>
      <c r="K301" cm="1">
        <f t="array" ref="K301" xml:space="preserve"> mc(500, -PI()/2,0,-1, 1, "ln(EXP(x * y))")</f>
        <v>-8.8960808807471675E-2</v>
      </c>
      <c r="L301" cm="1">
        <f t="array" ref="L301" xml:space="preserve"> mc(1000, -PI()/2,0,-1, 1, "ln(EXP(x * y))")</f>
        <v>-6.7045938072793507E-2</v>
      </c>
      <c r="N301" cm="1">
        <f t="array" ref="N301" xml:space="preserve"> mc(100, -PI()/2,PI()/2, 0, 1, "sin(cos(x + y))")-1.48235</f>
        <v>7.6049702115446483E-2</v>
      </c>
      <c r="O301" cm="1">
        <f t="array" ref="O301" xml:space="preserve"> mc(500, -PI()/2,PI()/2, 0, 1, "sin(cos(x + y))")-1.48235</f>
        <v>8.8012323604775178E-2</v>
      </c>
      <c r="P301" cm="1">
        <f t="array" ref="P301" xml:space="preserve"> mc(1000, -PI()/2,PI()/2, 0, 1, "sin(cos(x + y))")-1.48235</f>
        <v>-1.4381068003314068E-2</v>
      </c>
    </row>
    <row r="302" spans="1:16" x14ac:dyDescent="0.3">
      <c r="A302">
        <v>272</v>
      </c>
      <c r="B302" cm="1">
        <f t="array" ref="B302" xml:space="preserve"> mc(100, 0, 4, 1, 2, "x^2+y^2")-92/3</f>
        <v>-1.8207541290214238</v>
      </c>
      <c r="C302" cm="1">
        <f t="array" ref="C302" xml:space="preserve"> mc(500, 0, 4, 1, 2, "x^2+y^2")-92/3</f>
        <v>0.67634761348267958</v>
      </c>
      <c r="D302" cm="1">
        <f t="array" ref="D302" xml:space="preserve"> mc(1000, 0, 4, 1, 2, "x^2+y^2")-92/3</f>
        <v>0.11677136065339866</v>
      </c>
      <c r="F302" cm="1">
        <f t="array" ref="F302" xml:space="preserve"> ( mc(100, 3, 4, -1, 1, "EXP(x * sin(y))") ) - 7.39981</f>
        <v>0.49220963240846327</v>
      </c>
      <c r="G302" cm="1">
        <f t="array" ref="G302" xml:space="preserve"> ( mc(500, 3, 4, -1, 1, "EXP(x * sin(y))") ) - 7.39981</f>
        <v>0.41184060709584092</v>
      </c>
      <c r="H302" cm="1">
        <f t="array" ref="H302" xml:space="preserve"> ( mc(1000, 3, 4, -1, 1, "EXP(x * sin(y))") ) - 7.39981</f>
        <v>9.8512140391717296E-2</v>
      </c>
      <c r="J302" cm="1">
        <f t="array" ref="J302" xml:space="preserve"> mc(100, -PI()/2,0,-1, 1, "ln(EXP(x * y))")</f>
        <v>6.9651971817846395E-2</v>
      </c>
      <c r="K302" cm="1">
        <f t="array" ref="K302" xml:space="preserve"> mc(500, -PI()/2,0,-1, 1, "ln(EXP(x * y))")</f>
        <v>-9.3658292433149146E-2</v>
      </c>
      <c r="L302" cm="1">
        <f t="array" ref="L302" xml:space="preserve"> mc(1000, -PI()/2,0,-1, 1, "ln(EXP(x * y))")</f>
        <v>1.6170444374705214E-2</v>
      </c>
      <c r="N302" cm="1">
        <f t="array" ref="N302" xml:space="preserve"> mc(100, -PI()/2,PI()/2, 0, 1, "sin(cos(x + y))")-1.48235</f>
        <v>-4.6084913416949647E-2</v>
      </c>
      <c r="O302" cm="1">
        <f t="array" ref="O302" xml:space="preserve"> mc(500, -PI()/2,PI()/2, 0, 1, "sin(cos(x + y))")-1.48235</f>
        <v>4.4252677758301662E-2</v>
      </c>
      <c r="P302" cm="1">
        <f t="array" ref="P302" xml:space="preserve"> mc(1000, -PI()/2,PI()/2, 0, 1, "sin(cos(x + y))")-1.48235</f>
        <v>5.0838957432716825E-2</v>
      </c>
    </row>
    <row r="303" spans="1:16" x14ac:dyDescent="0.3">
      <c r="A303">
        <v>273</v>
      </c>
      <c r="B303" cm="1">
        <f t="array" ref="B303" xml:space="preserve"> mc(100, 0, 4, 1, 2, "x^2+y^2")-92/3</f>
        <v>-1.6662950048205438</v>
      </c>
      <c r="C303" cm="1">
        <f t="array" ref="C303" xml:space="preserve"> mc(500, 0, 4, 1, 2, "x^2+y^2")-92/3</f>
        <v>-3.0935607530150122E-2</v>
      </c>
      <c r="D303" cm="1">
        <f t="array" ref="D303" xml:space="preserve"> mc(1000, 0, 4, 1, 2, "x^2+y^2")-92/3</f>
        <v>0.32759557477984913</v>
      </c>
      <c r="F303" cm="1">
        <f t="array" ref="F303" xml:space="preserve"> ( mc(100, 3, 4, -1, 1, "EXP(x * sin(y))") ) - 7.39981</f>
        <v>2.8926718608919622</v>
      </c>
      <c r="G303" cm="1">
        <f t="array" ref="G303" xml:space="preserve"> ( mc(500, 3, 4, -1, 1, "EXP(x * sin(y))") ) - 7.39981</f>
        <v>0.61598873718695124</v>
      </c>
      <c r="H303" cm="1">
        <f t="array" ref="H303" xml:space="preserve"> ( mc(1000, 3, 4, -1, 1, "EXP(x * sin(y))") ) - 7.39981</f>
        <v>0.39754242249865968</v>
      </c>
      <c r="J303" cm="1">
        <f t="array" ref="J303" xml:space="preserve"> mc(100, -PI()/2,0,-1, 1, "ln(EXP(x * y))")</f>
        <v>-0.17998434868412203</v>
      </c>
      <c r="K303" cm="1">
        <f t="array" ref="K303" xml:space="preserve"> mc(500, -PI()/2,0,-1, 1, "ln(EXP(x * y))")</f>
        <v>8.0202339196788153E-2</v>
      </c>
      <c r="L303" cm="1">
        <f t="array" ref="L303" xml:space="preserve"> mc(1000, -PI()/2,0,-1, 1, "ln(EXP(x * y))")</f>
        <v>-6.1228567928623016E-2</v>
      </c>
      <c r="N303" cm="1">
        <f t="array" ref="N303" xml:space="preserve"> mc(100, -PI()/2,PI()/2, 0, 1, "sin(cos(x + y))")-1.48235</f>
        <v>-2.8302908558313966E-2</v>
      </c>
      <c r="O303" cm="1">
        <f t="array" ref="O303" xml:space="preserve"> mc(500, -PI()/2,PI()/2, 0, 1, "sin(cos(x + y))")-1.48235</f>
        <v>-8.6482191581051193E-2</v>
      </c>
      <c r="P303" cm="1">
        <f t="array" ref="P303" xml:space="preserve"> mc(1000, -PI()/2,PI()/2, 0, 1, "sin(cos(x + y))")-1.48235</f>
        <v>2.3124139156303736E-2</v>
      </c>
    </row>
    <row r="304" spans="1:16" x14ac:dyDescent="0.3">
      <c r="A304">
        <v>274</v>
      </c>
      <c r="B304" cm="1">
        <f t="array" ref="B304" xml:space="preserve"> mc(100, 0, 4, 1, 2, "x^2+y^2")-92/3</f>
        <v>-0.77017571814254282</v>
      </c>
      <c r="C304" cm="1">
        <f t="array" ref="C304" xml:space="preserve"> mc(500, 0, 4, 1, 2, "x^2+y^2")-92/3</f>
        <v>1.4640714651420943</v>
      </c>
      <c r="D304" cm="1">
        <f t="array" ref="D304" xml:space="preserve"> mc(1000, 0, 4, 1, 2, "x^2+y^2")-92/3</f>
        <v>0.51111065874783179</v>
      </c>
      <c r="F304" cm="1">
        <f t="array" ref="F304" xml:space="preserve"> ( mc(100, 3, 4, -1, 1, "EXP(x * sin(y))") ) - 7.39981</f>
        <v>-1.1084947888788648</v>
      </c>
      <c r="G304" cm="1">
        <f t="array" ref="G304" xml:space="preserve"> ( mc(500, 3, 4, -1, 1, "EXP(x * sin(y))") ) - 7.39981</f>
        <v>0.5887472701621741</v>
      </c>
      <c r="H304" cm="1">
        <f t="array" ref="H304" xml:space="preserve"> ( mc(1000, 3, 4, -1, 1, "EXP(x * sin(y))") ) - 7.39981</f>
        <v>-0.12824225275163581</v>
      </c>
      <c r="J304" cm="1">
        <f t="array" ref="J304" xml:space="preserve"> mc(100, -PI()/2,0,-1, 1, "ln(EXP(x * y))")</f>
        <v>9.5508251919175738E-2</v>
      </c>
      <c r="K304" cm="1">
        <f t="array" ref="K304" xml:space="preserve"> mc(500, -PI()/2,0,-1, 1, "ln(EXP(x * y))")</f>
        <v>-1.4089304491834565E-2</v>
      </c>
      <c r="L304" cm="1">
        <f t="array" ref="L304" xml:space="preserve"> mc(1000, -PI()/2,0,-1, 1, "ln(EXP(x * y))")</f>
        <v>6.6892554133686874E-2</v>
      </c>
      <c r="N304" cm="1">
        <f t="array" ref="N304" xml:space="preserve"> mc(100, -PI()/2,PI()/2, 0, 1, "sin(cos(x + y))")-1.48235</f>
        <v>0.14532340780388453</v>
      </c>
      <c r="O304" cm="1">
        <f t="array" ref="O304" xml:space="preserve"> mc(500, -PI()/2,PI()/2, 0, 1, "sin(cos(x + y))")-1.48235</f>
        <v>-8.8388281039433192E-3</v>
      </c>
      <c r="P304" cm="1">
        <f t="array" ref="P304" xml:space="preserve"> mc(1000, -PI()/2,PI()/2, 0, 1, "sin(cos(x + y))")-1.48235</f>
        <v>-7.6555126979124255E-2</v>
      </c>
    </row>
    <row r="305" spans="1:16" x14ac:dyDescent="0.3">
      <c r="A305">
        <v>275</v>
      </c>
      <c r="B305" cm="1">
        <f t="array" ref="B305" xml:space="preserve"> mc(100, 0, 4, 1, 2, "x^2+y^2")-92/3</f>
        <v>0.216881718138076</v>
      </c>
      <c r="C305" cm="1">
        <f t="array" ref="C305" xml:space="preserve"> mc(500, 0, 4, 1, 2, "x^2+y^2")-92/3</f>
        <v>-0.23056021326963361</v>
      </c>
      <c r="D305" cm="1">
        <f t="array" ref="D305" xml:space="preserve"> mc(1000, 0, 4, 1, 2, "x^2+y^2")-92/3</f>
        <v>-0.43511625211607807</v>
      </c>
      <c r="F305" cm="1">
        <f t="array" ref="F305" xml:space="preserve"> ( mc(100, 3, 4, -1, 1, "EXP(x * sin(y))") ) - 7.39981</f>
        <v>1.5773628217405111</v>
      </c>
      <c r="G305" cm="1">
        <f t="array" ref="G305" xml:space="preserve"> ( mc(500, 3, 4, -1, 1, "EXP(x * sin(y))") ) - 7.39981</f>
        <v>-0.85806076221394445</v>
      </c>
      <c r="H305" cm="1">
        <f t="array" ref="H305" xml:space="preserve"> ( mc(1000, 3, 4, -1, 1, "EXP(x * sin(y))") ) - 7.39981</f>
        <v>9.8356524313816251E-2</v>
      </c>
      <c r="J305" cm="1">
        <f t="array" ref="J305" xml:space="preserve"> mc(100, -PI()/2,0,-1, 1, "ln(EXP(x * y))")</f>
        <v>7.6527644557612346E-3</v>
      </c>
      <c r="K305" cm="1">
        <f t="array" ref="K305" xml:space="preserve"> mc(500, -PI()/2,0,-1, 1, "ln(EXP(x * y))")</f>
        <v>1.7959654505923829E-2</v>
      </c>
      <c r="L305" cm="1">
        <f t="array" ref="L305" xml:space="preserve"> mc(1000, -PI()/2,0,-1, 1, "ln(EXP(x * y))")</f>
        <v>-3.2666552126075298E-2</v>
      </c>
      <c r="N305" cm="1">
        <f t="array" ref="N305" xml:space="preserve"> mc(100, -PI()/2,PI()/2, 0, 1, "sin(cos(x + y))")-1.48235</f>
        <v>0.18657785341386113</v>
      </c>
      <c r="O305" cm="1">
        <f t="array" ref="O305" xml:space="preserve"> mc(500, -PI()/2,PI()/2, 0, 1, "sin(cos(x + y))")-1.48235</f>
        <v>3.8126108243758949E-3</v>
      </c>
      <c r="P305" cm="1">
        <f t="array" ref="P305" xml:space="preserve"> mc(1000, -PI()/2,PI()/2, 0, 1, "sin(cos(x + y))")-1.48235</f>
        <v>-8.4032419915447409E-3</v>
      </c>
    </row>
    <row r="306" spans="1:16" x14ac:dyDescent="0.3">
      <c r="A306">
        <v>276</v>
      </c>
      <c r="B306" cm="1">
        <f t="array" ref="B306" xml:space="preserve"> mc(100, 0, 4, 1, 2, "x^2+y^2")-92/3</f>
        <v>-0.95764855209429811</v>
      </c>
      <c r="C306" cm="1">
        <f t="array" ref="C306" xml:space="preserve"> mc(500, 0, 4, 1, 2, "x^2+y^2")-92/3</f>
        <v>0.30525633550125519</v>
      </c>
      <c r="D306" cm="1">
        <f t="array" ref="D306" xml:space="preserve"> mc(1000, 0, 4, 1, 2, "x^2+y^2")-92/3</f>
        <v>0.49884085482299056</v>
      </c>
      <c r="F306" cm="1">
        <f t="array" ref="F306" xml:space="preserve"> ( mc(100, 3, 4, -1, 1, "EXP(x * sin(y))") ) - 7.39981</f>
        <v>-4.2402864963040798E-2</v>
      </c>
      <c r="G306" cm="1">
        <f t="array" ref="G306" xml:space="preserve"> ( mc(500, 3, 4, -1, 1, "EXP(x * sin(y))") ) - 7.39981</f>
        <v>-0.31614087616787323</v>
      </c>
      <c r="H306" cm="1">
        <f t="array" ref="H306" xml:space="preserve"> ( mc(1000, 3, 4, -1, 1, "EXP(x * sin(y))") ) - 7.39981</f>
        <v>0.35485810314308974</v>
      </c>
      <c r="J306" cm="1">
        <f t="array" ref="J306" xml:space="preserve"> mc(100, -PI()/2,0,-1, 1, "ln(EXP(x * y))")</f>
        <v>7.1212534489943149E-2</v>
      </c>
      <c r="K306" cm="1">
        <f t="array" ref="K306" xml:space="preserve"> mc(500, -PI()/2,0,-1, 1, "ln(EXP(x * y))")</f>
        <v>-4.6340134705237139E-3</v>
      </c>
      <c r="L306" cm="1">
        <f t="array" ref="L306" xml:space="preserve"> mc(1000, -PI()/2,0,-1, 1, "ln(EXP(x * y))")</f>
        <v>3.4166742527716037E-2</v>
      </c>
      <c r="N306" cm="1">
        <f t="array" ref="N306" xml:space="preserve"> mc(100, -PI()/2,PI()/2, 0, 1, "sin(cos(x + y))")-1.48235</f>
        <v>8.7130242349653608E-2</v>
      </c>
      <c r="O306" cm="1">
        <f t="array" ref="O306" xml:space="preserve"> mc(500, -PI()/2,PI()/2, 0, 1, "sin(cos(x + y))")-1.48235</f>
        <v>-4.372518652048063E-2</v>
      </c>
      <c r="P306" cm="1">
        <f t="array" ref="P306" xml:space="preserve"> mc(1000, -PI()/2,PI()/2, 0, 1, "sin(cos(x + y))")-1.48235</f>
        <v>6.4393646180906927E-3</v>
      </c>
    </row>
    <row r="307" spans="1:16" x14ac:dyDescent="0.3">
      <c r="A307">
        <v>277</v>
      </c>
      <c r="B307" cm="1">
        <f t="array" ref="B307" xml:space="preserve"> mc(100, 0, 4, 1, 2, "x^2+y^2")-92/3</f>
        <v>1.2677731945707187</v>
      </c>
      <c r="C307" cm="1">
        <f t="array" ref="C307" xml:space="preserve"> mc(500, 0, 4, 1, 2, "x^2+y^2")-92/3</f>
        <v>-1.5443711444866892E-3</v>
      </c>
      <c r="D307" cm="1">
        <f t="array" ref="D307" xml:space="preserve"> mc(1000, 0, 4, 1, 2, "x^2+y^2")-92/3</f>
        <v>1.2833404757542048</v>
      </c>
      <c r="F307" cm="1">
        <f t="array" ref="F307" xml:space="preserve"> ( mc(100, 3, 4, -1, 1, "EXP(x * sin(y))") ) - 7.39981</f>
        <v>0.63442753557111153</v>
      </c>
      <c r="G307" cm="1">
        <f t="array" ref="G307" xml:space="preserve"> ( mc(500, 3, 4, -1, 1, "EXP(x * sin(y))") ) - 7.39981</f>
        <v>0.15705958337966219</v>
      </c>
      <c r="H307" cm="1">
        <f t="array" ref="H307" xml:space="preserve"> ( mc(1000, 3, 4, -1, 1, "EXP(x * sin(y))") ) - 7.39981</f>
        <v>0.1337857999875709</v>
      </c>
      <c r="J307" cm="1">
        <f t="array" ref="J307" xml:space="preserve"> mc(100, -PI()/2,0,-1, 1, "ln(EXP(x * y))")</f>
        <v>-8.2253699169416244E-2</v>
      </c>
      <c r="K307" cm="1">
        <f t="array" ref="K307" xml:space="preserve"> mc(500, -PI()/2,0,-1, 1, "ln(EXP(x * y))")</f>
        <v>-0.10739666367043817</v>
      </c>
      <c r="L307" cm="1">
        <f t="array" ref="L307" xml:space="preserve"> mc(1000, -PI()/2,0,-1, 1, "ln(EXP(x * y))")</f>
        <v>-8.536121397240222E-2</v>
      </c>
      <c r="N307" cm="1">
        <f t="array" ref="N307" xml:space="preserve"> mc(100, -PI()/2,PI()/2, 0, 1, "sin(cos(x + y))")-1.48235</f>
        <v>0.14834247252893307</v>
      </c>
      <c r="O307" cm="1">
        <f t="array" ref="O307" xml:space="preserve"> mc(500, -PI()/2,PI()/2, 0, 1, "sin(cos(x + y))")-1.48235</f>
        <v>-7.6798310194896802E-2</v>
      </c>
      <c r="P307" cm="1">
        <f t="array" ref="P307" xml:space="preserve"> mc(1000, -PI()/2,PI()/2, 0, 1, "sin(cos(x + y))")-1.48235</f>
        <v>-0.10007593738983678</v>
      </c>
    </row>
    <row r="308" spans="1:16" x14ac:dyDescent="0.3">
      <c r="A308">
        <v>278</v>
      </c>
      <c r="B308" cm="1">
        <f t="array" ref="B308" xml:space="preserve"> mc(100, 0, 4, 1, 2, "x^2+y^2")-92/3</f>
        <v>-2.032578669362799</v>
      </c>
      <c r="C308" cm="1">
        <f t="array" ref="C308" xml:space="preserve"> mc(500, 0, 4, 1, 2, "x^2+y^2")-92/3</f>
        <v>0.40337552678928645</v>
      </c>
      <c r="D308" cm="1">
        <f t="array" ref="D308" xml:space="preserve"> mc(1000, 0, 4, 1, 2, "x^2+y^2")-92/3</f>
        <v>0.31889465318027632</v>
      </c>
      <c r="F308" cm="1">
        <f t="array" ref="F308" xml:space="preserve"> ( mc(100, 3, 4, -1, 1, "EXP(x * sin(y))") ) - 7.39981</f>
        <v>1.8712398824236587</v>
      </c>
      <c r="G308" cm="1">
        <f t="array" ref="G308" xml:space="preserve"> ( mc(500, 3, 4, -1, 1, "EXP(x * sin(y))") ) - 7.39981</f>
        <v>9.2335773433500634E-3</v>
      </c>
      <c r="H308" cm="1">
        <f t="array" ref="H308" xml:space="preserve"> ( mc(1000, 3, 4, -1, 1, "EXP(x * sin(y))") ) - 7.39981</f>
        <v>-0.70715611624926211</v>
      </c>
      <c r="J308" cm="1">
        <f t="array" ref="J308" xml:space="preserve"> mc(100, -PI()/2,0,-1, 1, "ln(EXP(x * y))")</f>
        <v>-0.19683158424650724</v>
      </c>
      <c r="K308" cm="1">
        <f t="array" ref="K308" xml:space="preserve"> mc(500, -PI()/2,0,-1, 1, "ln(EXP(x * y))")</f>
        <v>-7.5104251796592469E-2</v>
      </c>
      <c r="L308" cm="1">
        <f t="array" ref="L308" xml:space="preserve"> mc(1000, -PI()/2,0,-1, 1, "ln(EXP(x * y))")</f>
        <v>-3.3572971666043096E-2</v>
      </c>
      <c r="N308" cm="1">
        <f t="array" ref="N308" xml:space="preserve"> mc(100, -PI()/2,PI()/2, 0, 1, "sin(cos(x + y))")-1.48235</f>
        <v>0.13851295493158022</v>
      </c>
      <c r="O308" cm="1">
        <f t="array" ref="O308" xml:space="preserve"> mc(500, -PI()/2,PI()/2, 0, 1, "sin(cos(x + y))")-1.48235</f>
        <v>-7.5133263717443111E-2</v>
      </c>
      <c r="P308" cm="1">
        <f t="array" ref="P308" xml:space="preserve"> mc(1000, -PI()/2,PI()/2, 0, 1, "sin(cos(x + y))")-1.48235</f>
        <v>5.6998832948873535E-2</v>
      </c>
    </row>
    <row r="309" spans="1:16" x14ac:dyDescent="0.3">
      <c r="A309">
        <v>279</v>
      </c>
      <c r="B309" cm="1">
        <f t="array" ref="B309" xml:space="preserve"> mc(100, 0, 4, 1, 2, "x^2+y^2")-92/3</f>
        <v>0.29883040742956268</v>
      </c>
      <c r="C309" cm="1">
        <f t="array" ref="C309" xml:space="preserve"> mc(500, 0, 4, 1, 2, "x^2+y^2")-92/3</f>
        <v>-1.1716572970590917</v>
      </c>
      <c r="D309" cm="1">
        <f t="array" ref="D309" xml:space="preserve"> mc(1000, 0, 4, 1, 2, "x^2+y^2")-92/3</f>
        <v>-0.15001081341032219</v>
      </c>
      <c r="F309" cm="1">
        <f t="array" ref="F309" xml:space="preserve"> ( mc(100, 3, 4, -1, 1, "EXP(x * sin(y))") ) - 7.39981</f>
        <v>-0.29094639530339705</v>
      </c>
      <c r="G309" cm="1">
        <f t="array" ref="G309" xml:space="preserve"> ( mc(500, 3, 4, -1, 1, "EXP(x * sin(y))") ) - 7.39981</f>
        <v>0.21974773745650467</v>
      </c>
      <c r="H309" cm="1">
        <f t="array" ref="H309" xml:space="preserve"> ( mc(1000, 3, 4, -1, 1, "EXP(x * sin(y))") ) - 7.39981</f>
        <v>-0.11412353567161126</v>
      </c>
      <c r="J309" cm="1">
        <f t="array" ref="J309" xml:space="preserve"> mc(100, -PI()/2,0,-1, 1, "ln(EXP(x * y))")</f>
        <v>-1.845068226519108E-2</v>
      </c>
      <c r="K309" cm="1">
        <f t="array" ref="K309" xml:space="preserve"> mc(500, -PI()/2,0,-1, 1, "ln(EXP(x * y))")</f>
        <v>6.0742197107892228E-2</v>
      </c>
      <c r="L309" cm="1">
        <f t="array" ref="L309" xml:space="preserve"> mc(1000, -PI()/2,0,-1, 1, "ln(EXP(x * y))")</f>
        <v>-2.1878974525108744E-2</v>
      </c>
      <c r="N309" cm="1">
        <f t="array" ref="N309" xml:space="preserve"> mc(100, -PI()/2,PI()/2, 0, 1, "sin(cos(x + y))")-1.48235</f>
        <v>-9.9669732102870778E-2</v>
      </c>
      <c r="O309" cm="1">
        <f t="array" ref="O309" xml:space="preserve"> mc(500, -PI()/2,PI()/2, 0, 1, "sin(cos(x + y))")-1.48235</f>
        <v>-3.1656843863167916E-2</v>
      </c>
      <c r="P309" cm="1">
        <f t="array" ref="P309" xml:space="preserve"> mc(1000, -PI()/2,PI()/2, 0, 1, "sin(cos(x + y))")-1.48235</f>
        <v>-6.649979957650487E-3</v>
      </c>
    </row>
    <row r="310" spans="1:16" x14ac:dyDescent="0.3">
      <c r="A310">
        <v>280</v>
      </c>
      <c r="B310" cm="1">
        <f t="array" ref="B310" xml:space="preserve"> mc(100, 0, 4, 1, 2, "x^2+y^2")-92/3</f>
        <v>-0.74564559713848055</v>
      </c>
      <c r="C310" cm="1">
        <f t="array" ref="C310" xml:space="preserve"> mc(500, 0, 4, 1, 2, "x^2+y^2")-92/3</f>
        <v>-0.22624509951043592</v>
      </c>
      <c r="D310" cm="1">
        <f t="array" ref="D310" xml:space="preserve"> mc(1000, 0, 4, 1, 2, "x^2+y^2")-92/3</f>
        <v>0.69534374566912405</v>
      </c>
      <c r="F310" cm="1">
        <f t="array" ref="F310" xml:space="preserve"> ( mc(100, 3, 4, -1, 1, "EXP(x * sin(y))") ) - 7.39981</f>
        <v>2.7346674219089095E-2</v>
      </c>
      <c r="G310" cm="1">
        <f t="array" ref="G310" xml:space="preserve"> ( mc(500, 3, 4, -1, 1, "EXP(x * sin(y))") ) - 7.39981</f>
        <v>0.18844819987053896</v>
      </c>
      <c r="H310" cm="1">
        <f t="array" ref="H310" xml:space="preserve"> ( mc(1000, 3, 4, -1, 1, "EXP(x * sin(y))") ) - 7.39981</f>
        <v>0.21072934559435019</v>
      </c>
      <c r="J310" cm="1">
        <f t="array" ref="J310" xml:space="preserve"> mc(100, -PI()/2,0,-1, 1, "ln(EXP(x * y))")</f>
        <v>6.3167931900392882E-2</v>
      </c>
      <c r="K310" cm="1">
        <f t="array" ref="K310" xml:space="preserve"> mc(500, -PI()/2,0,-1, 1, "ln(EXP(x * y))")</f>
        <v>0.17014703836472414</v>
      </c>
      <c r="L310" cm="1">
        <f t="array" ref="L310" xml:space="preserve"> mc(1000, -PI()/2,0,-1, 1, "ln(EXP(x * y))")</f>
        <v>-2.68110666554312E-2</v>
      </c>
      <c r="N310" cm="1">
        <f t="array" ref="N310" xml:space="preserve"> mc(100, -PI()/2,PI()/2, 0, 1, "sin(cos(x + y))")-1.48235</f>
        <v>-0.13161758382329669</v>
      </c>
      <c r="O310" cm="1">
        <f t="array" ref="O310" xml:space="preserve"> mc(500, -PI()/2,PI()/2, 0, 1, "sin(cos(x + y))")-1.48235</f>
        <v>2.4077284460296999E-2</v>
      </c>
      <c r="P310" cm="1">
        <f t="array" ref="P310" xml:space="preserve"> mc(1000, -PI()/2,PI()/2, 0, 1, "sin(cos(x + y))")-1.48235</f>
        <v>-4.6880132534372843E-2</v>
      </c>
    </row>
    <row r="311" spans="1:16" x14ac:dyDescent="0.3">
      <c r="A311">
        <v>281</v>
      </c>
      <c r="B311" cm="1">
        <f t="array" ref="B311" xml:space="preserve"> mc(100, 0, 4, 1, 2, "x^2+y^2")-92/3</f>
        <v>-3.5355172878799905</v>
      </c>
      <c r="C311" cm="1">
        <f t="array" ref="C311" xml:space="preserve"> mc(500, 0, 4, 1, 2, "x^2+y^2")-92/3</f>
        <v>-1.0951057564582278</v>
      </c>
      <c r="D311" cm="1">
        <f t="array" ref="D311" xml:space="preserve"> mc(1000, 0, 4, 1, 2, "x^2+y^2")-92/3</f>
        <v>0.3251934035668036</v>
      </c>
      <c r="F311" cm="1">
        <f t="array" ref="F311" xml:space="preserve"> ( mc(100, 3, 4, -1, 1, "EXP(x * sin(y))") ) - 7.39981</f>
        <v>-0.26561814367800096</v>
      </c>
      <c r="G311" cm="1">
        <f t="array" ref="G311" xml:space="preserve"> ( mc(500, 3, 4, -1, 1, "EXP(x * sin(y))") ) - 7.39981</f>
        <v>-0.46593144393899433</v>
      </c>
      <c r="H311" cm="1">
        <f t="array" ref="H311" xml:space="preserve"> ( mc(1000, 3, 4, -1, 1, "EXP(x * sin(y))") ) - 7.39981</f>
        <v>-0.22533539848056261</v>
      </c>
      <c r="J311" cm="1">
        <f t="array" ref="J311" xml:space="preserve"> mc(100, -PI()/2,0,-1, 1, "ln(EXP(x * y))")</f>
        <v>0.18424213619287055</v>
      </c>
      <c r="K311" cm="1">
        <f t="array" ref="K311" xml:space="preserve"> mc(500, -PI()/2,0,-1, 1, "ln(EXP(x * y))")</f>
        <v>0.13276140620689136</v>
      </c>
      <c r="L311" cm="1">
        <f t="array" ref="L311" xml:space="preserve"> mc(1000, -PI()/2,0,-1, 1, "ln(EXP(x * y))")</f>
        <v>-4.7287642432016989E-2</v>
      </c>
      <c r="N311" cm="1">
        <f t="array" ref="N311" xml:space="preserve"> mc(100, -PI()/2,PI()/2, 0, 1, "sin(cos(x + y))")-1.48235</f>
        <v>-0.11138741687666842</v>
      </c>
      <c r="O311" cm="1">
        <f t="array" ref="O311" xml:space="preserve"> mc(500, -PI()/2,PI()/2, 0, 1, "sin(cos(x + y))")-1.48235</f>
        <v>-2.8932141336715178E-2</v>
      </c>
      <c r="P311" cm="1">
        <f t="array" ref="P311" xml:space="preserve"> mc(1000, -PI()/2,PI()/2, 0, 1, "sin(cos(x + y))")-1.48235</f>
        <v>6.3270310522524298E-2</v>
      </c>
    </row>
    <row r="312" spans="1:16" x14ac:dyDescent="0.3">
      <c r="A312">
        <v>282</v>
      </c>
      <c r="B312" cm="1">
        <f t="array" ref="B312" xml:space="preserve"> mc(100, 0, 4, 1, 2, "x^2+y^2")-92/3</f>
        <v>-3.4081829789830742</v>
      </c>
      <c r="C312" cm="1">
        <f t="array" ref="C312" xml:space="preserve"> mc(500, 0, 4, 1, 2, "x^2+y^2")-92/3</f>
        <v>-0.80808365723860831</v>
      </c>
      <c r="D312" cm="1">
        <f t="array" ref="D312" xml:space="preserve"> mc(1000, 0, 4, 1, 2, "x^2+y^2")-92/3</f>
        <v>-0.45462757597003289</v>
      </c>
      <c r="F312" cm="1">
        <f t="array" ref="F312" xml:space="preserve"> ( mc(100, 3, 4, -1, 1, "EXP(x * sin(y))") ) - 7.39981</f>
        <v>-0.29305458824189756</v>
      </c>
      <c r="G312" cm="1">
        <f t="array" ref="G312" xml:space="preserve"> ( mc(500, 3, 4, -1, 1, "EXP(x * sin(y))") ) - 7.39981</f>
        <v>-7.5687889599451275E-2</v>
      </c>
      <c r="H312" cm="1">
        <f t="array" ref="H312" xml:space="preserve"> ( mc(1000, 3, 4, -1, 1, "EXP(x * sin(y))") ) - 7.39981</f>
        <v>-9.7803389978775357E-2</v>
      </c>
      <c r="J312" cm="1">
        <f t="array" ref="J312" xml:space="preserve"> mc(100, -PI()/2,0,-1, 1, "ln(EXP(x * y))")</f>
        <v>-4.9745153324287795E-3</v>
      </c>
      <c r="K312" cm="1">
        <f t="array" ref="K312" xml:space="preserve"> mc(500, -PI()/2,0,-1, 1, "ln(EXP(x * y))")</f>
        <v>-8.9511191286515468E-2</v>
      </c>
      <c r="L312" cm="1">
        <f t="array" ref="L312" xml:space="preserve"> mc(1000, -PI()/2,0,-1, 1, "ln(EXP(x * y))")</f>
        <v>-2.0075717423840889E-2</v>
      </c>
      <c r="N312" cm="1">
        <f t="array" ref="N312" xml:space="preserve"> mc(100, -PI()/2,PI()/2, 0, 1, "sin(cos(x + y))")-1.48235</f>
        <v>-8.4261964577395432E-2</v>
      </c>
      <c r="O312" cm="1">
        <f t="array" ref="O312" xml:space="preserve"> mc(500, -PI()/2,PI()/2, 0, 1, "sin(cos(x + y))")-1.48235</f>
        <v>8.9187245145510241E-2</v>
      </c>
      <c r="P312" cm="1">
        <f t="array" ref="P312" xml:space="preserve"> mc(1000, -PI()/2,PI()/2, 0, 1, "sin(cos(x + y))")-1.48235</f>
        <v>-3.8803143612902158E-2</v>
      </c>
    </row>
    <row r="313" spans="1:16" x14ac:dyDescent="0.3">
      <c r="A313">
        <v>283</v>
      </c>
      <c r="B313" cm="1">
        <f t="array" ref="B313" xml:space="preserve"> mc(100, 0, 4, 1, 2, "x^2+y^2")-92/3</f>
        <v>-0.20238502209919673</v>
      </c>
      <c r="C313" cm="1">
        <f t="array" ref="C313" xml:space="preserve"> mc(500, 0, 4, 1, 2, "x^2+y^2")-92/3</f>
        <v>-1.2642638616254764</v>
      </c>
      <c r="D313" cm="1">
        <f t="array" ref="D313" xml:space="preserve"> mc(1000, 0, 4, 1, 2, "x^2+y^2")-92/3</f>
        <v>0.1629719112643393</v>
      </c>
      <c r="F313" cm="1">
        <f t="array" ref="F313" xml:space="preserve"> ( mc(100, 3, 4, -1, 1, "EXP(x * sin(y))") ) - 7.39981</f>
        <v>-0.58952077601875796</v>
      </c>
      <c r="G313" cm="1">
        <f t="array" ref="G313" xml:space="preserve"> ( mc(500, 3, 4, -1, 1, "EXP(x * sin(y))") ) - 7.39981</f>
        <v>-0.68254711091472675</v>
      </c>
      <c r="H313" cm="1">
        <f t="array" ref="H313" xml:space="preserve"> ( mc(1000, 3, 4, -1, 1, "EXP(x * sin(y))") ) - 7.39981</f>
        <v>0.28569676536863753</v>
      </c>
      <c r="J313" cm="1">
        <f t="array" ref="J313" xml:space="preserve"> mc(100, -PI()/2,0,-1, 1, "ln(EXP(x * y))")</f>
        <v>0.19791301550231918</v>
      </c>
      <c r="K313" cm="1">
        <f t="array" ref="K313" xml:space="preserve"> mc(500, -PI()/2,0,-1, 1, "ln(EXP(x * y))")</f>
        <v>0.11883017903223979</v>
      </c>
      <c r="L313" cm="1">
        <f t="array" ref="L313" xml:space="preserve"> mc(1000, -PI()/2,0,-1, 1, "ln(EXP(x * y))")</f>
        <v>-5.2623843569781475E-2</v>
      </c>
      <c r="N313" cm="1">
        <f t="array" ref="N313" xml:space="preserve"> mc(100, -PI()/2,PI()/2, 0, 1, "sin(cos(x + y))")-1.48235</f>
        <v>-2.7042157377294984E-3</v>
      </c>
      <c r="O313" cm="1">
        <f t="array" ref="O313" xml:space="preserve"> mc(500, -PI()/2,PI()/2, 0, 1, "sin(cos(x + y))")-1.48235</f>
        <v>-0.14870343912816075</v>
      </c>
      <c r="P313" cm="1">
        <f t="array" ref="P313" xml:space="preserve"> mc(1000, -PI()/2,PI()/2, 0, 1, "sin(cos(x + y))")-1.48235</f>
        <v>-1.4560128707150843E-2</v>
      </c>
    </row>
    <row r="314" spans="1:16" x14ac:dyDescent="0.3">
      <c r="A314">
        <v>284</v>
      </c>
      <c r="B314" cm="1">
        <f t="array" ref="B314" xml:space="preserve"> mc(100, 0, 4, 1, 2, "x^2+y^2")-92/3</f>
        <v>2.6856823592093626</v>
      </c>
      <c r="C314" cm="1">
        <f t="array" ref="C314" xml:space="preserve"> mc(500, 0, 4, 1, 2, "x^2+y^2")-92/3</f>
        <v>-1.4111631222192536</v>
      </c>
      <c r="D314" cm="1">
        <f t="array" ref="D314" xml:space="preserve"> mc(1000, 0, 4, 1, 2, "x^2+y^2")-92/3</f>
        <v>0.19237364867413476</v>
      </c>
      <c r="F314" cm="1">
        <f t="array" ref="F314" xml:space="preserve"> ( mc(100, 3, 4, -1, 1, "EXP(x * sin(y))") ) - 7.39981</f>
        <v>-5.9093869638174645E-2</v>
      </c>
      <c r="G314" cm="1">
        <f t="array" ref="G314" xml:space="preserve"> ( mc(500, 3, 4, -1, 1, "EXP(x * sin(y))") ) - 7.39981</f>
        <v>0.53762524985733329</v>
      </c>
      <c r="H314" cm="1">
        <f t="array" ref="H314" xml:space="preserve"> ( mc(1000, 3, 4, -1, 1, "EXP(x * sin(y))") ) - 7.39981</f>
        <v>0.22372788602322213</v>
      </c>
      <c r="J314" cm="1">
        <f t="array" ref="J314" xml:space="preserve"> mc(100, -PI()/2,0,-1, 1, "ln(EXP(x * y))")</f>
        <v>-0.14845843370188805</v>
      </c>
      <c r="K314" cm="1">
        <f t="array" ref="K314" xml:space="preserve"> mc(500, -PI()/2,0,-1, 1, "ln(EXP(x * y))")</f>
        <v>-4.6117207082809891E-2</v>
      </c>
      <c r="L314" cm="1">
        <f t="array" ref="L314" xml:space="preserve"> mc(1000, -PI()/2,0,-1, 1, "ln(EXP(x * y))")</f>
        <v>7.0305074596843967E-4</v>
      </c>
      <c r="N314" cm="1">
        <f t="array" ref="N314" xml:space="preserve"> mc(100, -PI()/2,PI()/2, 0, 1, "sin(cos(x + y))")-1.48235</f>
        <v>9.9039344212749736E-2</v>
      </c>
      <c r="O314" cm="1">
        <f t="array" ref="O314" xml:space="preserve"> mc(500, -PI()/2,PI()/2, 0, 1, "sin(cos(x + y))")-1.48235</f>
        <v>-3.8800008071183223E-2</v>
      </c>
      <c r="P314" cm="1">
        <f t="array" ref="P314" xml:space="preserve"> mc(1000, -PI()/2,PI()/2, 0, 1, "sin(cos(x + y))")-1.48235</f>
        <v>3.0525289371285957E-3</v>
      </c>
    </row>
    <row r="315" spans="1:16" x14ac:dyDescent="0.3">
      <c r="A315">
        <v>285</v>
      </c>
      <c r="B315" cm="1">
        <f t="array" ref="B315" xml:space="preserve"> mc(100, 0, 4, 1, 2, "x^2+y^2")-92/3</f>
        <v>0.44760519474307969</v>
      </c>
      <c r="C315" cm="1">
        <f t="array" ref="C315" xml:space="preserve"> mc(500, 0, 4, 1, 2, "x^2+y^2")-92/3</f>
        <v>-0.16847969049655376</v>
      </c>
      <c r="D315" cm="1">
        <f t="array" ref="D315" xml:space="preserve"> mc(1000, 0, 4, 1, 2, "x^2+y^2")-92/3</f>
        <v>-0.2347420040706325</v>
      </c>
      <c r="F315" cm="1">
        <f t="array" ref="F315" xml:space="preserve"> ( mc(100, 3, 4, -1, 1, "EXP(x * sin(y))") ) - 7.39981</f>
        <v>0.3939272261327087</v>
      </c>
      <c r="G315" cm="1">
        <f t="array" ref="G315" xml:space="preserve"> ( mc(500, 3, 4, -1, 1, "EXP(x * sin(y))") ) - 7.39981</f>
        <v>0.34957323546339136</v>
      </c>
      <c r="H315" cm="1">
        <f t="array" ref="H315" xml:space="preserve"> ( mc(1000, 3, 4, -1, 1, "EXP(x * sin(y))") ) - 7.39981</f>
        <v>-1.6780296333650746E-2</v>
      </c>
      <c r="J315" cm="1">
        <f t="array" ref="J315" xml:space="preserve"> mc(100, -PI()/2,0,-1, 1, "ln(EXP(x * y))")</f>
        <v>0.26279049857070663</v>
      </c>
      <c r="K315" cm="1">
        <f t="array" ref="K315" xml:space="preserve"> mc(500, -PI()/2,0,-1, 1, "ln(EXP(x * y))")</f>
        <v>-3.1685955898215455E-2</v>
      </c>
      <c r="L315" cm="1">
        <f t="array" ref="L315" xml:space="preserve"> mc(1000, -PI()/2,0,-1, 1, "ln(EXP(x * y))")</f>
        <v>0.10501524405147263</v>
      </c>
      <c r="N315" cm="1">
        <f t="array" ref="N315" xml:space="preserve"> mc(100, -PI()/2,PI()/2, 0, 1, "sin(cos(x + y))")-1.48235</f>
        <v>-0.14716700941647098</v>
      </c>
      <c r="O315" cm="1">
        <f t="array" ref="O315" xml:space="preserve"> mc(500, -PI()/2,PI()/2, 0, 1, "sin(cos(x + y))")-1.48235</f>
        <v>-8.1278468633298795E-2</v>
      </c>
      <c r="P315" cm="1">
        <f t="array" ref="P315" xml:space="preserve"> mc(1000, -PI()/2,PI()/2, 0, 1, "sin(cos(x + y))")-1.48235</f>
        <v>-2.8563662501523979E-3</v>
      </c>
    </row>
    <row r="316" spans="1:16" x14ac:dyDescent="0.3">
      <c r="A316">
        <v>286</v>
      </c>
      <c r="B316" cm="1">
        <f t="array" ref="B316" xml:space="preserve"> mc(100, 0, 4, 1, 2, "x^2+y^2")-92/3</f>
        <v>-2.1080798343883664</v>
      </c>
      <c r="C316" cm="1">
        <f t="array" ref="C316" xml:space="preserve"> mc(500, 0, 4, 1, 2, "x^2+y^2")-92/3</f>
        <v>0.1956141527305526</v>
      </c>
      <c r="D316" cm="1">
        <f t="array" ref="D316" xml:space="preserve"> mc(1000, 0, 4, 1, 2, "x^2+y^2")-92/3</f>
        <v>-5.4951533408669206E-2</v>
      </c>
      <c r="F316" cm="1">
        <f t="array" ref="F316" xml:space="preserve"> ( mc(100, 3, 4, -1, 1, "EXP(x * sin(y))") ) - 7.39981</f>
        <v>-0.24040989951584546</v>
      </c>
      <c r="G316" cm="1">
        <f t="array" ref="G316" xml:space="preserve"> ( mc(500, 3, 4, -1, 1, "EXP(x * sin(y))") ) - 7.39981</f>
        <v>0.30403372161086573</v>
      </c>
      <c r="H316" cm="1">
        <f t="array" ref="H316" xml:space="preserve"> ( mc(1000, 3, 4, -1, 1, "EXP(x * sin(y))") ) - 7.39981</f>
        <v>9.6038165854708701E-2</v>
      </c>
      <c r="J316" cm="1">
        <f t="array" ref="J316" xml:space="preserve"> mc(100, -PI()/2,0,-1, 1, "ln(EXP(x * y))")</f>
        <v>-0.17264085173848792</v>
      </c>
      <c r="K316" cm="1">
        <f t="array" ref="K316" xml:space="preserve"> mc(500, -PI()/2,0,-1, 1, "ln(EXP(x * y))")</f>
        <v>0.17530726511052364</v>
      </c>
      <c r="L316" cm="1">
        <f t="array" ref="L316" xml:space="preserve"> mc(1000, -PI()/2,0,-1, 1, "ln(EXP(x * y))")</f>
        <v>-8.0072366963491667E-2</v>
      </c>
      <c r="N316" cm="1">
        <f t="array" ref="N316" xml:space="preserve"> mc(100, -PI()/2,PI()/2, 0, 1, "sin(cos(x + y))")-1.48235</f>
        <v>-0.19047539169884264</v>
      </c>
      <c r="O316" cm="1">
        <f t="array" ref="O316" xml:space="preserve"> mc(500, -PI()/2,PI()/2, 0, 1, "sin(cos(x + y))")-1.48235</f>
        <v>1.6016432743328979E-2</v>
      </c>
      <c r="P316" cm="1">
        <f t="array" ref="P316" xml:space="preserve"> mc(1000, -PI()/2,PI()/2, 0, 1, "sin(cos(x + y))")-1.48235</f>
        <v>2.4194218227901132E-2</v>
      </c>
    </row>
    <row r="317" spans="1:16" x14ac:dyDescent="0.3">
      <c r="A317">
        <v>287</v>
      </c>
      <c r="B317" cm="1">
        <f t="array" ref="B317" xml:space="preserve"> mc(100, 0, 4, 1, 2, "x^2+y^2")-92/3</f>
        <v>1.3000612181420657</v>
      </c>
      <c r="C317" cm="1">
        <f t="array" ref="C317" xml:space="preserve"> mc(500, 0, 4, 1, 2, "x^2+y^2")-92/3</f>
        <v>-0.58014020220520024</v>
      </c>
      <c r="D317" cm="1">
        <f t="array" ref="D317" xml:space="preserve"> mc(1000, 0, 4, 1, 2, "x^2+y^2")-92/3</f>
        <v>0.10377257709361842</v>
      </c>
      <c r="F317" cm="1">
        <f t="array" ref="F317" xml:space="preserve"> ( mc(100, 3, 4, -1, 1, "EXP(x * sin(y))") ) - 7.39981</f>
        <v>-2.4782798853680061</v>
      </c>
      <c r="G317" cm="1">
        <f t="array" ref="G317" xml:space="preserve"> ( mc(500, 3, 4, -1, 1, "EXP(x * sin(y))") ) - 7.39981</f>
        <v>0.66399807184958881</v>
      </c>
      <c r="H317" cm="1">
        <f t="array" ref="H317" xml:space="preserve"> ( mc(1000, 3, 4, -1, 1, "EXP(x * sin(y))") ) - 7.39981</f>
        <v>0.39674566404615774</v>
      </c>
      <c r="J317" cm="1">
        <f t="array" ref="J317" xml:space="preserve"> mc(100, -PI()/2,0,-1, 1, "ln(EXP(x * y))")</f>
        <v>6.180604801044759E-2</v>
      </c>
      <c r="K317" cm="1">
        <f t="array" ref="K317" xml:space="preserve"> mc(500, -PI()/2,0,-1, 1, "ln(EXP(x * y))")</f>
        <v>-5.6354568461883638E-4</v>
      </c>
      <c r="L317" cm="1">
        <f t="array" ref="L317" xml:space="preserve"> mc(1000, -PI()/2,0,-1, 1, "ln(EXP(x * y))")</f>
        <v>-6.3977278907966381E-2</v>
      </c>
      <c r="N317" cm="1">
        <f t="array" ref="N317" xml:space="preserve"> mc(100, -PI()/2,PI()/2, 0, 1, "sin(cos(x + y))")-1.48235</f>
        <v>-0.15995075354889798</v>
      </c>
      <c r="O317" cm="1">
        <f t="array" ref="O317" xml:space="preserve"> mc(500, -PI()/2,PI()/2, 0, 1, "sin(cos(x + y))")-1.48235</f>
        <v>-6.2792804743164732E-2</v>
      </c>
      <c r="P317" cm="1">
        <f t="array" ref="P317" xml:space="preserve"> mc(1000, -PI()/2,PI()/2, 0, 1, "sin(cos(x + y))")-1.48235</f>
        <v>-2.9182653027259642E-2</v>
      </c>
    </row>
    <row r="318" spans="1:16" x14ac:dyDescent="0.3">
      <c r="A318">
        <v>288</v>
      </c>
      <c r="B318" cm="1">
        <f t="array" ref="B318" xml:space="preserve"> mc(100, 0, 4, 1, 2, "x^2+y^2")-92/3</f>
        <v>1.5959775259672249</v>
      </c>
      <c r="C318" cm="1">
        <f t="array" ref="C318" xml:space="preserve"> mc(500, 0, 4, 1, 2, "x^2+y^2")-92/3</f>
        <v>-1.1557508001145358</v>
      </c>
      <c r="D318" cm="1">
        <f t="array" ref="D318" xml:space="preserve"> mc(1000, 0, 4, 1, 2, "x^2+y^2")-92/3</f>
        <v>-0.10519364809429632</v>
      </c>
      <c r="F318" cm="1">
        <f t="array" ref="F318" xml:space="preserve"> ( mc(100, 3, 4, -1, 1, "EXP(x * sin(y))") ) - 7.39981</f>
        <v>-8.5420227975402163E-2</v>
      </c>
      <c r="G318" cm="1">
        <f t="array" ref="G318" xml:space="preserve"> ( mc(500, 3, 4, -1, 1, "EXP(x * sin(y))") ) - 7.39981</f>
        <v>-0.36457512999113639</v>
      </c>
      <c r="H318" cm="1">
        <f t="array" ref="H318" xml:space="preserve"> ( mc(1000, 3, 4, -1, 1, "EXP(x * sin(y))") ) - 7.39981</f>
        <v>-9.4536585896285885E-2</v>
      </c>
      <c r="J318" cm="1">
        <f t="array" ref="J318" xml:space="preserve"> mc(100, -PI()/2,0,-1, 1, "ln(EXP(x * y))")</f>
        <v>7.9901535241689234E-2</v>
      </c>
      <c r="K318" cm="1">
        <f t="array" ref="K318" xml:space="preserve"> mc(500, -PI()/2,0,-1, 1, "ln(EXP(x * y))")</f>
        <v>0.11990525065828395</v>
      </c>
      <c r="L318" cm="1">
        <f t="array" ref="L318" xml:space="preserve"> mc(1000, -PI()/2,0,-1, 1, "ln(EXP(x * y))")</f>
        <v>5.3078302560916384E-2</v>
      </c>
      <c r="N318" cm="1">
        <f t="array" ref="N318" xml:space="preserve"> mc(100, -PI()/2,PI()/2, 0, 1, "sin(cos(x + y))")-1.48235</f>
        <v>-0.19025837485434161</v>
      </c>
      <c r="O318" cm="1">
        <f t="array" ref="O318" xml:space="preserve"> mc(500, -PI()/2,PI()/2, 0, 1, "sin(cos(x + y))")-1.48235</f>
        <v>1.7004753023178498E-2</v>
      </c>
      <c r="P318" cm="1">
        <f t="array" ref="P318" xml:space="preserve"> mc(1000, -PI()/2,PI()/2, 0, 1, "sin(cos(x + y))")-1.48235</f>
        <v>3.2397702029415498E-2</v>
      </c>
    </row>
    <row r="319" spans="1:16" x14ac:dyDescent="0.3">
      <c r="A319">
        <v>289</v>
      </c>
      <c r="B319" cm="1">
        <f t="array" ref="B319" xml:space="preserve"> mc(100, 0, 4, 1, 2, "x^2+y^2")-92/3</f>
        <v>-3.0270925567722031</v>
      </c>
      <c r="C319" cm="1">
        <f t="array" ref="C319" xml:space="preserve"> mc(500, 0, 4, 1, 2, "x^2+y^2")-92/3</f>
        <v>-0.28526518919513677</v>
      </c>
      <c r="D319" cm="1">
        <f t="array" ref="D319" xml:space="preserve"> mc(1000, 0, 4, 1, 2, "x^2+y^2")-92/3</f>
        <v>-0.35503776914616836</v>
      </c>
      <c r="F319" cm="1">
        <f t="array" ref="F319" xml:space="preserve"> ( mc(100, 3, 4, -1, 1, "EXP(x * sin(y))") ) - 7.39981</f>
        <v>-0.90075417509678513</v>
      </c>
      <c r="G319" cm="1">
        <f t="array" ref="G319" xml:space="preserve"> ( mc(500, 3, 4, -1, 1, "EXP(x * sin(y))") ) - 7.39981</f>
        <v>-0.20337180357165607</v>
      </c>
      <c r="H319" cm="1">
        <f t="array" ref="H319" xml:space="preserve"> ( mc(1000, 3, 4, -1, 1, "EXP(x * sin(y))") ) - 7.39981</f>
        <v>-0.41710420027655548</v>
      </c>
      <c r="J319" cm="1">
        <f t="array" ref="J319" xml:space="preserve"> mc(100, -PI()/2,0,-1, 1, "ln(EXP(x * y))")</f>
        <v>-0.10149514384738385</v>
      </c>
      <c r="K319" cm="1">
        <f t="array" ref="K319" xml:space="preserve"> mc(500, -PI()/2,0,-1, 1, "ln(EXP(x * y))")</f>
        <v>2.2577679518513648E-2</v>
      </c>
      <c r="L319" cm="1">
        <f t="array" ref="L319" xml:space="preserve"> mc(1000, -PI()/2,0,-1, 1, "ln(EXP(x * y))")</f>
        <v>-2.4872350833426405E-3</v>
      </c>
      <c r="N319" cm="1">
        <f t="array" ref="N319" xml:space="preserve"> mc(100, -PI()/2,PI()/2, 0, 1, "sin(cos(x + y))")-1.48235</f>
        <v>-3.4256407103708142E-2</v>
      </c>
      <c r="O319" cm="1">
        <f t="array" ref="O319" xml:space="preserve"> mc(500, -PI()/2,PI()/2, 0, 1, "sin(cos(x + y))")-1.48235</f>
        <v>6.1897838683101947E-2</v>
      </c>
      <c r="P319" cm="1">
        <f t="array" ref="P319" xml:space="preserve"> mc(1000, -PI()/2,PI()/2, 0, 1, "sin(cos(x + y))")-1.48235</f>
        <v>6.6713616644927365E-2</v>
      </c>
    </row>
    <row r="320" spans="1:16" x14ac:dyDescent="0.3">
      <c r="A320">
        <v>290</v>
      </c>
      <c r="B320" cm="1">
        <f t="array" ref="B320" xml:space="preserve"> mc(100, 0, 4, 1, 2, "x^2+y^2")-92/3</f>
        <v>-0.85789267164544825</v>
      </c>
      <c r="C320" cm="1">
        <f t="array" ref="C320" xml:space="preserve"> mc(500, 0, 4, 1, 2, "x^2+y^2")-92/3</f>
        <v>0.6247438461294017</v>
      </c>
      <c r="D320" cm="1">
        <f t="array" ref="D320" xml:space="preserve"> mc(1000, 0, 4, 1, 2, "x^2+y^2")-92/3</f>
        <v>-0.7064040718188842</v>
      </c>
      <c r="F320" cm="1">
        <f t="array" ref="F320" xml:space="preserve"> ( mc(100, 3, 4, -1, 1, "EXP(x * sin(y))") ) - 7.39981</f>
        <v>0.36552943774644575</v>
      </c>
      <c r="G320" cm="1">
        <f t="array" ref="G320" xml:space="preserve"> ( mc(500, 3, 4, -1, 1, "EXP(x * sin(y))") ) - 7.39981</f>
        <v>0.38104364923954037</v>
      </c>
      <c r="H320" cm="1">
        <f t="array" ref="H320" xml:space="preserve"> ( mc(1000, 3, 4, -1, 1, "EXP(x * sin(y))") ) - 7.39981</f>
        <v>0.72223113629848079</v>
      </c>
      <c r="J320" cm="1">
        <f t="array" ref="J320" xml:space="preserve"> mc(100, -PI()/2,0,-1, 1, "ln(EXP(x * y))")</f>
        <v>-0.1679022233461023</v>
      </c>
      <c r="K320" cm="1">
        <f t="array" ref="K320" xml:space="preserve"> mc(500, -PI()/2,0,-1, 1, "ln(EXP(x * y))")</f>
        <v>-0.16243337835936947</v>
      </c>
      <c r="L320" cm="1">
        <f t="array" ref="L320" xml:space="preserve"> mc(1000, -PI()/2,0,-1, 1, "ln(EXP(x * y))")</f>
        <v>-9.7072622308926687E-2</v>
      </c>
      <c r="N320" cm="1">
        <f t="array" ref="N320" xml:space="preserve"> mc(100, -PI()/2,PI()/2, 0, 1, "sin(cos(x + y))")-1.48235</f>
        <v>1.7071666594209001E-2</v>
      </c>
      <c r="O320" cm="1">
        <f t="array" ref="O320" xml:space="preserve"> mc(500, -PI()/2,PI()/2, 0, 1, "sin(cos(x + y))")-1.48235</f>
        <v>-0.14447135726529914</v>
      </c>
      <c r="P320" cm="1">
        <f t="array" ref="P320" xml:space="preserve"> mc(1000, -PI()/2,PI()/2, 0, 1, "sin(cos(x + y))")-1.48235</f>
        <v>1.1330509220112139E-2</v>
      </c>
    </row>
    <row r="321" spans="1:16" x14ac:dyDescent="0.3">
      <c r="A321">
        <v>291</v>
      </c>
      <c r="B321" cm="1">
        <f t="array" ref="B321" xml:space="preserve"> mc(100, 0, 4, 1, 2, "x^2+y^2")-92/3</f>
        <v>-2.3465043126661946</v>
      </c>
      <c r="C321" cm="1">
        <f t="array" ref="C321" xml:space="preserve"> mc(500, 0, 4, 1, 2, "x^2+y^2")-92/3</f>
        <v>-4.6093792544834145E-2</v>
      </c>
      <c r="D321" cm="1">
        <f t="array" ref="D321" xml:space="preserve"> mc(1000, 0, 4, 1, 2, "x^2+y^2")-92/3</f>
        <v>-0.77125728249135861</v>
      </c>
      <c r="F321" cm="1">
        <f t="array" ref="F321" xml:space="preserve"> ( mc(100, 3, 4, -1, 1, "EXP(x * sin(y))") ) - 7.39981</f>
        <v>-0.49353919093513721</v>
      </c>
      <c r="G321" cm="1">
        <f t="array" ref="G321" xml:space="preserve"> ( mc(500, 3, 4, -1, 1, "EXP(x * sin(y))") ) - 7.39981</f>
        <v>-0.76452589869398935</v>
      </c>
      <c r="H321" cm="1">
        <f t="array" ref="H321" xml:space="preserve"> ( mc(1000, 3, 4, -1, 1, "EXP(x * sin(y))") ) - 7.39981</f>
        <v>0.71627853826283427</v>
      </c>
      <c r="J321" cm="1">
        <f t="array" ref="J321" xml:space="preserve"> mc(100, -PI()/2,0,-1, 1, "ln(EXP(x * y))")</f>
        <v>-6.2333210115470487E-2</v>
      </c>
      <c r="K321" cm="1">
        <f t="array" ref="K321" xml:space="preserve"> mc(500, -PI()/2,0,-1, 1, "ln(EXP(x * y))")</f>
        <v>-9.1139334687550699E-2</v>
      </c>
      <c r="L321" cm="1">
        <f t="array" ref="L321" xml:space="preserve"> mc(1000, -PI()/2,0,-1, 1, "ln(EXP(x * y))")</f>
        <v>-5.274660438621169E-2</v>
      </c>
      <c r="N321" cm="1">
        <f t="array" ref="N321" xml:space="preserve"> mc(100, -PI()/2,PI()/2, 0, 1, "sin(cos(x + y))")-1.48235</f>
        <v>-8.1878853970700494E-3</v>
      </c>
      <c r="O321" cm="1">
        <f t="array" ref="O321" xml:space="preserve"> mc(500, -PI()/2,PI()/2, 0, 1, "sin(cos(x + y))")-1.48235</f>
        <v>-5.4610806755840402E-2</v>
      </c>
      <c r="P321" cm="1">
        <f t="array" ref="P321" xml:space="preserve"> mc(1000, -PI()/2,PI()/2, 0, 1, "sin(cos(x + y))")-1.48235</f>
        <v>-9.9743662767084462E-3</v>
      </c>
    </row>
    <row r="322" spans="1:16" x14ac:dyDescent="0.3">
      <c r="A322">
        <v>292</v>
      </c>
      <c r="B322" cm="1">
        <f t="array" ref="B322" xml:space="preserve"> mc(100, 0, 4, 1, 2, "x^2+y^2")-92/3</f>
        <v>1.0425503549631721</v>
      </c>
      <c r="C322" cm="1">
        <f t="array" ref="C322" xml:space="preserve"> mc(500, 0, 4, 1, 2, "x^2+y^2")-92/3</f>
        <v>-0.18942665265345227</v>
      </c>
      <c r="D322" cm="1">
        <f t="array" ref="D322" xml:space="preserve"> mc(1000, 0, 4, 1, 2, "x^2+y^2")-92/3</f>
        <v>0.13516141393257541</v>
      </c>
      <c r="F322" cm="1">
        <f t="array" ref="F322" xml:space="preserve"> ( mc(100, 3, 4, -1, 1, "EXP(x * sin(y))") ) - 7.39981</f>
        <v>7.7102672624096869E-2</v>
      </c>
      <c r="G322" cm="1">
        <f t="array" ref="G322" xml:space="preserve"> ( mc(500, 3, 4, -1, 1, "EXP(x * sin(y))") ) - 7.39981</f>
        <v>-0.75198018000597955</v>
      </c>
      <c r="H322" cm="1">
        <f t="array" ref="H322" xml:space="preserve"> ( mc(1000, 3, 4, -1, 1, "EXP(x * sin(y))") ) - 7.39981</f>
        <v>0.34776937112984641</v>
      </c>
      <c r="J322" cm="1">
        <f t="array" ref="J322" xml:space="preserve"> mc(100, -PI()/2,0,-1, 1, "ln(EXP(x * y))")</f>
        <v>1.2366661276175356E-2</v>
      </c>
      <c r="K322" cm="1">
        <f t="array" ref="K322" xml:space="preserve"> mc(500, -PI()/2,0,-1, 1, "ln(EXP(x * y))")</f>
        <v>1.339683709764327E-2</v>
      </c>
      <c r="L322" cm="1">
        <f t="array" ref="L322" xml:space="preserve"> mc(1000, -PI()/2,0,-1, 1, "ln(EXP(x * y))")</f>
        <v>-1.6264985549686046E-2</v>
      </c>
      <c r="N322" cm="1">
        <f t="array" ref="N322" xml:space="preserve"> mc(100, -PI()/2,PI()/2, 0, 1, "sin(cos(x + y))")-1.48235</f>
        <v>-6.9427473902724524E-2</v>
      </c>
      <c r="O322" cm="1">
        <f t="array" ref="O322" xml:space="preserve"> mc(500, -PI()/2,PI()/2, 0, 1, "sin(cos(x + y))")-1.48235</f>
        <v>3.9447225531912267E-2</v>
      </c>
      <c r="P322" cm="1">
        <f t="array" ref="P322" xml:space="preserve"> mc(1000, -PI()/2,PI()/2, 0, 1, "sin(cos(x + y))")-1.48235</f>
        <v>7.7097693998249506E-2</v>
      </c>
    </row>
    <row r="323" spans="1:16" x14ac:dyDescent="0.3">
      <c r="A323">
        <v>293</v>
      </c>
      <c r="B323" cm="1">
        <f t="array" ref="B323" xml:space="preserve"> mc(100, 0, 4, 1, 2, "x^2+y^2")-92/3</f>
        <v>0.94219244424250093</v>
      </c>
      <c r="C323" cm="1">
        <f t="array" ref="C323" xml:space="preserve"> mc(500, 0, 4, 1, 2, "x^2+y^2")-92/3</f>
        <v>-0.31393204007762066</v>
      </c>
      <c r="D323" cm="1">
        <f t="array" ref="D323" xml:space="preserve"> mc(1000, 0, 4, 1, 2, "x^2+y^2")-92/3</f>
        <v>0.2551354764390048</v>
      </c>
      <c r="F323" cm="1">
        <f t="array" ref="F323" xml:space="preserve"> ( mc(100, 3, 4, -1, 1, "EXP(x * sin(y))") ) - 7.39981</f>
        <v>1.1189315204599222</v>
      </c>
      <c r="G323" cm="1">
        <f t="array" ref="G323" xml:space="preserve"> ( mc(500, 3, 4, -1, 1, "EXP(x * sin(y))") ) - 7.39981</f>
        <v>0.1870269867449732</v>
      </c>
      <c r="H323" cm="1">
        <f t="array" ref="H323" xml:space="preserve"> ( mc(1000, 3, 4, -1, 1, "EXP(x * sin(y))") ) - 7.39981</f>
        <v>0.19933753224627004</v>
      </c>
      <c r="J323" cm="1">
        <f t="array" ref="J323" xml:space="preserve"> mc(100, -PI()/2,0,-1, 1, "ln(EXP(x * y))")</f>
        <v>6.2598113101226149E-2</v>
      </c>
      <c r="K323" cm="1">
        <f t="array" ref="K323" xml:space="preserve"> mc(500, -PI()/2,0,-1, 1, "ln(EXP(x * y))")</f>
        <v>-5.9850846561604019E-2</v>
      </c>
      <c r="L323" cm="1">
        <f t="array" ref="L323" xml:space="preserve"> mc(1000, -PI()/2,0,-1, 1, "ln(EXP(x * y))")</f>
        <v>7.3897724230873093E-3</v>
      </c>
      <c r="N323" cm="1">
        <f t="array" ref="N323" xml:space="preserve"> mc(100, -PI()/2,PI()/2, 0, 1, "sin(cos(x + y))")-1.48235</f>
        <v>0.1453979084453072</v>
      </c>
      <c r="O323" cm="1">
        <f t="array" ref="O323" xml:space="preserve"> mc(500, -PI()/2,PI()/2, 0, 1, "sin(cos(x + y))")-1.48235</f>
        <v>1.6730679833592221E-2</v>
      </c>
      <c r="P323" cm="1">
        <f t="array" ref="P323" xml:space="preserve"> mc(1000, -PI()/2,PI()/2, 0, 1, "sin(cos(x + y))")-1.48235</f>
        <v>-3.0401118417876294E-2</v>
      </c>
    </row>
    <row r="324" spans="1:16" x14ac:dyDescent="0.3">
      <c r="A324">
        <v>294</v>
      </c>
      <c r="B324" cm="1">
        <f t="array" ref="B324" xml:space="preserve"> mc(100, 0, 4, 1, 2, "x^2+y^2")-92/3</f>
        <v>-1.4582947545771567</v>
      </c>
      <c r="C324" cm="1">
        <f t="array" ref="C324" xml:space="preserve"> mc(500, 0, 4, 1, 2, "x^2+y^2")-92/3</f>
        <v>2.5640243569847918</v>
      </c>
      <c r="D324" cm="1">
        <f t="array" ref="D324" xml:space="preserve"> mc(1000, 0, 4, 1, 2, "x^2+y^2")-92/3</f>
        <v>0.47812686982185326</v>
      </c>
      <c r="F324" cm="1">
        <f t="array" ref="F324" xml:space="preserve"> ( mc(100, 3, 4, -1, 1, "EXP(x * sin(y))") ) - 7.39981</f>
        <v>1.3664148155653564</v>
      </c>
      <c r="G324" cm="1">
        <f t="array" ref="G324" xml:space="preserve"> ( mc(500, 3, 4, -1, 1, "EXP(x * sin(y))") ) - 7.39981</f>
        <v>0.23912310648405555</v>
      </c>
      <c r="H324" cm="1">
        <f t="array" ref="H324" xml:space="preserve"> ( mc(1000, 3, 4, -1, 1, "EXP(x * sin(y))") ) - 7.39981</f>
        <v>1.3688458126118519E-2</v>
      </c>
      <c r="J324" cm="1">
        <f t="array" ref="J324" xml:space="preserve"> mc(100, -PI()/2,0,-1, 1, "ln(EXP(x * y))")</f>
        <v>-0.31140709593807464</v>
      </c>
      <c r="K324" cm="1">
        <f t="array" ref="K324" xml:space="preserve"> mc(500, -PI()/2,0,-1, 1, "ln(EXP(x * y))")</f>
        <v>-4.2819892605107844E-2</v>
      </c>
      <c r="L324" cm="1">
        <f t="array" ref="L324" xml:space="preserve"> mc(1000, -PI()/2,0,-1, 1, "ln(EXP(x * y))")</f>
        <v>6.2710318751490982E-2</v>
      </c>
      <c r="N324" cm="1">
        <f t="array" ref="N324" xml:space="preserve"> mc(100, -PI()/2,PI()/2, 0, 1, "sin(cos(x + y))")-1.48235</f>
        <v>4.6675481395954677E-3</v>
      </c>
      <c r="O324" cm="1">
        <f t="array" ref="O324" xml:space="preserve"> mc(500, -PI()/2,PI()/2, 0, 1, "sin(cos(x + y))")-1.48235</f>
        <v>2.8850698914412165E-2</v>
      </c>
      <c r="P324" cm="1">
        <f t="array" ref="P324" xml:space="preserve"> mc(1000, -PI()/2,PI()/2, 0, 1, "sin(cos(x + y))")-1.48235</f>
        <v>-4.3107827522067321E-2</v>
      </c>
    </row>
    <row r="325" spans="1:16" x14ac:dyDescent="0.3">
      <c r="A325">
        <v>295</v>
      </c>
      <c r="B325" cm="1">
        <f t="array" ref="B325" xml:space="preserve"> mc(100, 0, 4, 1, 2, "x^2+y^2")-92/3</f>
        <v>0.43178148833837326</v>
      </c>
      <c r="C325" cm="1">
        <f t="array" ref="C325" xml:space="preserve"> mc(500, 0, 4, 1, 2, "x^2+y^2")-92/3</f>
        <v>0.92464783993506927</v>
      </c>
      <c r="D325" cm="1">
        <f t="array" ref="D325" xml:space="preserve"> mc(1000, 0, 4, 1, 2, "x^2+y^2")-92/3</f>
        <v>0.30013109013015793</v>
      </c>
      <c r="F325" cm="1">
        <f t="array" ref="F325" xml:space="preserve"> ( mc(100, 3, 4, -1, 1, "EXP(x * sin(y))") ) - 7.39981</f>
        <v>-0.73551374151824511</v>
      </c>
      <c r="G325" cm="1">
        <f t="array" ref="G325" xml:space="preserve"> ( mc(500, 3, 4, -1, 1, "EXP(x * sin(y))") ) - 7.39981</f>
        <v>0.81929443069676644</v>
      </c>
      <c r="H325" cm="1">
        <f t="array" ref="H325" xml:space="preserve"> ( mc(1000, 3, 4, -1, 1, "EXP(x * sin(y))") ) - 7.39981</f>
        <v>0.25371926993987692</v>
      </c>
      <c r="J325" cm="1">
        <f t="array" ref="J325" xml:space="preserve"> mc(100, -PI()/2,0,-1, 1, "ln(EXP(x * y))")</f>
        <v>2.4374742998967736E-2</v>
      </c>
      <c r="K325" cm="1">
        <f t="array" ref="K325" xml:space="preserve"> mc(500, -PI()/2,0,-1, 1, "ln(EXP(x * y))")</f>
        <v>-4.5318023802594885E-2</v>
      </c>
      <c r="L325" cm="1">
        <f t="array" ref="L325" xml:space="preserve"> mc(1000, -PI()/2,0,-1, 1, "ln(EXP(x * y))")</f>
        <v>3.347109223103187E-3</v>
      </c>
      <c r="N325" cm="1">
        <f t="array" ref="N325" xml:space="preserve"> mc(100, -PI()/2,PI()/2, 0, 1, "sin(cos(x + y))")-1.48235</f>
        <v>-0.25263060652332148</v>
      </c>
      <c r="O325" cm="1">
        <f t="array" ref="O325" xml:space="preserve"> mc(500, -PI()/2,PI()/2, 0, 1, "sin(cos(x + y))")-1.48235</f>
        <v>2.0716000845266258E-2</v>
      </c>
      <c r="P325" cm="1">
        <f t="array" ref="P325" xml:space="preserve"> mc(1000, -PI()/2,PI()/2, 0, 1, "sin(cos(x + y))")-1.48235</f>
        <v>-1.7617988120921302E-2</v>
      </c>
    </row>
    <row r="326" spans="1:16" x14ac:dyDescent="0.3">
      <c r="A326">
        <v>296</v>
      </c>
      <c r="B326" cm="1">
        <f t="array" ref="B326" xml:space="preserve"> mc(100, 0, 4, 1, 2, "x^2+y^2")-92/3</f>
        <v>-2.9371338545896855</v>
      </c>
      <c r="C326" cm="1">
        <f t="array" ref="C326" xml:space="preserve"> mc(500, 0, 4, 1, 2, "x^2+y^2")-92/3</f>
        <v>-0.72122172914541949</v>
      </c>
      <c r="D326" cm="1">
        <f t="array" ref="D326" xml:space="preserve"> mc(1000, 0, 4, 1, 2, "x^2+y^2")-92/3</f>
        <v>8.9584896570180206E-2</v>
      </c>
      <c r="F326" cm="1">
        <f t="array" ref="F326" xml:space="preserve"> ( mc(100, 3, 4, -1, 1, "EXP(x * sin(y))") ) - 7.39981</f>
        <v>-0.16394693472245603</v>
      </c>
      <c r="G326" cm="1">
        <f t="array" ref="G326" xml:space="preserve"> ( mc(500, 3, 4, -1, 1, "EXP(x * sin(y))") ) - 7.39981</f>
        <v>-0.37779417105426205</v>
      </c>
      <c r="H326" cm="1">
        <f t="array" ref="H326" xml:space="preserve"> ( mc(1000, 3, 4, -1, 1, "EXP(x * sin(y))") ) - 7.39981</f>
        <v>-1.0314935288513611</v>
      </c>
      <c r="J326" cm="1">
        <f t="array" ref="J326" xml:space="preserve"> mc(100, -PI()/2,0,-1, 1, "ln(EXP(x * y))")</f>
        <v>-0.23694446819601328</v>
      </c>
      <c r="K326" cm="1">
        <f t="array" ref="K326" xml:space="preserve"> mc(500, -PI()/2,0,-1, 1, "ln(EXP(x * y))")</f>
        <v>8.9745604746996901E-2</v>
      </c>
      <c r="L326" cm="1">
        <f t="array" ref="L326" xml:space="preserve"> mc(1000, -PI()/2,0,-1, 1, "ln(EXP(x * y))")</f>
        <v>2.1134138450670803E-2</v>
      </c>
      <c r="N326" cm="1">
        <f t="array" ref="N326" xml:space="preserve"> mc(100, -PI()/2,PI()/2, 0, 1, "sin(cos(x + y))")-1.48235</f>
        <v>-8.3934599428341361E-2</v>
      </c>
      <c r="O326" cm="1">
        <f t="array" ref="O326" xml:space="preserve"> mc(500, -PI()/2,PI()/2, 0, 1, "sin(cos(x + y))")-1.48235</f>
        <v>-1.6567938557318751E-2</v>
      </c>
      <c r="P326" cm="1">
        <f t="array" ref="P326" xml:space="preserve"> mc(1000, -PI()/2,PI()/2, 0, 1, "sin(cos(x + y))")-1.48235</f>
        <v>7.8255856091992815E-2</v>
      </c>
    </row>
    <row r="327" spans="1:16" x14ac:dyDescent="0.3">
      <c r="A327">
        <v>297</v>
      </c>
      <c r="B327" cm="1">
        <f t="array" ref="B327" xml:space="preserve"> mc(100, 0, 4, 1, 2, "x^2+y^2")-92/3</f>
        <v>-0.25986114499632507</v>
      </c>
      <c r="C327" cm="1">
        <f t="array" ref="C327" xml:space="preserve"> mc(500, 0, 4, 1, 2, "x^2+y^2")-92/3</f>
        <v>-0.2806177671320107</v>
      </c>
      <c r="D327" cm="1">
        <f t="array" ref="D327" xml:space="preserve"> mc(1000, 0, 4, 1, 2, "x^2+y^2")-92/3</f>
        <v>1.1151039382692574E-2</v>
      </c>
      <c r="F327" cm="1">
        <f t="array" ref="F327" xml:space="preserve"> ( mc(100, 3, 4, -1, 1, "EXP(x * sin(y))") ) - 7.39981</f>
        <v>-1.9213351949552635</v>
      </c>
      <c r="G327" cm="1">
        <f t="array" ref="G327" xml:space="preserve"> ( mc(500, 3, 4, -1, 1, "EXP(x * sin(y))") ) - 7.39981</f>
        <v>8.7006952501035073E-2</v>
      </c>
      <c r="H327" cm="1">
        <f t="array" ref="H327" xml:space="preserve"> ( mc(1000, 3, 4, -1, 1, "EXP(x * sin(y))") ) - 7.39981</f>
        <v>0.37283865942717576</v>
      </c>
      <c r="J327" cm="1">
        <f t="array" ref="J327" xml:space="preserve"> mc(100, -PI()/2,0,-1, 1, "ln(EXP(x * y))")</f>
        <v>-0.21240394917753597</v>
      </c>
      <c r="K327" cm="1">
        <f t="array" ref="K327" xml:space="preserve"> mc(500, -PI()/2,0,-1, 1, "ln(EXP(x * y))")</f>
        <v>6.8897866256028797E-2</v>
      </c>
      <c r="L327" cm="1">
        <f t="array" ref="L327" xml:space="preserve"> mc(1000, -PI()/2,0,-1, 1, "ln(EXP(x * y))")</f>
        <v>-5.4618622484118556E-2</v>
      </c>
      <c r="N327" cm="1">
        <f t="array" ref="N327" xml:space="preserve"> mc(100, -PI()/2,PI()/2, 0, 1, "sin(cos(x + y))")-1.48235</f>
        <v>-6.7506736416802715E-2</v>
      </c>
      <c r="O327" cm="1">
        <f t="array" ref="O327" xml:space="preserve"> mc(500, -PI()/2,PI()/2, 0, 1, "sin(cos(x + y))")-1.48235</f>
        <v>-1.9461766512803624E-2</v>
      </c>
      <c r="P327" cm="1">
        <f t="array" ref="P327" xml:space="preserve"> mc(1000, -PI()/2,PI()/2, 0, 1, "sin(cos(x + y))")-1.48235</f>
        <v>7.4188654829727474E-2</v>
      </c>
    </row>
    <row r="328" spans="1:16" x14ac:dyDescent="0.3">
      <c r="A328">
        <v>298</v>
      </c>
      <c r="B328" cm="1">
        <f t="array" ref="B328" xml:space="preserve"> mc(100, 0, 4, 1, 2, "x^2+y^2")-92/3</f>
        <v>0.68457660588126856</v>
      </c>
      <c r="C328" cm="1">
        <f t="array" ref="C328" xml:space="preserve"> mc(500, 0, 4, 1, 2, "x^2+y^2")-92/3</f>
        <v>-1.0454584567576859</v>
      </c>
      <c r="D328" cm="1">
        <f t="array" ref="D328" xml:space="preserve"> mc(1000, 0, 4, 1, 2, "x^2+y^2")-92/3</f>
        <v>-0.723854124044923</v>
      </c>
      <c r="F328" cm="1">
        <f t="array" ref="F328" xml:space="preserve"> ( mc(100, 3, 4, -1, 1, "EXP(x * sin(y))") ) - 7.39981</f>
        <v>-0.77808989525837902</v>
      </c>
      <c r="G328" cm="1">
        <f t="array" ref="G328" xml:space="preserve"> ( mc(500, 3, 4, -1, 1, "EXP(x * sin(y))") ) - 7.39981</f>
        <v>-0.94405823955387813</v>
      </c>
      <c r="H328" cm="1">
        <f t="array" ref="H328" xml:space="preserve"> ( mc(1000, 3, 4, -1, 1, "EXP(x * sin(y))") ) - 7.39981</f>
        <v>9.1211059098173841E-2</v>
      </c>
      <c r="J328" cm="1">
        <f t="array" ref="J328" xml:space="preserve"> mc(100, -PI()/2,0,-1, 1, "ln(EXP(x * y))")</f>
        <v>0.33344047979300645</v>
      </c>
      <c r="K328" cm="1">
        <f t="array" ref="K328" xml:space="preserve"> mc(500, -PI()/2,0,-1, 1, "ln(EXP(x * y))")</f>
        <v>0.11464536671992713</v>
      </c>
      <c r="L328" cm="1">
        <f t="array" ref="L328" xml:space="preserve"> mc(1000, -PI()/2,0,-1, 1, "ln(EXP(x * y))")</f>
        <v>7.9338285321120736E-3</v>
      </c>
      <c r="N328" cm="1">
        <f t="array" ref="N328" xml:space="preserve"> mc(100, -PI()/2,PI()/2, 0, 1, "sin(cos(x + y))")-1.48235</f>
        <v>-5.1017231895746251E-2</v>
      </c>
      <c r="O328" cm="1">
        <f t="array" ref="O328" xml:space="preserve"> mc(500, -PI()/2,PI()/2, 0, 1, "sin(cos(x + y))")-1.48235</f>
        <v>-6.7661562038913381E-2</v>
      </c>
      <c r="P328" cm="1">
        <f t="array" ref="P328" xml:space="preserve"> mc(1000, -PI()/2,PI()/2, 0, 1, "sin(cos(x + y))")-1.48235</f>
        <v>7.4845572173839692E-2</v>
      </c>
    </row>
    <row r="329" spans="1:16" x14ac:dyDescent="0.3">
      <c r="A329">
        <v>299</v>
      </c>
      <c r="B329" cm="1">
        <f t="array" ref="B329" xml:space="preserve"> mc(100, 0, 4, 1, 2, "x^2+y^2")-92/3</f>
        <v>-2.0356988812167671</v>
      </c>
      <c r="C329" cm="1">
        <f t="array" ref="C329" xml:space="preserve"> mc(500, 0, 4, 1, 2, "x^2+y^2")-92/3</f>
        <v>-0.57536289430127496</v>
      </c>
      <c r="D329" cm="1">
        <f t="array" ref="D329" xml:space="preserve"> mc(1000, 0, 4, 1, 2, "x^2+y^2")-92/3</f>
        <v>-0.52086091804204315</v>
      </c>
      <c r="F329" cm="1">
        <f t="array" ref="F329" xml:space="preserve"> ( mc(100, 3, 4, -1, 1, "EXP(x * sin(y))") ) - 7.39981</f>
        <v>-0.72744317220123111</v>
      </c>
      <c r="G329" cm="1">
        <f t="array" ref="G329" xml:space="preserve"> ( mc(500, 3, 4, -1, 1, "EXP(x * sin(y))") ) - 7.39981</f>
        <v>0.69277510464852021</v>
      </c>
      <c r="H329" cm="1">
        <f t="array" ref="H329" xml:space="preserve"> ( mc(1000, 3, 4, -1, 1, "EXP(x * sin(y))") ) - 7.39981</f>
        <v>-0.61630053887307312</v>
      </c>
      <c r="J329" cm="1">
        <f t="array" ref="J329" xml:space="preserve"> mc(100, -PI()/2,0,-1, 1, "ln(EXP(x * y))")</f>
        <v>-7.8122573328978401E-2</v>
      </c>
      <c r="K329" cm="1">
        <f t="array" ref="K329" xml:space="preserve"> mc(500, -PI()/2,0,-1, 1, "ln(EXP(x * y))")</f>
        <v>2.6807634783800004E-2</v>
      </c>
      <c r="L329" cm="1">
        <f t="array" ref="L329" xml:space="preserve"> mc(1000, -PI()/2,0,-1, 1, "ln(EXP(x * y))")</f>
        <v>4.7233868489278831E-2</v>
      </c>
      <c r="N329" cm="1">
        <f t="array" ref="N329" xml:space="preserve"> mc(100, -PI()/2,PI()/2, 0, 1, "sin(cos(x + y))")-1.48235</f>
        <v>-0.26665475759563839</v>
      </c>
      <c r="O329" cm="1">
        <f t="array" ref="O329" xml:space="preserve"> mc(500, -PI()/2,PI()/2, 0, 1, "sin(cos(x + y))")-1.48235</f>
        <v>3.8049817818680554E-2</v>
      </c>
      <c r="P329" cm="1">
        <f t="array" ref="P329" xml:space="preserve"> mc(1000, -PI()/2,PI()/2, 0, 1, "sin(cos(x + y))")-1.48235</f>
        <v>-6.6444012722840728E-2</v>
      </c>
    </row>
    <row r="330" spans="1:16" x14ac:dyDescent="0.3">
      <c r="A330">
        <v>300</v>
      </c>
      <c r="B330" cm="1">
        <f t="array" ref="B330" xml:space="preserve"> mc(100, 0, 4, 1, 2, "x^2+y^2")-92/3</f>
        <v>-3.7053889224840439</v>
      </c>
      <c r="C330" cm="1">
        <f t="array" ref="C330" xml:space="preserve"> mc(500, 0, 4, 1, 2, "x^2+y^2")-92/3</f>
        <v>0.51236368902733886</v>
      </c>
      <c r="D330" cm="1">
        <f t="array" ref="D330" xml:space="preserve"> mc(1000, 0, 4, 1, 2, "x^2+y^2")-92/3</f>
        <v>-0.10537570603105095</v>
      </c>
      <c r="F330" cm="1">
        <f t="array" ref="F330" xml:space="preserve"> ( mc(100, 3, 4, -1, 1, "EXP(x * sin(y))") ) - 7.39981</f>
        <v>0.79768216558831107</v>
      </c>
      <c r="G330" cm="1">
        <f t="array" ref="G330" xml:space="preserve"> ( mc(500, 3, 4, -1, 1, "EXP(x * sin(y))") ) - 7.39981</f>
        <v>-0.36451288671908255</v>
      </c>
      <c r="H330" cm="1">
        <f t="array" ref="H330" xml:space="preserve"> ( mc(1000, 3, 4, -1, 1, "EXP(x * sin(y))") ) - 7.39981</f>
        <v>0.29250192567984534</v>
      </c>
      <c r="J330" cm="1">
        <f t="array" ref="J330" xml:space="preserve"> mc(100, -PI()/2,0,-1, 1, "ln(EXP(x * y))")</f>
        <v>-0.13736677070197317</v>
      </c>
      <c r="K330" cm="1">
        <f t="array" ref="K330" xml:space="preserve"> mc(500, -PI()/2,0,-1, 1, "ln(EXP(x * y))")</f>
        <v>3.9624869514390905E-2</v>
      </c>
      <c r="L330" cm="1">
        <f t="array" ref="L330" xml:space="preserve"> mc(1000, -PI()/2,0,-1, 1, "ln(EXP(x * y))")</f>
        <v>-4.4898230222672857E-2</v>
      </c>
      <c r="N330" cm="1">
        <f t="array" ref="N330" xml:space="preserve"> mc(100, -PI()/2,PI()/2, 0, 1, "sin(cos(x + y))")-1.48235</f>
        <v>-4.5295861615640476E-2</v>
      </c>
      <c r="O330" cm="1">
        <f t="array" ref="O330" xml:space="preserve"> mc(500, -PI()/2,PI()/2, 0, 1, "sin(cos(x + y))")-1.48235</f>
        <v>7.2388348418698012E-2</v>
      </c>
      <c r="P330" cm="1">
        <f t="array" ref="P330" xml:space="preserve"> mc(1000, -PI()/2,PI()/2, 0, 1, "sin(cos(x + y))")-1.48235</f>
        <v>4.6920739596117977E-2</v>
      </c>
    </row>
    <row r="331" spans="1:16" x14ac:dyDescent="0.3">
      <c r="A331">
        <v>301</v>
      </c>
      <c r="B331" cm="1">
        <f t="array" ref="B331" xml:space="preserve"> mc(100, 0, 4, 1, 2, "x^2+y^2")-92/3</f>
        <v>-0.16962035449996904</v>
      </c>
      <c r="C331" cm="1">
        <f t="array" ref="C331" xml:space="preserve"> mc(500, 0, 4, 1, 2, "x^2+y^2")-92/3</f>
        <v>-0.52231862091570491</v>
      </c>
      <c r="D331" cm="1">
        <f t="array" ref="D331" xml:space="preserve"> mc(1000, 0, 4, 1, 2, "x^2+y^2")-92/3</f>
        <v>0.25226263926775161</v>
      </c>
      <c r="F331" cm="1">
        <f t="array" ref="F331" xml:space="preserve"> ( mc(100, 3, 4, -1, 1, "EXP(x * sin(y))") ) - 7.39981</f>
        <v>1.5211551717846152</v>
      </c>
      <c r="G331" cm="1">
        <f t="array" ref="G331" xml:space="preserve"> ( mc(500, 3, 4, -1, 1, "EXP(x * sin(y))") ) - 7.39981</f>
        <v>0.21420936992426931</v>
      </c>
      <c r="H331" cm="1">
        <f t="array" ref="H331" xml:space="preserve"> ( mc(1000, 3, 4, -1, 1, "EXP(x * sin(y))") ) - 7.39981</f>
        <v>0.7768095663712753</v>
      </c>
      <c r="J331" cm="1">
        <f t="array" ref="J331" xml:space="preserve"> mc(100, -PI()/2,0,-1, 1, "ln(EXP(x * y))")</f>
        <v>0.40648999688699516</v>
      </c>
      <c r="K331" cm="1">
        <f t="array" ref="K331" xml:space="preserve"> mc(500, -PI()/2,0,-1, 1, "ln(EXP(x * y))")</f>
        <v>-2.1424841463539835E-2</v>
      </c>
      <c r="L331" cm="1">
        <f t="array" ref="L331" xml:space="preserve"> mc(1000, -PI()/2,0,-1, 1, "ln(EXP(x * y))")</f>
        <v>-2.1141823783135264E-3</v>
      </c>
      <c r="N331" cm="1">
        <f t="array" ref="N331" xml:space="preserve"> mc(100, -PI()/2,PI()/2, 0, 1, "sin(cos(x + y))")-1.48235</f>
        <v>0.17580580499459897</v>
      </c>
      <c r="O331" cm="1">
        <f t="array" ref="O331" xml:space="preserve"> mc(500, -PI()/2,PI()/2, 0, 1, "sin(cos(x + y))")-1.48235</f>
        <v>1.7873762913731106E-2</v>
      </c>
      <c r="P331" cm="1">
        <f t="array" ref="P331" xml:space="preserve"> mc(1000, -PI()/2,PI()/2, 0, 1, "sin(cos(x + y))")-1.48235</f>
        <v>3.9202777514524279E-4</v>
      </c>
    </row>
    <row r="332" spans="1:16" x14ac:dyDescent="0.3">
      <c r="A332">
        <v>302</v>
      </c>
      <c r="B332" cm="1">
        <f t="array" ref="B332" xml:space="preserve"> mc(100, 0, 4, 1, 2, "x^2+y^2")-92/3</f>
        <v>-0.12722883063788615</v>
      </c>
      <c r="C332" cm="1">
        <f t="array" ref="C332" xml:space="preserve"> mc(500, 0, 4, 1, 2, "x^2+y^2")-92/3</f>
        <v>-3.4967831718642373E-2</v>
      </c>
      <c r="D332" cm="1">
        <f t="array" ref="D332" xml:space="preserve"> mc(1000, 0, 4, 1, 2, "x^2+y^2")-92/3</f>
        <v>1.0291776182622421</v>
      </c>
      <c r="F332" cm="1">
        <f t="array" ref="F332" xml:space="preserve"> ( mc(100, 3, 4, -1, 1, "EXP(x * sin(y))") ) - 7.39981</f>
        <v>-8.7471928355965289E-2</v>
      </c>
      <c r="G332" cm="1">
        <f t="array" ref="G332" xml:space="preserve"> ( mc(500, 3, 4, -1, 1, "EXP(x * sin(y))") ) - 7.39981</f>
        <v>-0.16877301551412494</v>
      </c>
      <c r="H332" cm="1">
        <f t="array" ref="H332" xml:space="preserve"> ( mc(1000, 3, 4, -1, 1, "EXP(x * sin(y))") ) - 7.39981</f>
        <v>-0.72372909883743031</v>
      </c>
      <c r="J332" cm="1">
        <f t="array" ref="J332" xml:space="preserve"> mc(100, -PI()/2,0,-1, 1, "ln(EXP(x * y))")</f>
        <v>1.1417423791655877E-2</v>
      </c>
      <c r="K332" cm="1">
        <f t="array" ref="K332" xml:space="preserve"> mc(500, -PI()/2,0,-1, 1, "ln(EXP(x * y))")</f>
        <v>2.2398904991046152E-2</v>
      </c>
      <c r="L332" cm="1">
        <f t="array" ref="L332" xml:space="preserve"> mc(1000, -PI()/2,0,-1, 1, "ln(EXP(x * y))")</f>
        <v>1.9272155210535914E-2</v>
      </c>
      <c r="N332" cm="1">
        <f t="array" ref="N332" xml:space="preserve"> mc(100, -PI()/2,PI()/2, 0, 1, "sin(cos(x + y))")-1.48235</f>
        <v>-0.17200398928852945</v>
      </c>
      <c r="O332" cm="1">
        <f t="array" ref="O332" xml:space="preserve"> mc(500, -PI()/2,PI()/2, 0, 1, "sin(cos(x + y))")-1.48235</f>
        <v>5.3499508320387079E-4</v>
      </c>
      <c r="P332" cm="1">
        <f t="array" ref="P332" xml:space="preserve"> mc(1000, -PI()/2,PI()/2, 0, 1, "sin(cos(x + y))")-1.48235</f>
        <v>1.729558231409678E-2</v>
      </c>
    </row>
    <row r="333" spans="1:16" x14ac:dyDescent="0.3">
      <c r="A333">
        <v>303</v>
      </c>
      <c r="B333" cm="1">
        <f t="array" ref="B333" xml:space="preserve"> mc(100, 0, 4, 1, 2, "x^2+y^2")-92/3</f>
        <v>-7.1554284147030245E-2</v>
      </c>
      <c r="C333" cm="1">
        <f t="array" ref="C333" xml:space="preserve"> mc(500, 0, 4, 1, 2, "x^2+y^2")-92/3</f>
        <v>-0.69793842253181637</v>
      </c>
      <c r="D333" cm="1">
        <f t="array" ref="D333" xml:space="preserve"> mc(1000, 0, 4, 1, 2, "x^2+y^2")-92/3</f>
        <v>3.1349668112241602E-2</v>
      </c>
      <c r="F333" cm="1">
        <f t="array" ref="F333" xml:space="preserve"> ( mc(100, 3, 4, -1, 1, "EXP(x * sin(y))") ) - 7.39981</f>
        <v>-1.2191448533696887</v>
      </c>
      <c r="G333" cm="1">
        <f t="array" ref="G333" xml:space="preserve"> ( mc(500, 3, 4, -1, 1, "EXP(x * sin(y))") ) - 7.39981</f>
        <v>5.1580746672119204E-2</v>
      </c>
      <c r="H333" cm="1">
        <f t="array" ref="H333" xml:space="preserve"> ( mc(1000, 3, 4, -1, 1, "EXP(x * sin(y))") ) - 7.39981</f>
        <v>0.29151467354128613</v>
      </c>
      <c r="J333" cm="1">
        <f t="array" ref="J333" xml:space="preserve"> mc(100, -PI()/2,0,-1, 1, "ln(EXP(x * y))")</f>
        <v>-0.11230400819720875</v>
      </c>
      <c r="K333" cm="1">
        <f t="array" ref="K333" xml:space="preserve"> mc(500, -PI()/2,0,-1, 1, "ln(EXP(x * y))")</f>
        <v>3.2790460716455701E-2</v>
      </c>
      <c r="L333" cm="1">
        <f t="array" ref="L333" xml:space="preserve"> mc(1000, -PI()/2,0,-1, 1, "ln(EXP(x * y))")</f>
        <v>3.7417935457116899E-2</v>
      </c>
      <c r="N333" cm="1">
        <f t="array" ref="N333" xml:space="preserve"> mc(100, -PI()/2,PI()/2, 0, 1, "sin(cos(x + y))")-1.48235</f>
        <v>5.51537168065801E-2</v>
      </c>
      <c r="O333" cm="1">
        <f t="array" ref="O333" xml:space="preserve"> mc(500, -PI()/2,PI()/2, 0, 1, "sin(cos(x + y))")-1.48235</f>
        <v>4.903629584254432E-2</v>
      </c>
      <c r="P333" cm="1">
        <f t="array" ref="P333" xml:space="preserve"> mc(1000, -PI()/2,PI()/2, 0, 1, "sin(cos(x + y))")-1.48235</f>
        <v>4.6842732287222244E-3</v>
      </c>
    </row>
    <row r="334" spans="1:16" x14ac:dyDescent="0.3">
      <c r="A334">
        <v>304</v>
      </c>
      <c r="B334" cm="1">
        <f t="array" ref="B334" xml:space="preserve"> mc(100, 0, 4, 1, 2, "x^2+y^2")-92/3</f>
        <v>3.2488850832804239</v>
      </c>
      <c r="C334" cm="1">
        <f t="array" ref="C334" xml:space="preserve"> mc(500, 0, 4, 1, 2, "x^2+y^2")-92/3</f>
        <v>-0.73928585555925963</v>
      </c>
      <c r="D334" cm="1">
        <f t="array" ref="D334" xml:space="preserve"> mc(1000, 0, 4, 1, 2, "x^2+y^2")-92/3</f>
        <v>-2.0196493459589959E-2</v>
      </c>
      <c r="F334" cm="1">
        <f t="array" ref="F334" xml:space="preserve"> ( mc(100, 3, 4, -1, 1, "EXP(x * sin(y))") ) - 7.39981</f>
        <v>-0.43561847655350228</v>
      </c>
      <c r="G334" cm="1">
        <f t="array" ref="G334" xml:space="preserve"> ( mc(500, 3, 4, -1, 1, "EXP(x * sin(y))") ) - 7.39981</f>
        <v>-1.3441243917158019</v>
      </c>
      <c r="H334" cm="1">
        <f t="array" ref="H334" xml:space="preserve"> ( mc(1000, 3, 4, -1, 1, "EXP(x * sin(y))") ) - 7.39981</f>
        <v>-0.24842721436695125</v>
      </c>
      <c r="J334" cm="1">
        <f t="array" ref="J334" xml:space="preserve"> mc(100, -PI()/2,0,-1, 1, "ln(EXP(x * y))")</f>
        <v>0.10080736815126948</v>
      </c>
      <c r="K334" cm="1">
        <f t="array" ref="K334" xml:space="preserve"> mc(500, -PI()/2,0,-1, 1, "ln(EXP(x * y))")</f>
        <v>7.5896631405661816E-2</v>
      </c>
      <c r="L334" cm="1">
        <f t="array" ref="L334" xml:space="preserve"> mc(1000, -PI()/2,0,-1, 1, "ln(EXP(x * y))")</f>
        <v>-5.3868866141063614E-2</v>
      </c>
      <c r="N334" cm="1">
        <f t="array" ref="N334" xml:space="preserve"> mc(100, -PI()/2,PI()/2, 0, 1, "sin(cos(x + y))")-1.48235</f>
        <v>-9.5747848363467059E-2</v>
      </c>
      <c r="O334" cm="1">
        <f t="array" ref="O334" xml:space="preserve"> mc(500, -PI()/2,PI()/2, 0, 1, "sin(cos(x + y))")-1.48235</f>
        <v>6.8679583895803864E-2</v>
      </c>
      <c r="P334" cm="1">
        <f t="array" ref="P334" xml:space="preserve"> mc(1000, -PI()/2,PI()/2, 0, 1, "sin(cos(x + y))")-1.48235</f>
        <v>-5.1308001335752529E-3</v>
      </c>
    </row>
    <row r="335" spans="1:16" x14ac:dyDescent="0.3">
      <c r="A335">
        <v>305</v>
      </c>
      <c r="B335" cm="1">
        <f t="array" ref="B335" xml:space="preserve"> mc(100, 0, 4, 1, 2, "x^2+y^2")-92/3</f>
        <v>2.7395689093982263</v>
      </c>
      <c r="C335" cm="1">
        <f t="array" ref="C335" xml:space="preserve"> mc(500, 0, 4, 1, 2, "x^2+y^2")-92/3</f>
        <v>-1.1674653410923703</v>
      </c>
      <c r="D335" cm="1">
        <f t="array" ref="D335" xml:space="preserve"> mc(1000, 0, 4, 1, 2, "x^2+y^2")-92/3</f>
        <v>-0.17598170630258991</v>
      </c>
      <c r="F335" cm="1">
        <f t="array" ref="F335" xml:space="preserve"> ( mc(100, 3, 4, -1, 1, "EXP(x * sin(y))") ) - 7.39981</f>
        <v>0.69368347105871564</v>
      </c>
      <c r="G335" cm="1">
        <f t="array" ref="G335" xml:space="preserve"> ( mc(500, 3, 4, -1, 1, "EXP(x * sin(y))") ) - 7.39981</f>
        <v>0.26180990669184023</v>
      </c>
      <c r="H335" cm="1">
        <f t="array" ref="H335" xml:space="preserve"> ( mc(1000, 3, 4, -1, 1, "EXP(x * sin(y))") ) - 7.39981</f>
        <v>-0.13528928933741025</v>
      </c>
      <c r="J335" cm="1">
        <f t="array" ref="J335" xml:space="preserve"> mc(100, -PI()/2,0,-1, 1, "ln(EXP(x * y))")</f>
        <v>6.5848543951575009E-2</v>
      </c>
      <c r="K335" cm="1">
        <f t="array" ref="K335" xml:space="preserve"> mc(500, -PI()/2,0,-1, 1, "ln(EXP(x * y))")</f>
        <v>5.5669518936732956E-2</v>
      </c>
      <c r="L335" cm="1">
        <f t="array" ref="L335" xml:space="preserve"> mc(1000, -PI()/2,0,-1, 1, "ln(EXP(x * y))")</f>
        <v>2.2294102690916954E-3</v>
      </c>
      <c r="N335" cm="1">
        <f t="array" ref="N335" xml:space="preserve"> mc(100, -PI()/2,PI()/2, 0, 1, "sin(cos(x + y))")-1.48235</f>
        <v>5.2756459622581575E-2</v>
      </c>
      <c r="O335" cm="1">
        <f t="array" ref="O335" xml:space="preserve"> mc(500, -PI()/2,PI()/2, 0, 1, "sin(cos(x + y))")-1.48235</f>
        <v>-4.9266740031648437E-2</v>
      </c>
      <c r="P335" cm="1">
        <f t="array" ref="P335" xml:space="preserve"> mc(1000, -PI()/2,PI()/2, 0, 1, "sin(cos(x + y))")-1.48235</f>
        <v>2.4920308330314889E-2</v>
      </c>
    </row>
    <row r="336" spans="1:16" x14ac:dyDescent="0.3">
      <c r="A336">
        <v>306</v>
      </c>
      <c r="B336" cm="1">
        <f t="array" ref="B336" xml:space="preserve"> mc(100, 0, 4, 1, 2, "x^2+y^2")-92/3</f>
        <v>-2.4981362007676644</v>
      </c>
      <c r="C336" cm="1">
        <f t="array" ref="C336" xml:space="preserve"> mc(500, 0, 4, 1, 2, "x^2+y^2")-92/3</f>
        <v>1.443894563306916</v>
      </c>
      <c r="D336" cm="1">
        <f t="array" ref="D336" xml:space="preserve"> mc(1000, 0, 4, 1, 2, "x^2+y^2")-92/3</f>
        <v>1.0764924134998459</v>
      </c>
      <c r="F336" cm="1">
        <f t="array" ref="F336" xml:space="preserve"> ( mc(100, 3, 4, -1, 1, "EXP(x * sin(y))") ) - 7.39981</f>
        <v>1.2155119037040745</v>
      </c>
      <c r="G336" cm="1">
        <f t="array" ref="G336" xml:space="preserve"> ( mc(500, 3, 4, -1, 1, "EXP(x * sin(y))") ) - 7.39981</f>
        <v>-0.39194326023473192</v>
      </c>
      <c r="H336" cm="1">
        <f t="array" ref="H336" xml:space="preserve"> ( mc(1000, 3, 4, -1, 1, "EXP(x * sin(y))") ) - 7.39981</f>
        <v>-0.75702048566291769</v>
      </c>
      <c r="J336" cm="1">
        <f t="array" ref="J336" xml:space="preserve"> mc(100, -PI()/2,0,-1, 1, "ln(EXP(x * y))")</f>
        <v>-0.11511686578264571</v>
      </c>
      <c r="K336" cm="1">
        <f t="array" ref="K336" xml:space="preserve"> mc(500, -PI()/2,0,-1, 1, "ln(EXP(x * y))")</f>
        <v>0.11194966650337103</v>
      </c>
      <c r="L336" cm="1">
        <f t="array" ref="L336" xml:space="preserve"> mc(1000, -PI()/2,0,-1, 1, "ln(EXP(x * y))")</f>
        <v>-3.2824039465839408E-2</v>
      </c>
      <c r="N336" cm="1">
        <f t="array" ref="N336" xml:space="preserve"> mc(100, -PI()/2,PI()/2, 0, 1, "sin(cos(x + y))")-1.48235</f>
        <v>-5.9622777949521977E-2</v>
      </c>
      <c r="O336" cm="1">
        <f t="array" ref="O336" xml:space="preserve"> mc(500, -PI()/2,PI()/2, 0, 1, "sin(cos(x + y))")-1.48235</f>
        <v>2.9653059975896179E-2</v>
      </c>
      <c r="P336" cm="1">
        <f t="array" ref="P336" xml:space="preserve"> mc(1000, -PI()/2,PI()/2, 0, 1, "sin(cos(x + y))")-1.48235</f>
        <v>-2.195692676928207E-2</v>
      </c>
    </row>
    <row r="337" spans="1:16" x14ac:dyDescent="0.3">
      <c r="A337">
        <v>307</v>
      </c>
      <c r="B337" cm="1">
        <f t="array" ref="B337" xml:space="preserve"> mc(100, 0, 4, 1, 2, "x^2+y^2")-92/3</f>
        <v>-0.65183511602572608</v>
      </c>
      <c r="C337" cm="1">
        <f t="array" ref="C337" xml:space="preserve"> mc(500, 0, 4, 1, 2, "x^2+y^2")-92/3</f>
        <v>-0.81712235944609191</v>
      </c>
      <c r="D337" cm="1">
        <f t="array" ref="D337" xml:space="preserve"> mc(1000, 0, 4, 1, 2, "x^2+y^2")-92/3</f>
        <v>0.59404092890499172</v>
      </c>
      <c r="F337" cm="1">
        <f t="array" ref="F337" xml:space="preserve"> ( mc(100, 3, 4, -1, 1, "EXP(x * sin(y))") ) - 7.39981</f>
        <v>1.098431601227265</v>
      </c>
      <c r="G337" cm="1">
        <f t="array" ref="G337" xml:space="preserve"> ( mc(500, 3, 4, -1, 1, "EXP(x * sin(y))") ) - 7.39981</f>
        <v>-0.28097675124419208</v>
      </c>
      <c r="H337" cm="1">
        <f t="array" ref="H337" xml:space="preserve"> ( mc(1000, 3, 4, -1, 1, "EXP(x * sin(y))") ) - 7.39981</f>
        <v>-0.56005264881887928</v>
      </c>
      <c r="J337" cm="1">
        <f t="array" ref="J337" xml:space="preserve"> mc(100, -PI()/2,0,-1, 1, "ln(EXP(x * y))")</f>
        <v>1.0664195049059556E-2</v>
      </c>
      <c r="K337" cm="1">
        <f t="array" ref="K337" xml:space="preserve"> mc(500, -PI()/2,0,-1, 1, "ln(EXP(x * y))")</f>
        <v>-1.5088127442499271E-2</v>
      </c>
      <c r="L337" cm="1">
        <f t="array" ref="L337" xml:space="preserve"> mc(1000, -PI()/2,0,-1, 1, "ln(EXP(x * y))")</f>
        <v>6.0869436174640551E-2</v>
      </c>
      <c r="N337" cm="1">
        <f t="array" ref="N337" xml:space="preserve"> mc(100, -PI()/2,PI()/2, 0, 1, "sin(cos(x + y))")-1.48235</f>
        <v>-0.14020807315522599</v>
      </c>
      <c r="O337" cm="1">
        <f t="array" ref="O337" xml:space="preserve"> mc(500, -PI()/2,PI()/2, 0, 1, "sin(cos(x + y))")-1.48235</f>
        <v>-3.1096846952306301E-2</v>
      </c>
      <c r="P337" cm="1">
        <f t="array" ref="P337" xml:space="preserve"> mc(1000, -PI()/2,PI()/2, 0, 1, "sin(cos(x + y))")-1.48235</f>
        <v>6.5773372184786849E-2</v>
      </c>
    </row>
    <row r="338" spans="1:16" x14ac:dyDescent="0.3">
      <c r="A338">
        <v>308</v>
      </c>
      <c r="B338" cm="1">
        <f t="array" ref="B338" xml:space="preserve"> mc(100, 0, 4, 1, 2, "x^2+y^2")-92/3</f>
        <v>2.2528103609040961</v>
      </c>
      <c r="C338" cm="1">
        <f t="array" ref="C338" xml:space="preserve"> mc(500, 0, 4, 1, 2, "x^2+y^2")-92/3</f>
        <v>9.8895018432408222E-2</v>
      </c>
      <c r="D338" cm="1">
        <f t="array" ref="D338" xml:space="preserve"> mc(1000, 0, 4, 1, 2, "x^2+y^2")-92/3</f>
        <v>0.61962699613023275</v>
      </c>
      <c r="F338" cm="1">
        <f t="array" ref="F338" xml:space="preserve"> ( mc(100, 3, 4, -1, 1, "EXP(x * sin(y))") ) - 7.39981</f>
        <v>-1.7926209226136773</v>
      </c>
      <c r="G338" cm="1">
        <f t="array" ref="G338" xml:space="preserve"> ( mc(500, 3, 4, -1, 1, "EXP(x * sin(y))") ) - 7.39981</f>
        <v>0.15007190833911022</v>
      </c>
      <c r="H338" cm="1">
        <f t="array" ref="H338" xml:space="preserve"> ( mc(1000, 3, 4, -1, 1, "EXP(x * sin(y))") ) - 7.39981</f>
        <v>-1.068562764220804E-2</v>
      </c>
      <c r="J338" cm="1">
        <f t="array" ref="J338" xml:space="preserve"> mc(100, -PI()/2,0,-1, 1, "ln(EXP(x * y))")</f>
        <v>-3.8720787296797683E-2</v>
      </c>
      <c r="K338" cm="1">
        <f t="array" ref="K338" xml:space="preserve"> mc(500, -PI()/2,0,-1, 1, "ln(EXP(x * y))")</f>
        <v>0.12149636642721702</v>
      </c>
      <c r="L338" cm="1">
        <f t="array" ref="L338" xml:space="preserve"> mc(1000, -PI()/2,0,-1, 1, "ln(EXP(x * y))")</f>
        <v>-3.3235487055154202E-2</v>
      </c>
      <c r="N338" cm="1">
        <f t="array" ref="N338" xml:space="preserve"> mc(100, -PI()/2,PI()/2, 0, 1, "sin(cos(x + y))")-1.48235</f>
        <v>-0.13007232550868553</v>
      </c>
      <c r="O338" cm="1">
        <f t="array" ref="O338" xml:space="preserve"> mc(500, -PI()/2,PI()/2, 0, 1, "sin(cos(x + y))")-1.48235</f>
        <v>-2.8767739559458994E-2</v>
      </c>
      <c r="P338" cm="1">
        <f t="array" ref="P338" xml:space="preserve"> mc(1000, -PI()/2,PI()/2, 0, 1, "sin(cos(x + y))")-1.48235</f>
        <v>-4.9205949573468244E-2</v>
      </c>
    </row>
    <row r="339" spans="1:16" x14ac:dyDescent="0.3">
      <c r="A339">
        <v>309</v>
      </c>
      <c r="B339" cm="1">
        <f t="array" ref="B339" xml:space="preserve"> mc(100, 0, 4, 1, 2, "x^2+y^2")-92/3</f>
        <v>-0.23138226171805343</v>
      </c>
      <c r="C339" cm="1">
        <f t="array" ref="C339" xml:space="preserve"> mc(500, 0, 4, 1, 2, "x^2+y^2")-92/3</f>
        <v>-0.27531995312358504</v>
      </c>
      <c r="D339" cm="1">
        <f t="array" ref="D339" xml:space="preserve"> mc(1000, 0, 4, 1, 2, "x^2+y^2")-92/3</f>
        <v>0.99752356905354134</v>
      </c>
      <c r="F339" cm="1">
        <f t="array" ref="F339" xml:space="preserve"> ( mc(100, 3, 4, -1, 1, "EXP(x * sin(y))") ) - 7.39981</f>
        <v>0.67330788638257033</v>
      </c>
      <c r="G339" cm="1">
        <f t="array" ref="G339" xml:space="preserve"> ( mc(500, 3, 4, -1, 1, "EXP(x * sin(y))") ) - 7.39981</f>
        <v>0.29506846514879825</v>
      </c>
      <c r="H339" cm="1">
        <f t="array" ref="H339" xml:space="preserve"> ( mc(1000, 3, 4, -1, 1, "EXP(x * sin(y))") ) - 7.39981</f>
        <v>0.4584728177007289</v>
      </c>
      <c r="J339" cm="1">
        <f t="array" ref="J339" xml:space="preserve"> mc(100, -PI()/2,0,-1, 1, "ln(EXP(x * y))")</f>
        <v>-6.1277577276118662E-2</v>
      </c>
      <c r="K339" cm="1">
        <f t="array" ref="K339" xml:space="preserve"> mc(500, -PI()/2,0,-1, 1, "ln(EXP(x * y))")</f>
        <v>-3.608537484852576E-2</v>
      </c>
      <c r="L339" cm="1">
        <f t="array" ref="L339" xml:space="preserve"> mc(1000, -PI()/2,0,-1, 1, "ln(EXP(x * y))")</f>
        <v>0.1013008297179001</v>
      </c>
      <c r="N339" cm="1">
        <f t="array" ref="N339" xml:space="preserve"> mc(100, -PI()/2,PI()/2, 0, 1, "sin(cos(x + y))")-1.48235</f>
        <v>-7.4249941648184548E-2</v>
      </c>
      <c r="O339" cm="1">
        <f t="array" ref="O339" xml:space="preserve"> mc(500, -PI()/2,PI()/2, 0, 1, "sin(cos(x + y))")-1.48235</f>
        <v>1.8747011918752943E-2</v>
      </c>
      <c r="P339" cm="1">
        <f t="array" ref="P339" xml:space="preserve"> mc(1000, -PI()/2,PI()/2, 0, 1, "sin(cos(x + y))")-1.48235</f>
        <v>-4.4249658047952334E-3</v>
      </c>
    </row>
    <row r="340" spans="1:16" x14ac:dyDescent="0.3">
      <c r="A340">
        <v>310</v>
      </c>
      <c r="B340" cm="1">
        <f t="array" ref="B340" xml:space="preserve"> mc(100, 0, 4, 1, 2, "x^2+y^2")-92/3</f>
        <v>-1.779342253595928E-2</v>
      </c>
      <c r="C340" cm="1">
        <f t="array" ref="C340" xml:space="preserve"> mc(500, 0, 4, 1, 2, "x^2+y^2")-92/3</f>
        <v>0.10248003600533551</v>
      </c>
      <c r="D340" cm="1">
        <f t="array" ref="D340" xml:space="preserve"> mc(1000, 0, 4, 1, 2, "x^2+y^2")-92/3</f>
        <v>-5.422575042810962E-3</v>
      </c>
      <c r="F340" cm="1">
        <f t="array" ref="F340" xml:space="preserve"> ( mc(100, 3, 4, -1, 1, "EXP(x * sin(y))") ) - 7.39981</f>
        <v>-0.57093831601255562</v>
      </c>
      <c r="G340" cm="1">
        <f t="array" ref="G340" xml:space="preserve"> ( mc(500, 3, 4, -1, 1, "EXP(x * sin(y))") ) - 7.39981</f>
        <v>-0.3732241081390324</v>
      </c>
      <c r="H340" cm="1">
        <f t="array" ref="H340" xml:space="preserve"> ( mc(1000, 3, 4, -1, 1, "EXP(x * sin(y))") ) - 7.39981</f>
        <v>-7.6593917980476434E-3</v>
      </c>
      <c r="J340" cm="1">
        <f t="array" ref="J340" xml:space="preserve"> mc(100, -PI()/2,0,-1, 1, "ln(EXP(x * y))")</f>
        <v>7.9080522814552009E-2</v>
      </c>
      <c r="K340" cm="1">
        <f t="array" ref="K340" xml:space="preserve"> mc(500, -PI()/2,0,-1, 1, "ln(EXP(x * y))")</f>
        <v>-2.5075676673691826E-2</v>
      </c>
      <c r="L340" cm="1">
        <f t="array" ref="L340" xml:space="preserve"> mc(1000, -PI()/2,0,-1, 1, "ln(EXP(x * y))")</f>
        <v>-9.0657653403138829E-3</v>
      </c>
      <c r="N340" cm="1">
        <f t="array" ref="N340" xml:space="preserve"> mc(100, -PI()/2,PI()/2, 0, 1, "sin(cos(x + y))")-1.48235</f>
        <v>9.6928860942023798E-2</v>
      </c>
      <c r="O340" cm="1">
        <f t="array" ref="O340" xml:space="preserve"> mc(500, -PI()/2,PI()/2, 0, 1, "sin(cos(x + y))")-1.48235</f>
        <v>6.0937115416199727E-2</v>
      </c>
      <c r="P340" cm="1">
        <f t="array" ref="P340" xml:space="preserve"> mc(1000, -PI()/2,PI()/2, 0, 1, "sin(cos(x + y))")-1.48235</f>
        <v>2.0916996895038897E-2</v>
      </c>
    </row>
    <row r="341" spans="1:16" x14ac:dyDescent="0.3">
      <c r="A341">
        <v>311</v>
      </c>
      <c r="B341" cm="1">
        <f t="array" ref="B341" xml:space="preserve"> mc(100, 0, 4, 1, 2, "x^2+y^2")-92/3</f>
        <v>1.9221329734245209</v>
      </c>
      <c r="C341" cm="1">
        <f t="array" ref="C341" xml:space="preserve"> mc(500, 0, 4, 1, 2, "x^2+y^2")-92/3</f>
        <v>-0.80664460857830278</v>
      </c>
      <c r="D341" cm="1">
        <f t="array" ref="D341" xml:space="preserve"> mc(1000, 0, 4, 1, 2, "x^2+y^2")-92/3</f>
        <v>0.5672616559663517</v>
      </c>
      <c r="F341" cm="1">
        <f t="array" ref="F341" xml:space="preserve"> ( mc(100, 3, 4, -1, 1, "EXP(x * sin(y))") ) - 7.39981</f>
        <v>-0.11580603263271438</v>
      </c>
      <c r="G341" cm="1">
        <f t="array" ref="G341" xml:space="preserve"> ( mc(500, 3, 4, -1, 1, "EXP(x * sin(y))") ) - 7.39981</f>
        <v>0.535127343457102</v>
      </c>
      <c r="H341" cm="1">
        <f t="array" ref="H341" xml:space="preserve"> ( mc(1000, 3, 4, -1, 1, "EXP(x * sin(y))") ) - 7.39981</f>
        <v>0.78673739320610814</v>
      </c>
      <c r="J341" cm="1">
        <f t="array" ref="J341" xml:space="preserve"> mc(100, -PI()/2,0,-1, 1, "ln(EXP(x * y))")</f>
        <v>-8.0869970116556833E-2</v>
      </c>
      <c r="K341" cm="1">
        <f t="array" ref="K341" xml:space="preserve"> mc(500, -PI()/2,0,-1, 1, "ln(EXP(x * y))")</f>
        <v>9.774052806908777E-2</v>
      </c>
      <c r="L341" cm="1">
        <f t="array" ref="L341" xml:space="preserve"> mc(1000, -PI()/2,0,-1, 1, "ln(EXP(x * y))")</f>
        <v>-3.1425359704492679E-2</v>
      </c>
      <c r="N341" cm="1">
        <f t="array" ref="N341" xml:space="preserve"> mc(100, -PI()/2,PI()/2, 0, 1, "sin(cos(x + y))")-1.48235</f>
        <v>-9.9376947003729121E-2</v>
      </c>
      <c r="O341" cm="1">
        <f t="array" ref="O341" xml:space="preserve"> mc(500, -PI()/2,PI()/2, 0, 1, "sin(cos(x + y))")-1.48235</f>
        <v>5.3339610374608881E-2</v>
      </c>
      <c r="P341" cm="1">
        <f t="array" ref="P341" xml:space="preserve"> mc(1000, -PI()/2,PI()/2, 0, 1, "sin(cos(x + y))")-1.48235</f>
        <v>2.6705136210297908E-2</v>
      </c>
    </row>
    <row r="342" spans="1:16" x14ac:dyDescent="0.3">
      <c r="A342">
        <v>312</v>
      </c>
      <c r="B342" cm="1">
        <f t="array" ref="B342" xml:space="preserve"> mc(100, 0, 4, 1, 2, "x^2+y^2")-92/3</f>
        <v>-0.17604944137969269</v>
      </c>
      <c r="C342" cm="1">
        <f t="array" ref="C342" xml:space="preserve"> mc(500, 0, 4, 1, 2, "x^2+y^2")-92/3</f>
        <v>-0.78354773943587475</v>
      </c>
      <c r="D342" cm="1">
        <f t="array" ref="D342" xml:space="preserve"> mc(1000, 0, 4, 1, 2, "x^2+y^2")-92/3</f>
        <v>-0.38460578179285321</v>
      </c>
      <c r="F342" cm="1">
        <f t="array" ref="F342" xml:space="preserve"> ( mc(100, 3, 4, -1, 1, "EXP(x * sin(y))") ) - 7.39981</f>
        <v>0.87859900516137657</v>
      </c>
      <c r="G342" cm="1">
        <f t="array" ref="G342" xml:space="preserve"> ( mc(500, 3, 4, -1, 1, "EXP(x * sin(y))") ) - 7.39981</f>
        <v>0.15625781614933221</v>
      </c>
      <c r="H342" cm="1">
        <f t="array" ref="H342" xml:space="preserve"> ( mc(1000, 3, 4, -1, 1, "EXP(x * sin(y))") ) - 7.39981</f>
        <v>0.43992533852522087</v>
      </c>
      <c r="J342" cm="1">
        <f t="array" ref="J342" xml:space="preserve"> mc(100, -PI()/2,0,-1, 1, "ln(EXP(x * y))")</f>
        <v>2.4664385125300683E-2</v>
      </c>
      <c r="K342" cm="1">
        <f t="array" ref="K342" xml:space="preserve"> mc(500, -PI()/2,0,-1, 1, "ln(EXP(x * y))")</f>
        <v>5.2646348708856421E-2</v>
      </c>
      <c r="L342" cm="1">
        <f t="array" ref="L342" xml:space="preserve"> mc(1000, -PI()/2,0,-1, 1, "ln(EXP(x * y))")</f>
        <v>-2.9101737651009551E-2</v>
      </c>
      <c r="N342" cm="1">
        <f t="array" ref="N342" xml:space="preserve"> mc(100, -PI()/2,PI()/2, 0, 1, "sin(cos(x + y))")-1.48235</f>
        <v>-7.8989520975669691E-4</v>
      </c>
      <c r="O342" cm="1">
        <f t="array" ref="O342" xml:space="preserve"> mc(500, -PI()/2,PI()/2, 0, 1, "sin(cos(x + y))")-1.48235</f>
        <v>2.3732300802398409E-2</v>
      </c>
      <c r="P342" cm="1">
        <f t="array" ref="P342" xml:space="preserve"> mc(1000, -PI()/2,PI()/2, 0, 1, "sin(cos(x + y))")-1.48235</f>
        <v>1.2531324812873557E-2</v>
      </c>
    </row>
    <row r="343" spans="1:16" x14ac:dyDescent="0.3">
      <c r="A343">
        <v>313</v>
      </c>
      <c r="B343" cm="1">
        <f t="array" ref="B343" xml:space="preserve"> mc(100, 0, 4, 1, 2, "x^2+y^2")-92/3</f>
        <v>2.3640070876427153</v>
      </c>
      <c r="C343" cm="1">
        <f t="array" ref="C343" xml:space="preserve"> mc(500, 0, 4, 1, 2, "x^2+y^2")-92/3</f>
        <v>-1.5263564785230166</v>
      </c>
      <c r="D343" cm="1">
        <f t="array" ref="D343" xml:space="preserve"> mc(1000, 0, 4, 1, 2, "x^2+y^2")-92/3</f>
        <v>-0.38146143290244439</v>
      </c>
      <c r="F343" cm="1">
        <f t="array" ref="F343" xml:space="preserve"> ( mc(100, 3, 4, -1, 1, "EXP(x * sin(y))") ) - 7.39981</f>
        <v>-0.46800113474062943</v>
      </c>
      <c r="G343" cm="1">
        <f t="array" ref="G343" xml:space="preserve"> ( mc(500, 3, 4, -1, 1, "EXP(x * sin(y))") ) - 7.39981</f>
        <v>-0.73141468469487858</v>
      </c>
      <c r="H343" cm="1">
        <f t="array" ref="H343" xml:space="preserve"> ( mc(1000, 3, 4, -1, 1, "EXP(x * sin(y))") ) - 7.39981</f>
        <v>0.41574680304479283</v>
      </c>
      <c r="J343" cm="1">
        <f t="array" ref="J343" xml:space="preserve"> mc(100, -PI()/2,0,-1, 1, "ln(EXP(x * y))")</f>
        <v>0.12144697440182668</v>
      </c>
      <c r="K343" cm="1">
        <f t="array" ref="K343" xml:space="preserve"> mc(500, -PI()/2,0,-1, 1, "ln(EXP(x * y))")</f>
        <v>-6.7219275791668712E-2</v>
      </c>
      <c r="L343" cm="1">
        <f t="array" ref="L343" xml:space="preserve"> mc(1000, -PI()/2,0,-1, 1, "ln(EXP(x * y))")</f>
        <v>-1.6137231331839995E-2</v>
      </c>
      <c r="N343" cm="1">
        <f t="array" ref="N343" xml:space="preserve"> mc(100, -PI()/2,PI()/2, 0, 1, "sin(cos(x + y))")-1.48235</f>
        <v>-0.1703506430576025</v>
      </c>
      <c r="O343" cm="1">
        <f t="array" ref="O343" xml:space="preserve"> mc(500, -PI()/2,PI()/2, 0, 1, "sin(cos(x + y))")-1.48235</f>
        <v>5.8581319476544769E-2</v>
      </c>
      <c r="P343" cm="1">
        <f t="array" ref="P343" xml:space="preserve"> mc(1000, -PI()/2,PI()/2, 0, 1, "sin(cos(x + y))")-1.48235</f>
        <v>-1.1963927754436998E-2</v>
      </c>
    </row>
    <row r="344" spans="1:16" x14ac:dyDescent="0.3">
      <c r="A344">
        <v>314</v>
      </c>
      <c r="B344" cm="1">
        <f t="array" ref="B344" xml:space="preserve"> mc(100, 0, 4, 1, 2, "x^2+y^2")-92/3</f>
        <v>-0.69682638853833723</v>
      </c>
      <c r="C344" cm="1">
        <f t="array" ref="C344" xml:space="preserve"> mc(500, 0, 4, 1, 2, "x^2+y^2")-92/3</f>
        <v>-0.72888480292384727</v>
      </c>
      <c r="D344" cm="1">
        <f t="array" ref="D344" xml:space="preserve"> mc(1000, 0, 4, 1, 2, "x^2+y^2")-92/3</f>
        <v>2.9857467217340172E-2</v>
      </c>
      <c r="F344" cm="1">
        <f t="array" ref="F344" xml:space="preserve"> ( mc(100, 3, 4, -1, 1, "EXP(x * sin(y))") ) - 7.39981</f>
        <v>-0.36448794655293515</v>
      </c>
      <c r="G344" cm="1">
        <f t="array" ref="G344" xml:space="preserve"> ( mc(500, 3, 4, -1, 1, "EXP(x * sin(y))") ) - 7.39981</f>
        <v>-7.9830441401615992E-2</v>
      </c>
      <c r="H344" cm="1">
        <f t="array" ref="H344" xml:space="preserve"> ( mc(1000, 3, 4, -1, 1, "EXP(x * sin(y))") ) - 7.39981</f>
        <v>-0.43852752598681821</v>
      </c>
      <c r="J344" cm="1">
        <f t="array" ref="J344" xml:space="preserve"> mc(100, -PI()/2,0,-1, 1, "ln(EXP(x * y))")</f>
        <v>-9.643020257382573E-2</v>
      </c>
      <c r="K344" cm="1">
        <f t="array" ref="K344" xml:space="preserve"> mc(500, -PI()/2,0,-1, 1, "ln(EXP(x * y))")</f>
        <v>1.3223696634842063E-2</v>
      </c>
      <c r="L344" cm="1">
        <f t="array" ref="L344" xml:space="preserve"> mc(1000, -PI()/2,0,-1, 1, "ln(EXP(x * y))")</f>
        <v>1.1051866362264346E-2</v>
      </c>
      <c r="N344" cm="1">
        <f t="array" ref="N344" xml:space="preserve"> mc(100, -PI()/2,PI()/2, 0, 1, "sin(cos(x + y))")-1.48235</f>
        <v>6.7117716564791152E-2</v>
      </c>
      <c r="O344" cm="1">
        <f t="array" ref="O344" xml:space="preserve"> mc(500, -PI()/2,PI()/2, 0, 1, "sin(cos(x + y))")-1.48235</f>
        <v>8.4012908950048981E-2</v>
      </c>
      <c r="P344" cm="1">
        <f t="array" ref="P344" xml:space="preserve"> mc(1000, -PI()/2,PI()/2, 0, 1, "sin(cos(x + y))")-1.48235</f>
        <v>3.376818994376185E-2</v>
      </c>
    </row>
    <row r="345" spans="1:16" x14ac:dyDescent="0.3">
      <c r="A345">
        <v>315</v>
      </c>
      <c r="B345" cm="1">
        <f t="array" ref="B345" xml:space="preserve"> mc(100, 0, 4, 1, 2, "x^2+y^2")-92/3</f>
        <v>-4.5012480280718385</v>
      </c>
      <c r="C345" cm="1">
        <f t="array" ref="C345" xml:space="preserve"> mc(500, 0, 4, 1, 2, "x^2+y^2")-92/3</f>
        <v>-0.62500577552247449</v>
      </c>
      <c r="D345" cm="1">
        <f t="array" ref="D345" xml:space="preserve"> mc(1000, 0, 4, 1, 2, "x^2+y^2")-92/3</f>
        <v>-0.54441765096976624</v>
      </c>
      <c r="F345" cm="1">
        <f t="array" ref="F345" xml:space="preserve"> ( mc(100, 3, 4, -1, 1, "EXP(x * sin(y))") ) - 7.39981</f>
        <v>0.70151972650053018</v>
      </c>
      <c r="G345" cm="1">
        <f t="array" ref="G345" xml:space="preserve"> ( mc(500, 3, 4, -1, 1, "EXP(x * sin(y))") ) - 7.39981</f>
        <v>-0.41098291336170334</v>
      </c>
      <c r="H345" cm="1">
        <f t="array" ref="H345" xml:space="preserve"> ( mc(1000, 3, 4, -1, 1, "EXP(x * sin(y))") ) - 7.39981</f>
        <v>-0.48314292021648431</v>
      </c>
      <c r="J345" cm="1">
        <f t="array" ref="J345" xml:space="preserve"> mc(100, -PI()/2,0,-1, 1, "ln(EXP(x * y))")</f>
        <v>-0.10186351728948377</v>
      </c>
      <c r="K345" cm="1">
        <f t="array" ref="K345" xml:space="preserve"> mc(500, -PI()/2,0,-1, 1, "ln(EXP(x * y))")</f>
        <v>4.145920990495576E-2</v>
      </c>
      <c r="L345" cm="1">
        <f t="array" ref="L345" xml:space="preserve"> mc(1000, -PI()/2,0,-1, 1, "ln(EXP(x * y))")</f>
        <v>4.4091457691827381E-2</v>
      </c>
      <c r="N345" cm="1">
        <f t="array" ref="N345" xml:space="preserve"> mc(100, -PI()/2,PI()/2, 0, 1, "sin(cos(x + y))")-1.48235</f>
        <v>3.240131877526653E-2</v>
      </c>
      <c r="O345" cm="1">
        <f t="array" ref="O345" xml:space="preserve"> mc(500, -PI()/2,PI()/2, 0, 1, "sin(cos(x + y))")-1.48235</f>
        <v>-1.5728101473611256E-2</v>
      </c>
      <c r="P345" cm="1">
        <f t="array" ref="P345" xml:space="preserve"> mc(1000, -PI()/2,PI()/2, 0, 1, "sin(cos(x + y))")-1.48235</f>
        <v>-7.6423508620027114E-2</v>
      </c>
    </row>
    <row r="346" spans="1:16" x14ac:dyDescent="0.3">
      <c r="A346">
        <v>316</v>
      </c>
      <c r="B346" cm="1">
        <f t="array" ref="B346" xml:space="preserve"> mc(100, 0, 4, 1, 2, "x^2+y^2")-92/3</f>
        <v>1.7157639501812945</v>
      </c>
      <c r="C346" cm="1">
        <f t="array" ref="C346" xml:space="preserve"> mc(500, 0, 4, 1, 2, "x^2+y^2")-92/3</f>
        <v>0.29178599632048119</v>
      </c>
      <c r="D346" cm="1">
        <f t="array" ref="D346" xml:space="preserve"> mc(1000, 0, 4, 1, 2, "x^2+y^2")-92/3</f>
        <v>0.97572346413919675</v>
      </c>
      <c r="F346" cm="1">
        <f t="array" ref="F346" xml:space="preserve"> ( mc(100, 3, 4, -1, 1, "EXP(x * sin(y))") ) - 7.39981</f>
        <v>0.70506740658766098</v>
      </c>
      <c r="G346" cm="1">
        <f t="array" ref="G346" xml:space="preserve"> ( mc(500, 3, 4, -1, 1, "EXP(x * sin(y))") ) - 7.39981</f>
        <v>4.0492754682715848E-2</v>
      </c>
      <c r="H346" cm="1">
        <f t="array" ref="H346" xml:space="preserve"> ( mc(1000, 3, 4, -1, 1, "EXP(x * sin(y))") ) - 7.39981</f>
        <v>0.16796971065956789</v>
      </c>
      <c r="J346" cm="1">
        <f t="array" ref="J346" xml:space="preserve"> mc(100, -PI()/2,0,-1, 1, "ln(EXP(x * y))")</f>
        <v>-7.2684435580044893E-2</v>
      </c>
      <c r="K346" cm="1">
        <f t="array" ref="K346" xml:space="preserve"> mc(500, -PI()/2,0,-1, 1, "ln(EXP(x * y))")</f>
        <v>8.1405699305052842E-2</v>
      </c>
      <c r="L346" cm="1">
        <f t="array" ref="L346" xml:space="preserve"> mc(1000, -PI()/2,0,-1, 1, "ln(EXP(x * y))")</f>
        <v>4.2655926110254386E-2</v>
      </c>
      <c r="N346" cm="1">
        <f t="array" ref="N346" xml:space="preserve"> mc(100, -PI()/2,PI()/2, 0, 1, "sin(cos(x + y))")-1.48235</f>
        <v>0.10009805428301521</v>
      </c>
      <c r="O346" cm="1">
        <f t="array" ref="O346" xml:space="preserve"> mc(500, -PI()/2,PI()/2, 0, 1, "sin(cos(x + y))")-1.48235</f>
        <v>-5.7682059651876338E-2</v>
      </c>
      <c r="P346" cm="1">
        <f t="array" ref="P346" xml:space="preserve"> mc(1000, -PI()/2,PI()/2, 0, 1, "sin(cos(x + y))")-1.48235</f>
        <v>-7.5257154472709864E-3</v>
      </c>
    </row>
    <row r="347" spans="1:16" x14ac:dyDescent="0.3">
      <c r="A347">
        <v>317</v>
      </c>
      <c r="B347" cm="1">
        <f t="array" ref="B347" xml:space="preserve"> mc(100, 0, 4, 1, 2, "x^2+y^2")-92/3</f>
        <v>-2.1683169319046023</v>
      </c>
      <c r="C347" cm="1">
        <f t="array" ref="C347" xml:space="preserve"> mc(500, 0, 4, 1, 2, "x^2+y^2")-92/3</f>
        <v>1.343746283829919</v>
      </c>
      <c r="D347" cm="1">
        <f t="array" ref="D347" xml:space="preserve"> mc(1000, 0, 4, 1, 2, "x^2+y^2")-92/3</f>
        <v>-1.1585326475903877</v>
      </c>
      <c r="F347" cm="1">
        <f t="array" ref="F347" xml:space="preserve"> ( mc(100, 3, 4, -1, 1, "EXP(x * sin(y))") ) - 7.39981</f>
        <v>0.13049887335731203</v>
      </c>
      <c r="G347" cm="1">
        <f t="array" ref="G347" xml:space="preserve"> ( mc(500, 3, 4, -1, 1, "EXP(x * sin(y))") ) - 7.39981</f>
        <v>0.50997104654865755</v>
      </c>
      <c r="H347" cm="1">
        <f t="array" ref="H347" xml:space="preserve"> ( mc(1000, 3, 4, -1, 1, "EXP(x * sin(y))") ) - 7.39981</f>
        <v>-0.51998255772879354</v>
      </c>
      <c r="J347" cm="1">
        <f t="array" ref="J347" xml:space="preserve"> mc(100, -PI()/2,0,-1, 1, "ln(EXP(x * y))")</f>
        <v>-0.1730645004800308</v>
      </c>
      <c r="K347" cm="1">
        <f t="array" ref="K347" xml:space="preserve"> mc(500, -PI()/2,0,-1, 1, "ln(EXP(x * y))")</f>
        <v>1.0088701674891636E-2</v>
      </c>
      <c r="L347" cm="1">
        <f t="array" ref="L347" xml:space="preserve"> mc(1000, -PI()/2,0,-1, 1, "ln(EXP(x * y))")</f>
        <v>6.4085989508164923E-2</v>
      </c>
      <c r="N347" cm="1">
        <f t="array" ref="N347" xml:space="preserve"> mc(100, -PI()/2,PI()/2, 0, 1, "sin(cos(x + y))")-1.48235</f>
        <v>-1.9527768778606402E-2</v>
      </c>
      <c r="O347" cm="1">
        <f t="array" ref="O347" xml:space="preserve"> mc(500, -PI()/2,PI()/2, 0, 1, "sin(cos(x + y))")-1.48235</f>
        <v>-4.6380867234363743E-2</v>
      </c>
      <c r="P347" cm="1">
        <f t="array" ref="P347" xml:space="preserve"> mc(1000, -PI()/2,PI()/2, 0, 1, "sin(cos(x + y))")-1.48235</f>
        <v>1.1574746349822806E-2</v>
      </c>
    </row>
    <row r="348" spans="1:16" x14ac:dyDescent="0.3">
      <c r="A348">
        <v>318</v>
      </c>
      <c r="B348" cm="1">
        <f t="array" ref="B348" xml:space="preserve"> mc(100, 0, 4, 1, 2, "x^2+y^2")-92/3</f>
        <v>-3.9842097364908184</v>
      </c>
      <c r="C348" cm="1">
        <f t="array" ref="C348" xml:space="preserve"> mc(500, 0, 4, 1, 2, "x^2+y^2")-92/3</f>
        <v>1.4082860479225836</v>
      </c>
      <c r="D348" cm="1">
        <f t="array" ref="D348" xml:space="preserve"> mc(1000, 0, 4, 1, 2, "x^2+y^2")-92/3</f>
        <v>8.3917884483994953E-3</v>
      </c>
      <c r="F348" cm="1">
        <f t="array" ref="F348" xml:space="preserve"> ( mc(100, 3, 4, -1, 1, "EXP(x * sin(y))") ) - 7.39981</f>
        <v>1.1583378450527935</v>
      </c>
      <c r="G348" cm="1">
        <f t="array" ref="G348" xml:space="preserve"> ( mc(500, 3, 4, -1, 1, "EXP(x * sin(y))") ) - 7.39981</f>
        <v>-4.3585168868495394E-2</v>
      </c>
      <c r="H348" cm="1">
        <f t="array" ref="H348" xml:space="preserve"> ( mc(1000, 3, 4, -1, 1, "EXP(x * sin(y))") ) - 7.39981</f>
        <v>-0.38600979514029987</v>
      </c>
      <c r="J348" cm="1">
        <f t="array" ref="J348" xml:space="preserve"> mc(100, -PI()/2,0,-1, 1, "ln(EXP(x * y))")</f>
        <v>0.28553133366619277</v>
      </c>
      <c r="K348" cm="1">
        <f t="array" ref="K348" xml:space="preserve"> mc(500, -PI()/2,0,-1, 1, "ln(EXP(x * y))")</f>
        <v>-8.7638233747952318E-3</v>
      </c>
      <c r="L348" cm="1">
        <f t="array" ref="L348" xml:space="preserve"> mc(1000, -PI()/2,0,-1, 1, "ln(EXP(x * y))")</f>
        <v>-6.3735762756848141E-2</v>
      </c>
      <c r="N348" cm="1">
        <f t="array" ref="N348" xml:space="preserve"> mc(100, -PI()/2,PI()/2, 0, 1, "sin(cos(x + y))")-1.48235</f>
        <v>8.5334519754518334E-2</v>
      </c>
      <c r="O348" cm="1">
        <f t="array" ref="O348" xml:space="preserve"> mc(500, -PI()/2,PI()/2, 0, 1, "sin(cos(x + y))")-1.48235</f>
        <v>-3.8049161092755801E-2</v>
      </c>
      <c r="P348" cm="1">
        <f t="array" ref="P348" xml:space="preserve"> mc(1000, -PI()/2,PI()/2, 0, 1, "sin(cos(x + y))")-1.48235</f>
        <v>3.7408560553782388E-2</v>
      </c>
    </row>
    <row r="349" spans="1:16" x14ac:dyDescent="0.3">
      <c r="A349">
        <v>319</v>
      </c>
      <c r="B349" cm="1">
        <f t="array" ref="B349" xml:space="preserve"> mc(100, 0, 4, 1, 2, "x^2+y^2")-92/3</f>
        <v>-4.3920934114725618</v>
      </c>
      <c r="C349" cm="1">
        <f t="array" ref="C349" xml:space="preserve"> mc(500, 0, 4, 1, 2, "x^2+y^2")-92/3</f>
        <v>0.90798988831035743</v>
      </c>
      <c r="D349" cm="1">
        <f t="array" ref="D349" xml:space="preserve"> mc(1000, 0, 4, 1, 2, "x^2+y^2")-92/3</f>
        <v>-1.1631851926169503</v>
      </c>
      <c r="F349" cm="1">
        <f t="array" ref="F349" xml:space="preserve"> ( mc(100, 3, 4, -1, 1, "EXP(x * sin(y))") ) - 7.39981</f>
        <v>-0.32268147860868712</v>
      </c>
      <c r="G349" cm="1">
        <f t="array" ref="G349" xml:space="preserve"> ( mc(500, 3, 4, -1, 1, "EXP(x * sin(y))") ) - 7.39981</f>
        <v>-0.40148403985595138</v>
      </c>
      <c r="H349" cm="1">
        <f t="array" ref="H349" xml:space="preserve"> ( mc(1000, 3, 4, -1, 1, "EXP(x * sin(y))") ) - 7.39981</f>
        <v>4.0614262543599011E-3</v>
      </c>
      <c r="J349" cm="1">
        <f t="array" ref="J349" xml:space="preserve"> mc(100, -PI()/2,0,-1, 1, "ln(EXP(x * y))")</f>
        <v>-0.16711270890845531</v>
      </c>
      <c r="K349" cm="1">
        <f t="array" ref="K349" xml:space="preserve"> mc(500, -PI()/2,0,-1, 1, "ln(EXP(x * y))")</f>
        <v>9.2160282186443156E-3</v>
      </c>
      <c r="L349" cm="1">
        <f t="array" ref="L349" xml:space="preserve"> mc(1000, -PI()/2,0,-1, 1, "ln(EXP(x * y))")</f>
        <v>2.7582587327121691E-3</v>
      </c>
      <c r="N349" cm="1">
        <f t="array" ref="N349" xml:space="preserve"> mc(100, -PI()/2,PI()/2, 0, 1, "sin(cos(x + y))")-1.48235</f>
        <v>0.20688675334561646</v>
      </c>
      <c r="O349" cm="1">
        <f t="array" ref="O349" xml:space="preserve"> mc(500, -PI()/2,PI()/2, 0, 1, "sin(cos(x + y))")-1.48235</f>
        <v>4.93956777606821E-2</v>
      </c>
      <c r="P349" cm="1">
        <f t="array" ref="P349" xml:space="preserve"> mc(1000, -PI()/2,PI()/2, 0, 1, "sin(cos(x + y))")-1.48235</f>
        <v>-4.3836874401896431E-2</v>
      </c>
    </row>
    <row r="350" spans="1:16" x14ac:dyDescent="0.3">
      <c r="A350">
        <v>320</v>
      </c>
      <c r="B350" cm="1">
        <f t="array" ref="B350" xml:space="preserve"> mc(100, 0, 4, 1, 2, "x^2+y^2")-92/3</f>
        <v>-1.6714636758586288</v>
      </c>
      <c r="C350" cm="1">
        <f t="array" ref="C350" xml:space="preserve"> mc(500, 0, 4, 1, 2, "x^2+y^2")-92/3</f>
        <v>5.8526923447416834E-2</v>
      </c>
      <c r="D350" cm="1">
        <f t="array" ref="D350" xml:space="preserve"> mc(1000, 0, 4, 1, 2, "x^2+y^2")-92/3</f>
        <v>0.12922079478301285</v>
      </c>
      <c r="F350" cm="1">
        <f t="array" ref="F350" xml:space="preserve"> ( mc(100, 3, 4, -1, 1, "EXP(x * sin(y))") ) - 7.39981</f>
        <v>-1.5323090327914901</v>
      </c>
      <c r="G350" cm="1">
        <f t="array" ref="G350" xml:space="preserve"> ( mc(500, 3, 4, -1, 1, "EXP(x * sin(y))") ) - 7.39981</f>
        <v>-0.71166473569982802</v>
      </c>
      <c r="H350" cm="1">
        <f t="array" ref="H350" xml:space="preserve"> ( mc(1000, 3, 4, -1, 1, "EXP(x * sin(y))") ) - 7.39981</f>
        <v>-0.27839275617803505</v>
      </c>
      <c r="J350" cm="1">
        <f t="array" ref="J350" xml:space="preserve"> mc(100, -PI()/2,0,-1, 1, "ln(EXP(x * y))")</f>
        <v>0.12356234133379648</v>
      </c>
      <c r="K350" cm="1">
        <f t="array" ref="K350" xml:space="preserve"> mc(500, -PI()/2,0,-1, 1, "ln(EXP(x * y))")</f>
        <v>-7.1498078993602636E-3</v>
      </c>
      <c r="L350" cm="1">
        <f t="array" ref="L350" xml:space="preserve"> mc(1000, -PI()/2,0,-1, 1, "ln(EXP(x * y))")</f>
        <v>2.6724755275065293E-2</v>
      </c>
      <c r="N350" cm="1">
        <f t="array" ref="N350" xml:space="preserve"> mc(100, -PI()/2,PI()/2, 0, 1, "sin(cos(x + y))")-1.48235</f>
        <v>3.4742770136209078E-3</v>
      </c>
      <c r="O350" cm="1">
        <f t="array" ref="O350" xml:space="preserve"> mc(500, -PI()/2,PI()/2, 0, 1, "sin(cos(x + y))")-1.48235</f>
        <v>-7.1160681597094433E-2</v>
      </c>
      <c r="P350" cm="1">
        <f t="array" ref="P350" xml:space="preserve"> mc(1000, -PI()/2,PI()/2, 0, 1, "sin(cos(x + y))")-1.48235</f>
        <v>-4.1249877240827626E-3</v>
      </c>
    </row>
    <row r="351" spans="1:16" x14ac:dyDescent="0.3">
      <c r="A351">
        <v>321</v>
      </c>
      <c r="B351" cm="1">
        <f t="array" ref="B351" xml:space="preserve"> mc(100, 0, 4, 1, 2, "x^2+y^2")-92/3</f>
        <v>2.002250007650769</v>
      </c>
      <c r="C351" cm="1">
        <f t="array" ref="C351" xml:space="preserve"> mc(500, 0, 4, 1, 2, "x^2+y^2")-92/3</f>
        <v>-0.44722903851354801</v>
      </c>
      <c r="D351" cm="1">
        <f t="array" ref="D351" xml:space="preserve"> mc(1000, 0, 4, 1, 2, "x^2+y^2")-92/3</f>
        <v>-0.24154567846639807</v>
      </c>
      <c r="F351" cm="1">
        <f t="array" ref="F351" xml:space="preserve"> ( mc(100, 3, 4, -1, 1, "EXP(x * sin(y))") ) - 7.39981</f>
        <v>-0.42921881836873776</v>
      </c>
      <c r="G351" cm="1">
        <f t="array" ref="G351" xml:space="preserve"> ( mc(500, 3, 4, -1, 1, "EXP(x * sin(y))") ) - 7.39981</f>
        <v>-6.8080280745941302E-2</v>
      </c>
      <c r="H351" cm="1">
        <f t="array" ref="H351" xml:space="preserve"> ( mc(1000, 3, 4, -1, 1, "EXP(x * sin(y))") ) - 7.39981</f>
        <v>-5.3830826843744184E-2</v>
      </c>
      <c r="J351" cm="1">
        <f t="array" ref="J351" xml:space="preserve"> mc(100, -PI()/2,0,-1, 1, "ln(EXP(x * y))")</f>
        <v>-0.29389746324220373</v>
      </c>
      <c r="K351" cm="1">
        <f t="array" ref="K351" xml:space="preserve"> mc(500, -PI()/2,0,-1, 1, "ln(EXP(x * y))")</f>
        <v>-1.4497479601408583E-2</v>
      </c>
      <c r="L351" cm="1">
        <f t="array" ref="L351" xml:space="preserve"> mc(1000, -PI()/2,0,-1, 1, "ln(EXP(x * y))")</f>
        <v>-2.1703795415035916E-3</v>
      </c>
      <c r="N351" cm="1">
        <f t="array" ref="N351" xml:space="preserve"> mc(100, -PI()/2,PI()/2, 0, 1, "sin(cos(x + y))")-1.48235</f>
        <v>-0.1834855903127286</v>
      </c>
      <c r="O351" cm="1">
        <f t="array" ref="O351" xml:space="preserve"> mc(500, -PI()/2,PI()/2, 0, 1, "sin(cos(x + y))")-1.48235</f>
        <v>6.7945707106494169E-2</v>
      </c>
      <c r="P351" cm="1">
        <f t="array" ref="P351" xml:space="preserve"> mc(1000, -PI()/2,PI()/2, 0, 1, "sin(cos(x + y))")-1.48235</f>
        <v>-3.6564981529575213E-2</v>
      </c>
    </row>
    <row r="352" spans="1:16" x14ac:dyDescent="0.3">
      <c r="A352">
        <v>322</v>
      </c>
      <c r="B352" cm="1">
        <f t="array" ref="B352" xml:space="preserve"> mc(100, 0, 4, 1, 2, "x^2+y^2")-92/3</f>
        <v>-1.5838064578558964</v>
      </c>
      <c r="C352" cm="1">
        <f t="array" ref="C352" xml:space="preserve"> mc(500, 0, 4, 1, 2, "x^2+y^2")-92/3</f>
        <v>1.9157000245748179E-2</v>
      </c>
      <c r="D352" cm="1">
        <f t="array" ref="D352" xml:space="preserve"> mc(1000, 0, 4, 1, 2, "x^2+y^2")-92/3</f>
        <v>-0.59970651169991385</v>
      </c>
      <c r="F352" cm="1">
        <f t="array" ref="F352" xml:space="preserve"> ( mc(100, 3, 4, -1, 1, "EXP(x * sin(y))") ) - 7.39981</f>
        <v>0.78034852457966863</v>
      </c>
      <c r="G352" cm="1">
        <f t="array" ref="G352" xml:space="preserve"> ( mc(500, 3, 4, -1, 1, "EXP(x * sin(y))") ) - 7.39981</f>
        <v>-0.66591825974356045</v>
      </c>
      <c r="H352" cm="1">
        <f t="array" ref="H352" xml:space="preserve"> ( mc(1000, 3, 4, -1, 1, "EXP(x * sin(y))") ) - 7.39981</f>
        <v>3.5861508775997919E-2</v>
      </c>
      <c r="J352" cm="1">
        <f t="array" ref="J352" xml:space="preserve"> mc(100, -PI()/2,0,-1, 1, "ln(EXP(x * y))")</f>
        <v>-0.30508953895759827</v>
      </c>
      <c r="K352" cm="1">
        <f t="array" ref="K352" xml:space="preserve"> mc(500, -PI()/2,0,-1, 1, "ln(EXP(x * y))")</f>
        <v>-0.11966058966212212</v>
      </c>
      <c r="L352" cm="1">
        <f t="array" ref="L352" xml:space="preserve"> mc(1000, -PI()/2,0,-1, 1, "ln(EXP(x * y))")</f>
        <v>-9.2272959927686568E-2</v>
      </c>
      <c r="N352" cm="1">
        <f t="array" ref="N352" xml:space="preserve"> mc(100, -PI()/2,PI()/2, 0, 1, "sin(cos(x + y))")-1.48235</f>
        <v>8.2486429524126548E-2</v>
      </c>
      <c r="O352" cm="1">
        <f t="array" ref="O352" xml:space="preserve"> mc(500, -PI()/2,PI()/2, 0, 1, "sin(cos(x + y))")-1.48235</f>
        <v>1.8704482365973663E-2</v>
      </c>
      <c r="P352" cm="1">
        <f t="array" ref="P352" xml:space="preserve"> mc(1000, -PI()/2,PI()/2, 0, 1, "sin(cos(x + y))")-1.48235</f>
        <v>-4.1094618803547478E-2</v>
      </c>
    </row>
    <row r="353" spans="1:16" x14ac:dyDescent="0.3">
      <c r="A353">
        <v>323</v>
      </c>
      <c r="B353" cm="1">
        <f t="array" ref="B353" xml:space="preserve"> mc(100, 0, 4, 1, 2, "x^2+y^2")-92/3</f>
        <v>-1.3739020426050317</v>
      </c>
      <c r="C353" cm="1">
        <f t="array" ref="C353" xml:space="preserve"> mc(500, 0, 4, 1, 2, "x^2+y^2")-92/3</f>
        <v>-0.65605270876258004</v>
      </c>
      <c r="D353" cm="1">
        <f t="array" ref="D353" xml:space="preserve"> mc(1000, 0, 4, 1, 2, "x^2+y^2")-92/3</f>
        <v>2.3266319557325943E-2</v>
      </c>
      <c r="F353" cm="1">
        <f t="array" ref="F353" xml:space="preserve"> ( mc(100, 3, 4, -1, 1, "EXP(x * sin(y))") ) - 7.39981</f>
        <v>0.54368214904503986</v>
      </c>
      <c r="G353" cm="1">
        <f t="array" ref="G353" xml:space="preserve"> ( mc(500, 3, 4, -1, 1, "EXP(x * sin(y))") ) - 7.39981</f>
        <v>9.389635105500016E-2</v>
      </c>
      <c r="H353" cm="1">
        <f t="array" ref="H353" xml:space="preserve"> ( mc(1000, 3, 4, -1, 1, "EXP(x * sin(y))") ) - 7.39981</f>
        <v>-0.20284865804671703</v>
      </c>
      <c r="J353" cm="1">
        <f t="array" ref="J353" xml:space="preserve"> mc(100, -PI()/2,0,-1, 1, "ln(EXP(x * y))")</f>
        <v>0.26940916614995081</v>
      </c>
      <c r="K353" cm="1">
        <f t="array" ref="K353" xml:space="preserve"> mc(500, -PI()/2,0,-1, 1, "ln(EXP(x * y))")</f>
        <v>-9.1658445054065563E-2</v>
      </c>
      <c r="L353" cm="1">
        <f t="array" ref="L353" xml:space="preserve"> mc(1000, -PI()/2,0,-1, 1, "ln(EXP(x * y))")</f>
        <v>8.4343286676560575E-2</v>
      </c>
      <c r="N353" cm="1">
        <f t="array" ref="N353" xml:space="preserve"> mc(100, -PI()/2,PI()/2, 0, 1, "sin(cos(x + y))")-1.48235</f>
        <v>-1.013810306708085E-2</v>
      </c>
      <c r="O353" cm="1">
        <f t="array" ref="O353" xml:space="preserve"> mc(500, -PI()/2,PI()/2, 0, 1, "sin(cos(x + y))")-1.48235</f>
        <v>-2.4239731588919788E-2</v>
      </c>
      <c r="P353" cm="1">
        <f t="array" ref="P353" xml:space="preserve"> mc(1000, -PI()/2,PI()/2, 0, 1, "sin(cos(x + y))")-1.48235</f>
        <v>9.0426233205813666E-3</v>
      </c>
    </row>
    <row r="354" spans="1:16" x14ac:dyDescent="0.3">
      <c r="A354">
        <v>324</v>
      </c>
      <c r="B354" cm="1">
        <f t="array" ref="B354" xml:space="preserve"> mc(100, 0, 4, 1, 2, "x^2+y^2")-92/3</f>
        <v>-3.0249744069222935</v>
      </c>
      <c r="C354" cm="1">
        <f t="array" ref="C354" xml:space="preserve"> mc(500, 0, 4, 1, 2, "x^2+y^2")-92/3</f>
        <v>0.53192650004589481</v>
      </c>
      <c r="D354" cm="1">
        <f t="array" ref="D354" xml:space="preserve"> mc(1000, 0, 4, 1, 2, "x^2+y^2")-92/3</f>
        <v>4.2943431650119379E-2</v>
      </c>
      <c r="F354" cm="1">
        <f t="array" ref="F354" xml:space="preserve"> ( mc(100, 3, 4, -1, 1, "EXP(x * sin(y))") ) - 7.39981</f>
        <v>-0.30592736446815305</v>
      </c>
      <c r="G354" cm="1">
        <f t="array" ref="G354" xml:space="preserve"> ( mc(500, 3, 4, -1, 1, "EXP(x * sin(y))") ) - 7.39981</f>
        <v>0.29574249625552973</v>
      </c>
      <c r="H354" cm="1">
        <f t="array" ref="H354" xml:space="preserve"> ( mc(1000, 3, 4, -1, 1, "EXP(x * sin(y))") ) - 7.39981</f>
        <v>0.15921425569309466</v>
      </c>
      <c r="J354" cm="1">
        <f t="array" ref="J354" xml:space="preserve"> mc(100, -PI()/2,0,-1, 1, "ln(EXP(x * y))")</f>
        <v>0.13571745443612715</v>
      </c>
      <c r="K354" cm="1">
        <f t="array" ref="K354" xml:space="preserve"> mc(500, -PI()/2,0,-1, 1, "ln(EXP(x * y))")</f>
        <v>-5.2323397483560168E-3</v>
      </c>
      <c r="L354" cm="1">
        <f t="array" ref="L354" xml:space="preserve"> mc(1000, -PI()/2,0,-1, 1, "ln(EXP(x * y))")</f>
        <v>0.10713268636469836</v>
      </c>
      <c r="N354" cm="1">
        <f t="array" ref="N354" xml:space="preserve"> mc(100, -PI()/2,PI()/2, 0, 1, "sin(cos(x + y))")-1.48235</f>
        <v>7.1643079064407145E-2</v>
      </c>
      <c r="O354" cm="1">
        <f t="array" ref="O354" xml:space="preserve"> mc(500, -PI()/2,PI()/2, 0, 1, "sin(cos(x + y))")-1.48235</f>
        <v>-0.12701878601539951</v>
      </c>
      <c r="P354" cm="1">
        <f t="array" ref="P354" xml:space="preserve"> mc(1000, -PI()/2,PI()/2, 0, 1, "sin(cos(x + y))")-1.48235</f>
        <v>2.1486898703459989E-2</v>
      </c>
    </row>
    <row r="355" spans="1:16" x14ac:dyDescent="0.3">
      <c r="A355">
        <v>325</v>
      </c>
      <c r="B355" cm="1">
        <f t="array" ref="B355" xml:space="preserve"> mc(100, 0, 4, 1, 2, "x^2+y^2")-92/3</f>
        <v>0.50388887573661734</v>
      </c>
      <c r="C355" cm="1">
        <f t="array" ref="C355" xml:space="preserve"> mc(500, 0, 4, 1, 2, "x^2+y^2")-92/3</f>
        <v>0.13032734634427712</v>
      </c>
      <c r="D355" cm="1">
        <f t="array" ref="D355" xml:space="preserve"> mc(1000, 0, 4, 1, 2, "x^2+y^2")-92/3</f>
        <v>0.30858293316021701</v>
      </c>
      <c r="F355" cm="1">
        <f t="array" ref="F355" xml:space="preserve"> ( mc(100, 3, 4, -1, 1, "EXP(x * sin(y))") ) - 7.39981</f>
        <v>0.5272296052308576</v>
      </c>
      <c r="G355" cm="1">
        <f t="array" ref="G355" xml:space="preserve"> ( mc(500, 3, 4, -1, 1, "EXP(x * sin(y))") ) - 7.39981</f>
        <v>-1.9750730379897163E-4</v>
      </c>
      <c r="H355" cm="1">
        <f t="array" ref="H355" xml:space="preserve"> ( mc(1000, 3, 4, -1, 1, "EXP(x * sin(y))") ) - 7.39981</f>
        <v>0.64495640000867205</v>
      </c>
      <c r="J355" cm="1">
        <f t="array" ref="J355" xml:space="preserve"> mc(100, -PI()/2,0,-1, 1, "ln(EXP(x * y))")</f>
        <v>0.10948104266382608</v>
      </c>
      <c r="K355" cm="1">
        <f t="array" ref="K355" xml:space="preserve"> mc(500, -PI()/2,0,-1, 1, "ln(EXP(x * y))")</f>
        <v>0.11161700114744026</v>
      </c>
      <c r="L355" cm="1">
        <f t="array" ref="L355" xml:space="preserve"> mc(1000, -PI()/2,0,-1, 1, "ln(EXP(x * y))")</f>
        <v>1.4137449982983259E-2</v>
      </c>
      <c r="N355" cm="1">
        <f t="array" ref="N355" xml:space="preserve"> mc(100, -PI()/2,PI()/2, 0, 1, "sin(cos(x + y))")-1.48235</f>
        <v>3.1031208806764798E-2</v>
      </c>
      <c r="O355" cm="1">
        <f t="array" ref="O355" xml:space="preserve"> mc(500, -PI()/2,PI()/2, 0, 1, "sin(cos(x + y))")-1.48235</f>
        <v>4.929819456017448E-2</v>
      </c>
      <c r="P355" cm="1">
        <f t="array" ref="P355" xml:space="preserve"> mc(1000, -PI()/2,PI()/2, 0, 1, "sin(cos(x + y))")-1.48235</f>
        <v>5.8412138486776177E-2</v>
      </c>
    </row>
    <row r="356" spans="1:16" x14ac:dyDescent="0.3">
      <c r="A356">
        <v>326</v>
      </c>
      <c r="B356" cm="1">
        <f t="array" ref="B356" xml:space="preserve"> mc(100, 0, 4, 1, 2, "x^2+y^2")-92/3</f>
        <v>1.1437460167779889</v>
      </c>
      <c r="C356" cm="1">
        <f t="array" ref="C356" xml:space="preserve"> mc(500, 0, 4, 1, 2, "x^2+y^2")-92/3</f>
        <v>-1.6113925502871282</v>
      </c>
      <c r="D356" cm="1">
        <f t="array" ref="D356" xml:space="preserve"> mc(1000, 0, 4, 1, 2, "x^2+y^2")-92/3</f>
        <v>7.1758884494304453E-2</v>
      </c>
      <c r="F356" cm="1">
        <f t="array" ref="F356" xml:space="preserve"> ( mc(100, 3, 4, -1, 1, "EXP(x * sin(y))") ) - 7.39981</f>
        <v>-0.17875332642793218</v>
      </c>
      <c r="G356" cm="1">
        <f t="array" ref="G356" xml:space="preserve"> ( mc(500, 3, 4, -1, 1, "EXP(x * sin(y))") ) - 7.39981</f>
        <v>-2.0029227712100806E-2</v>
      </c>
      <c r="H356" cm="1">
        <f t="array" ref="H356" xml:space="preserve"> ( mc(1000, 3, 4, -1, 1, "EXP(x * sin(y))") ) - 7.39981</f>
        <v>-4.0192331197985709E-3</v>
      </c>
      <c r="J356" cm="1">
        <f t="array" ref="J356" xml:space="preserve"> mc(100, -PI()/2,0,-1, 1, "ln(EXP(x * y))")</f>
        <v>-0.10527905102079481</v>
      </c>
      <c r="K356" cm="1">
        <f t="array" ref="K356" xml:space="preserve"> mc(500, -PI()/2,0,-1, 1, "ln(EXP(x * y))")</f>
        <v>4.9600898751604493E-3</v>
      </c>
      <c r="L356" cm="1">
        <f t="array" ref="L356" xml:space="preserve"> mc(1000, -PI()/2,0,-1, 1, "ln(EXP(x * y))")</f>
        <v>-9.7503676431325691E-3</v>
      </c>
      <c r="N356" cm="1">
        <f t="array" ref="N356" xml:space="preserve"> mc(100, -PI()/2,PI()/2, 0, 1, "sin(cos(x + y))")-1.48235</f>
        <v>-0.13790283146875715</v>
      </c>
      <c r="O356" cm="1">
        <f t="array" ref="O356" xml:space="preserve"> mc(500, -PI()/2,PI()/2, 0, 1, "sin(cos(x + y))")-1.48235</f>
        <v>-9.4194222973364994E-4</v>
      </c>
      <c r="P356" cm="1">
        <f t="array" ref="P356" xml:space="preserve"> mc(1000, -PI()/2,PI()/2, 0, 1, "sin(cos(x + y))")-1.48235</f>
        <v>-1.8196541469972738E-2</v>
      </c>
    </row>
    <row r="357" spans="1:16" x14ac:dyDescent="0.3">
      <c r="A357">
        <v>327</v>
      </c>
      <c r="B357" cm="1">
        <f t="array" ref="B357" xml:space="preserve"> mc(100, 0, 4, 1, 2, "x^2+y^2")-92/3</f>
        <v>0.16285147746757289</v>
      </c>
      <c r="C357" cm="1">
        <f t="array" ref="C357" xml:space="preserve"> mc(500, 0, 4, 1, 2, "x^2+y^2")-92/3</f>
        <v>-1.0665093624758022</v>
      </c>
      <c r="D357" cm="1">
        <f t="array" ref="D357" xml:space="preserve"> mc(1000, 0, 4, 1, 2, "x^2+y^2")-92/3</f>
        <v>-0.50956681867355869</v>
      </c>
      <c r="F357" cm="1">
        <f t="array" ref="F357" xml:space="preserve"> ( mc(100, 3, 4, -1, 1, "EXP(x * sin(y))") ) - 7.39981</f>
        <v>0.24893614632370475</v>
      </c>
      <c r="G357" cm="1">
        <f t="array" ref="G357" xml:space="preserve"> ( mc(500, 3, 4, -1, 1, "EXP(x * sin(y))") ) - 7.39981</f>
        <v>0.46420654458802346</v>
      </c>
      <c r="H357" cm="1">
        <f t="array" ref="H357" xml:space="preserve"> ( mc(1000, 3, 4, -1, 1, "EXP(x * sin(y))") ) - 7.39981</f>
        <v>4.0331764491133626E-2</v>
      </c>
      <c r="J357" cm="1">
        <f t="array" ref="J357" xml:space="preserve"> mc(100, -PI()/2,0,-1, 1, "ln(EXP(x * y))")</f>
        <v>-3.9341256400909262E-2</v>
      </c>
      <c r="K357" cm="1">
        <f t="array" ref="K357" xml:space="preserve"> mc(500, -PI()/2,0,-1, 1, "ln(EXP(x * y))")</f>
        <v>5.2247516875647458E-2</v>
      </c>
      <c r="L357" cm="1">
        <f t="array" ref="L357" xml:space="preserve"> mc(1000, -PI()/2,0,-1, 1, "ln(EXP(x * y))")</f>
        <v>5.0984989013676728E-2</v>
      </c>
      <c r="N357" cm="1">
        <f t="array" ref="N357" xml:space="preserve"> mc(100, -PI()/2,PI()/2, 0, 1, "sin(cos(x + y))")-1.48235</f>
        <v>-3.3649859181252628E-2</v>
      </c>
      <c r="O357" cm="1">
        <f t="array" ref="O357" xml:space="preserve"> mc(500, -PI()/2,PI()/2, 0, 1, "sin(cos(x + y))")-1.48235</f>
        <v>-4.4620651684919022E-3</v>
      </c>
      <c r="P357" cm="1">
        <f t="array" ref="P357" xml:space="preserve"> mc(1000, -PI()/2,PI()/2, 0, 1, "sin(cos(x + y))")-1.48235</f>
        <v>1.5339090580973602E-2</v>
      </c>
    </row>
    <row r="358" spans="1:16" x14ac:dyDescent="0.3">
      <c r="A358">
        <v>328</v>
      </c>
      <c r="B358" cm="1">
        <f t="array" ref="B358" xml:space="preserve"> mc(100, 0, 4, 1, 2, "x^2+y^2")-92/3</f>
        <v>0.11251325007157931</v>
      </c>
      <c r="C358" cm="1">
        <f t="array" ref="C358" xml:space="preserve"> mc(500, 0, 4, 1, 2, "x^2+y^2")-92/3</f>
        <v>-0.49150544660386331</v>
      </c>
      <c r="D358" cm="1">
        <f t="array" ref="D358" xml:space="preserve"> mc(1000, 0, 4, 1, 2, "x^2+y^2")-92/3</f>
        <v>-0.82114437905606863</v>
      </c>
      <c r="F358" cm="1">
        <f t="array" ref="F358" xml:space="preserve"> ( mc(100, 3, 4, -1, 1, "EXP(x * sin(y))") ) - 7.39981</f>
        <v>-0.98332408589761577</v>
      </c>
      <c r="G358" cm="1">
        <f t="array" ref="G358" xml:space="preserve"> ( mc(500, 3, 4, -1, 1, "EXP(x * sin(y))") ) - 7.39981</f>
        <v>0.20378621470597658</v>
      </c>
      <c r="H358" cm="1">
        <f t="array" ref="H358" xml:space="preserve"> ( mc(1000, 3, 4, -1, 1, "EXP(x * sin(y))") ) - 7.39981</f>
        <v>0.59514555284043436</v>
      </c>
      <c r="J358" cm="1">
        <f t="array" ref="J358" xml:space="preserve"> mc(100, -PI()/2,0,-1, 1, "ln(EXP(x * y))")</f>
        <v>0.17516316817484448</v>
      </c>
      <c r="K358" cm="1">
        <f t="array" ref="K358" xml:space="preserve"> mc(500, -PI()/2,0,-1, 1, "ln(EXP(x * y))")</f>
        <v>3.4900160610515256E-2</v>
      </c>
      <c r="L358" cm="1">
        <f t="array" ref="L358" xml:space="preserve"> mc(1000, -PI()/2,0,-1, 1, "ln(EXP(x * y))")</f>
        <v>3.3421640695489994E-2</v>
      </c>
      <c r="N358" cm="1">
        <f t="array" ref="N358" xml:space="preserve"> mc(100, -PI()/2,PI()/2, 0, 1, "sin(cos(x + y))")-1.48235</f>
        <v>-2.0821059635561578E-2</v>
      </c>
      <c r="O358" cm="1">
        <f t="array" ref="O358" xml:space="preserve"> mc(500, -PI()/2,PI()/2, 0, 1, "sin(cos(x + y))")-1.48235</f>
        <v>6.9846823258035151E-4</v>
      </c>
      <c r="P358" cm="1">
        <f t="array" ref="P358" xml:space="preserve"> mc(1000, -PI()/2,PI()/2, 0, 1, "sin(cos(x + y))")-1.48235</f>
        <v>-4.7566559085292504E-2</v>
      </c>
    </row>
    <row r="359" spans="1:16" x14ac:dyDescent="0.3">
      <c r="A359">
        <v>329</v>
      </c>
      <c r="B359" cm="1">
        <f t="array" ref="B359" xml:space="preserve"> mc(100, 0, 4, 1, 2, "x^2+y^2")-92/3</f>
        <v>-0.54504860138756328</v>
      </c>
      <c r="C359" cm="1">
        <f t="array" ref="C359" xml:space="preserve"> mc(500, 0, 4, 1, 2, "x^2+y^2")-92/3</f>
        <v>0.25965612300723961</v>
      </c>
      <c r="D359" cm="1">
        <f t="array" ref="D359" xml:space="preserve"> mc(1000, 0, 4, 1, 2, "x^2+y^2")-92/3</f>
        <v>-4.950909766747813E-2</v>
      </c>
      <c r="F359" cm="1">
        <f t="array" ref="F359" xml:space="preserve"> ( mc(100, 3, 4, -1, 1, "EXP(x * sin(y))") ) - 7.39981</f>
        <v>1.7781344069109775</v>
      </c>
      <c r="G359" cm="1">
        <f t="array" ref="G359" xml:space="preserve"> ( mc(500, 3, 4, -1, 1, "EXP(x * sin(y))") ) - 7.39981</f>
        <v>0.34561494418805694</v>
      </c>
      <c r="H359" cm="1">
        <f t="array" ref="H359" xml:space="preserve"> ( mc(1000, 3, 4, -1, 1, "EXP(x * sin(y))") ) - 7.39981</f>
        <v>-0.21589195235303116</v>
      </c>
      <c r="J359" cm="1">
        <f t="array" ref="J359" xml:space="preserve"> mc(100, -PI()/2,0,-1, 1, "ln(EXP(x * y))")</f>
        <v>-0.14165690175187878</v>
      </c>
      <c r="K359" cm="1">
        <f t="array" ref="K359" xml:space="preserve"> mc(500, -PI()/2,0,-1, 1, "ln(EXP(x * y))")</f>
        <v>-1.2196601521736697E-3</v>
      </c>
      <c r="L359" cm="1">
        <f t="array" ref="L359" xml:space="preserve"> mc(1000, -PI()/2,0,-1, 1, "ln(EXP(x * y))")</f>
        <v>6.4038683798360281E-4</v>
      </c>
      <c r="N359" cm="1">
        <f t="array" ref="N359" xml:space="preserve"> mc(100, -PI()/2,PI()/2, 0, 1, "sin(cos(x + y))")-1.48235</f>
        <v>0.14228417295498197</v>
      </c>
      <c r="O359" cm="1">
        <f t="array" ref="O359" xml:space="preserve"> mc(500, -PI()/2,PI()/2, 0, 1, "sin(cos(x + y))")-1.48235</f>
        <v>9.3643109225338694E-2</v>
      </c>
      <c r="P359" cm="1">
        <f t="array" ref="P359" xml:space="preserve"> mc(1000, -PI()/2,PI()/2, 0, 1, "sin(cos(x + y))")-1.48235</f>
        <v>5.4378190962661721E-2</v>
      </c>
    </row>
    <row r="360" spans="1:16" x14ac:dyDescent="0.3">
      <c r="A360">
        <v>330</v>
      </c>
      <c r="B360" cm="1">
        <f t="array" ref="B360" xml:space="preserve"> mc(100, 0, 4, 1, 2, "x^2+y^2")-92/3</f>
        <v>1.5983050210887164</v>
      </c>
      <c r="C360" cm="1">
        <f t="array" ref="C360" xml:space="preserve"> mc(500, 0, 4, 1, 2, "x^2+y^2")-92/3</f>
        <v>2.9966782492873989E-2</v>
      </c>
      <c r="D360" cm="1">
        <f t="array" ref="D360" xml:space="preserve"> mc(1000, 0, 4, 1, 2, "x^2+y^2")-92/3</f>
        <v>-9.6883513359415474E-2</v>
      </c>
      <c r="F360" cm="1">
        <f t="array" ref="F360" xml:space="preserve"> ( mc(100, 3, 4, -1, 1, "EXP(x * sin(y))") ) - 7.39981</f>
        <v>-0.99010565989240806</v>
      </c>
      <c r="G360" cm="1">
        <f t="array" ref="G360" xml:space="preserve"> ( mc(500, 3, 4, -1, 1, "EXP(x * sin(y))") ) - 7.39981</f>
        <v>-0.1014991920002517</v>
      </c>
      <c r="H360" cm="1">
        <f t="array" ref="H360" xml:space="preserve"> ( mc(1000, 3, 4, -1, 1, "EXP(x * sin(y))") ) - 7.39981</f>
        <v>0.5045850481716263</v>
      </c>
      <c r="J360" cm="1">
        <f t="array" ref="J360" xml:space="preserve"> mc(100, -PI()/2,0,-1, 1, "ln(EXP(x * y))")</f>
        <v>0.13322585165081177</v>
      </c>
      <c r="K360" cm="1">
        <f t="array" ref="K360" xml:space="preserve"> mc(500, -PI()/2,0,-1, 1, "ln(EXP(x * y))")</f>
        <v>3.9593306248040405E-4</v>
      </c>
      <c r="L360" cm="1">
        <f t="array" ref="L360" xml:space="preserve"> mc(1000, -PI()/2,0,-1, 1, "ln(EXP(x * y))")</f>
        <v>1.4898671443821968E-2</v>
      </c>
      <c r="N360" cm="1">
        <f t="array" ref="N360" xml:space="preserve"> mc(100, -PI()/2,PI()/2, 0, 1, "sin(cos(x + y))")-1.48235</f>
        <v>0.12022147668186123</v>
      </c>
      <c r="O360" cm="1">
        <f t="array" ref="O360" xml:space="preserve"> mc(500, -PI()/2,PI()/2, 0, 1, "sin(cos(x + y))")-1.48235</f>
        <v>3.3332989195268281E-2</v>
      </c>
      <c r="P360" cm="1">
        <f t="array" ref="P360" xml:space="preserve"> mc(1000, -PI()/2,PI()/2, 0, 1, "sin(cos(x + y))")-1.48235</f>
        <v>-2.7432547922729311E-2</v>
      </c>
    </row>
    <row r="361" spans="1:16" x14ac:dyDescent="0.3">
      <c r="A361">
        <v>331</v>
      </c>
      <c r="B361" cm="1">
        <f t="array" ref="B361" xml:space="preserve"> mc(100, 0, 4, 1, 2, "x^2+y^2")-92/3</f>
        <v>-1.9753430103869469</v>
      </c>
      <c r="C361" cm="1">
        <f t="array" ref="C361" xml:space="preserve"> mc(500, 0, 4, 1, 2, "x^2+y^2")-92/3</f>
        <v>0.9079866793657807</v>
      </c>
      <c r="D361" cm="1">
        <f t="array" ref="D361" xml:space="preserve"> mc(1000, 0, 4, 1, 2, "x^2+y^2")-92/3</f>
        <v>0.47467460395746386</v>
      </c>
      <c r="F361" cm="1">
        <f t="array" ref="F361" xml:space="preserve"> ( mc(100, 3, 4, -1, 1, "EXP(x * sin(y))") ) - 7.39981</f>
        <v>-0.79119256719482056</v>
      </c>
      <c r="G361" cm="1">
        <f t="array" ref="G361" xml:space="preserve"> ( mc(500, 3, 4, -1, 1, "EXP(x * sin(y))") ) - 7.39981</f>
        <v>-0.48129049470419449</v>
      </c>
      <c r="H361" cm="1">
        <f t="array" ref="H361" xml:space="preserve"> ( mc(1000, 3, 4, -1, 1, "EXP(x * sin(y))") ) - 7.39981</f>
        <v>-0.24006809026606124</v>
      </c>
      <c r="J361" cm="1">
        <f t="array" ref="J361" xml:space="preserve"> mc(100, -PI()/2,0,-1, 1, "ln(EXP(x * y))")</f>
        <v>1.8793379680030385E-2</v>
      </c>
      <c r="K361" cm="1">
        <f t="array" ref="K361" xml:space="preserve"> mc(500, -PI()/2,0,-1, 1, "ln(EXP(x * y))")</f>
        <v>4.4942386531906907E-4</v>
      </c>
      <c r="L361" cm="1">
        <f t="array" ref="L361" xml:space="preserve"> mc(1000, -PI()/2,0,-1, 1, "ln(EXP(x * y))")</f>
        <v>-2.4666736181965899E-2</v>
      </c>
      <c r="N361" cm="1">
        <f t="array" ref="N361" xml:space="preserve"> mc(100, -PI()/2,PI()/2, 0, 1, "sin(cos(x + y))")-1.48235</f>
        <v>0.10708564528898679</v>
      </c>
      <c r="O361" cm="1">
        <f t="array" ref="O361" xml:space="preserve"> mc(500, -PI()/2,PI()/2, 0, 1, "sin(cos(x + y))")-1.48235</f>
        <v>-6.3197349831329852E-3</v>
      </c>
      <c r="P361" cm="1">
        <f t="array" ref="P361" xml:space="preserve"> mc(1000, -PI()/2,PI()/2, 0, 1, "sin(cos(x + y))")-1.48235</f>
        <v>-5.3696135965632497E-2</v>
      </c>
    </row>
    <row r="362" spans="1:16" x14ac:dyDescent="0.3">
      <c r="A362">
        <v>332</v>
      </c>
      <c r="B362" cm="1">
        <f t="array" ref="B362" xml:space="preserve"> mc(100, 0, 4, 1, 2, "x^2+y^2")-92/3</f>
        <v>1.9755359388735378</v>
      </c>
      <c r="C362" cm="1">
        <f t="array" ref="C362" xml:space="preserve"> mc(500, 0, 4, 1, 2, "x^2+y^2")-92/3</f>
        <v>0.13266608333490737</v>
      </c>
      <c r="D362" cm="1">
        <f t="array" ref="D362" xml:space="preserve"> mc(1000, 0, 4, 1, 2, "x^2+y^2")-92/3</f>
        <v>4.6513302729415784E-2</v>
      </c>
      <c r="F362" cm="1">
        <f t="array" ref="F362" xml:space="preserve"> ( mc(100, 3, 4, -1, 1, "EXP(x * sin(y))") ) - 7.39981</f>
        <v>0.57294010866736045</v>
      </c>
      <c r="G362" cm="1">
        <f t="array" ref="G362" xml:space="preserve"> ( mc(500, 3, 4, -1, 1, "EXP(x * sin(y))") ) - 7.39981</f>
        <v>-0.19257399784346152</v>
      </c>
      <c r="H362" cm="1">
        <f t="array" ref="H362" xml:space="preserve"> ( mc(1000, 3, 4, -1, 1, "EXP(x * sin(y))") ) - 7.39981</f>
        <v>0.23073266921085178</v>
      </c>
      <c r="J362" cm="1">
        <f t="array" ref="J362" xml:space="preserve"> mc(100, -PI()/2,0,-1, 1, "ln(EXP(x * y))")</f>
        <v>-0.28772141459369477</v>
      </c>
      <c r="K362" cm="1">
        <f t="array" ref="K362" xml:space="preserve"> mc(500, -PI()/2,0,-1, 1, "ln(EXP(x * y))")</f>
        <v>-0.10669678988400869</v>
      </c>
      <c r="L362" cm="1">
        <f t="array" ref="L362" xml:space="preserve"> mc(1000, -PI()/2,0,-1, 1, "ln(EXP(x * y))")</f>
        <v>8.3132207056181174E-3</v>
      </c>
      <c r="N362" cm="1">
        <f t="array" ref="N362" xml:space="preserve"> mc(100, -PI()/2,PI()/2, 0, 1, "sin(cos(x + y))")-1.48235</f>
        <v>0.10800448304540833</v>
      </c>
      <c r="O362" cm="1">
        <f t="array" ref="O362" xml:space="preserve"> mc(500, -PI()/2,PI()/2, 0, 1, "sin(cos(x + y))")-1.48235</f>
        <v>-0.11847230806587583</v>
      </c>
      <c r="P362" cm="1">
        <f t="array" ref="P362" xml:space="preserve"> mc(1000, -PI()/2,PI()/2, 0, 1, "sin(cos(x + y))")-1.48235</f>
        <v>5.0664716352717631E-2</v>
      </c>
    </row>
    <row r="363" spans="1:16" x14ac:dyDescent="0.3">
      <c r="A363">
        <v>333</v>
      </c>
      <c r="B363" cm="1">
        <f t="array" ref="B363" xml:space="preserve"> mc(100, 0, 4, 1, 2, "x^2+y^2")-92/3</f>
        <v>-3.4941312097948476</v>
      </c>
      <c r="C363" cm="1">
        <f t="array" ref="C363" xml:space="preserve"> mc(500, 0, 4, 1, 2, "x^2+y^2")-92/3</f>
        <v>0.72910423628326626</v>
      </c>
      <c r="D363" cm="1">
        <f t="array" ref="D363" xml:space="preserve"> mc(1000, 0, 4, 1, 2, "x^2+y^2")-92/3</f>
        <v>-1.2178392634250379</v>
      </c>
      <c r="F363" cm="1">
        <f t="array" ref="F363" xml:space="preserve"> ( mc(100, 3, 4, -1, 1, "EXP(x * sin(y))") ) - 7.39981</f>
        <v>-1.7925849667460652</v>
      </c>
      <c r="G363" cm="1">
        <f t="array" ref="G363" xml:space="preserve"> ( mc(500, 3, 4, -1, 1, "EXP(x * sin(y))") ) - 7.39981</f>
        <v>0.24866711965745392</v>
      </c>
      <c r="H363" cm="1">
        <f t="array" ref="H363" xml:space="preserve"> ( mc(1000, 3, 4, -1, 1, "EXP(x * sin(y))") ) - 7.39981</f>
        <v>-0.69161440240197436</v>
      </c>
      <c r="J363" cm="1">
        <f t="array" ref="J363" xml:space="preserve"> mc(100, -PI()/2,0,-1, 1, "ln(EXP(x * y))")</f>
        <v>0.15185255071617415</v>
      </c>
      <c r="K363" cm="1">
        <f t="array" ref="K363" xml:space="preserve"> mc(500, -PI()/2,0,-1, 1, "ln(EXP(x * y))")</f>
        <v>6.3133826795334941E-2</v>
      </c>
      <c r="L363" cm="1">
        <f t="array" ref="L363" xml:space="preserve"> mc(1000, -PI()/2,0,-1, 1, "ln(EXP(x * y))")</f>
        <v>-6.6811803004141771E-3</v>
      </c>
      <c r="N363" cm="1">
        <f t="array" ref="N363" xml:space="preserve"> mc(100, -PI()/2,PI()/2, 0, 1, "sin(cos(x + y))")-1.48235</f>
        <v>0.1954816999362663</v>
      </c>
      <c r="O363" cm="1">
        <f t="array" ref="O363" xml:space="preserve"> mc(500, -PI()/2,PI()/2, 0, 1, "sin(cos(x + y))")-1.48235</f>
        <v>4.9800359976664987E-2</v>
      </c>
      <c r="P363" cm="1">
        <f t="array" ref="P363" xml:space="preserve"> mc(1000, -PI()/2,PI()/2, 0, 1, "sin(cos(x + y))")-1.48235</f>
        <v>-3.8616844034443654E-2</v>
      </c>
    </row>
    <row r="364" spans="1:16" x14ac:dyDescent="0.3">
      <c r="A364">
        <v>334</v>
      </c>
      <c r="B364" cm="1">
        <f t="array" ref="B364" xml:space="preserve"> mc(100, 0, 4, 1, 2, "x^2+y^2")-92/3</f>
        <v>0.53971196487329109</v>
      </c>
      <c r="C364" cm="1">
        <f t="array" ref="C364" xml:space="preserve"> mc(500, 0, 4, 1, 2, "x^2+y^2")-92/3</f>
        <v>0.34056635901628951</v>
      </c>
      <c r="D364" cm="1">
        <f t="array" ref="D364" xml:space="preserve"> mc(1000, 0, 4, 1, 2, "x^2+y^2")-92/3</f>
        <v>-0.27964461790146089</v>
      </c>
      <c r="F364" cm="1">
        <f t="array" ref="F364" xml:space="preserve"> ( mc(100, 3, 4, -1, 1, "EXP(x * sin(y))") ) - 7.39981</f>
        <v>0.68318260961090438</v>
      </c>
      <c r="G364" cm="1">
        <f t="array" ref="G364" xml:space="preserve"> ( mc(500, 3, 4, -1, 1, "EXP(x * sin(y))") ) - 7.39981</f>
        <v>-0.48542607176678132</v>
      </c>
      <c r="H364" cm="1">
        <f t="array" ref="H364" xml:space="preserve"> ( mc(1000, 3, 4, -1, 1, "EXP(x * sin(y))") ) - 7.39981</f>
        <v>-0.41241650269705943</v>
      </c>
      <c r="J364" cm="1">
        <f t="array" ref="J364" xml:space="preserve"> mc(100, -PI()/2,0,-1, 1, "ln(EXP(x * y))")</f>
        <v>7.5822015617181882E-2</v>
      </c>
      <c r="K364" cm="1">
        <f t="array" ref="K364" xml:space="preserve"> mc(500, -PI()/2,0,-1, 1, "ln(EXP(x * y))")</f>
        <v>-8.4165632462635392E-2</v>
      </c>
      <c r="L364" cm="1">
        <f t="array" ref="L364" xml:space="preserve"> mc(1000, -PI()/2,0,-1, 1, "ln(EXP(x * y))")</f>
        <v>-1.2699616503955388E-2</v>
      </c>
      <c r="N364" cm="1">
        <f t="array" ref="N364" xml:space="preserve"> mc(100, -PI()/2,PI()/2, 0, 1, "sin(cos(x + y))")-1.48235</f>
        <v>-6.6252358989391968E-2</v>
      </c>
      <c r="O364" cm="1">
        <f t="array" ref="O364" xml:space="preserve"> mc(500, -PI()/2,PI()/2, 0, 1, "sin(cos(x + y))")-1.48235</f>
        <v>7.772197894136923E-2</v>
      </c>
      <c r="P364" cm="1">
        <f t="array" ref="P364" xml:space="preserve"> mc(1000, -PI()/2,PI()/2, 0, 1, "sin(cos(x + y))")-1.48235</f>
        <v>-4.084358758136597E-2</v>
      </c>
    </row>
    <row r="365" spans="1:16" x14ac:dyDescent="0.3">
      <c r="A365">
        <v>335</v>
      </c>
      <c r="B365" cm="1">
        <f t="array" ref="B365" xml:space="preserve"> mc(100, 0, 4, 1, 2, "x^2+y^2")-92/3</f>
        <v>-0.76036438171303189</v>
      </c>
      <c r="C365" cm="1">
        <f t="array" ref="C365" xml:space="preserve"> mc(500, 0, 4, 1, 2, "x^2+y^2")-92/3</f>
        <v>-0.36167649067311203</v>
      </c>
      <c r="D365" cm="1">
        <f t="array" ref="D365" xml:space="preserve"> mc(1000, 0, 4, 1, 2, "x^2+y^2")-92/3</f>
        <v>0.38209923123005041</v>
      </c>
      <c r="F365" cm="1">
        <f t="array" ref="F365" xml:space="preserve"> ( mc(100, 3, 4, -1, 1, "EXP(x * sin(y))") ) - 7.39981</f>
        <v>0.38016503054522843</v>
      </c>
      <c r="G365" cm="1">
        <f t="array" ref="G365" xml:space="preserve"> ( mc(500, 3, 4, -1, 1, "EXP(x * sin(y))") ) - 7.39981</f>
        <v>-0.22428450919816711</v>
      </c>
      <c r="H365" cm="1">
        <f t="array" ref="H365" xml:space="preserve"> ( mc(1000, 3, 4, -1, 1, "EXP(x * sin(y))") ) - 7.39981</f>
        <v>-0.12800236077478733</v>
      </c>
      <c r="J365" cm="1">
        <f t="array" ref="J365" xml:space="preserve"> mc(100, -PI()/2,0,-1, 1, "ln(EXP(x * y))")</f>
        <v>-0.18328551845216542</v>
      </c>
      <c r="K365" cm="1">
        <f t="array" ref="K365" xml:space="preserve"> mc(500, -PI()/2,0,-1, 1, "ln(EXP(x * y))")</f>
        <v>-1.5978426113297649E-2</v>
      </c>
      <c r="L365" cm="1">
        <f t="array" ref="L365" xml:space="preserve"> mc(1000, -PI()/2,0,-1, 1, "ln(EXP(x * y))")</f>
        <v>3.8868812677472389E-3</v>
      </c>
      <c r="N365" cm="1">
        <f t="array" ref="N365" xml:space="preserve"> mc(100, -PI()/2,PI()/2, 0, 1, "sin(cos(x + y))")-1.48235</f>
        <v>-8.8822394514886938E-3</v>
      </c>
      <c r="O365" cm="1">
        <f t="array" ref="O365" xml:space="preserve"> mc(500, -PI()/2,PI()/2, 0, 1, "sin(cos(x + y))")-1.48235</f>
        <v>-3.520766986032231E-2</v>
      </c>
      <c r="P365" cm="1">
        <f t="array" ref="P365" xml:space="preserve"> mc(1000, -PI()/2,PI()/2, 0, 1, "sin(cos(x + y))")-1.48235</f>
        <v>-7.076751799250891E-2</v>
      </c>
    </row>
    <row r="366" spans="1:16" x14ac:dyDescent="0.3">
      <c r="A366">
        <v>336</v>
      </c>
      <c r="B366" cm="1">
        <f t="array" ref="B366" xml:space="preserve"> mc(100, 0, 4, 1, 2, "x^2+y^2")-92/3</f>
        <v>2.8643120875201014</v>
      </c>
      <c r="C366" cm="1">
        <f t="array" ref="C366" xml:space="preserve"> mc(500, 0, 4, 1, 2, "x^2+y^2")-92/3</f>
        <v>-0.40234574712568616</v>
      </c>
      <c r="D366" cm="1">
        <f t="array" ref="D366" xml:space="preserve"> mc(1000, 0, 4, 1, 2, "x^2+y^2")-92/3</f>
        <v>1.2842230903129774</v>
      </c>
      <c r="F366" cm="1">
        <f t="array" ref="F366" xml:space="preserve"> ( mc(100, 3, 4, -1, 1, "EXP(x * sin(y))") ) - 7.39981</f>
        <v>-0.43936874510984314</v>
      </c>
      <c r="G366" cm="1">
        <f t="array" ref="G366" xml:space="preserve"> ( mc(500, 3, 4, -1, 1, "EXP(x * sin(y))") ) - 7.39981</f>
        <v>-0.43791033535476753</v>
      </c>
      <c r="H366" cm="1">
        <f t="array" ref="H366" xml:space="preserve"> ( mc(1000, 3, 4, -1, 1, "EXP(x * sin(y))") ) - 7.39981</f>
        <v>0.26269788841595698</v>
      </c>
      <c r="J366" cm="1">
        <f t="array" ref="J366" xml:space="preserve"> mc(100, -PI()/2,0,-1, 1, "ln(EXP(x * y))")</f>
        <v>7.6858200553716088E-2</v>
      </c>
      <c r="K366" cm="1">
        <f t="array" ref="K366" xml:space="preserve"> mc(500, -PI()/2,0,-1, 1, "ln(EXP(x * y))")</f>
        <v>-4.9278423732406927E-3</v>
      </c>
      <c r="L366" cm="1">
        <f t="array" ref="L366" xml:space="preserve"> mc(1000, -PI()/2,0,-1, 1, "ln(EXP(x * y))")</f>
        <v>-9.9710355973754647E-3</v>
      </c>
      <c r="N366" cm="1">
        <f t="array" ref="N366" xml:space="preserve"> mc(100, -PI()/2,PI()/2, 0, 1, "sin(cos(x + y))")-1.48235</f>
        <v>-0.1366270258277047</v>
      </c>
      <c r="O366" cm="1">
        <f t="array" ref="O366" xml:space="preserve"> mc(500, -PI()/2,PI()/2, 0, 1, "sin(cos(x + y))")-1.48235</f>
        <v>4.0489999268904064E-2</v>
      </c>
      <c r="P366" cm="1">
        <f t="array" ref="P366" xml:space="preserve"> mc(1000, -PI()/2,PI()/2, 0, 1, "sin(cos(x + y))")-1.48235</f>
        <v>-2.1480042288480439E-2</v>
      </c>
    </row>
    <row r="367" spans="1:16" x14ac:dyDescent="0.3">
      <c r="A367">
        <v>337</v>
      </c>
      <c r="B367" cm="1">
        <f t="array" ref="B367" xml:space="preserve"> mc(100, 0, 4, 1, 2, "x^2+y^2")-92/3</f>
        <v>0.20425162770068539</v>
      </c>
      <c r="C367" cm="1">
        <f t="array" ref="C367" xml:space="preserve"> mc(500, 0, 4, 1, 2, "x^2+y^2")-92/3</f>
        <v>0.89952966133906997</v>
      </c>
      <c r="D367" cm="1">
        <f t="array" ref="D367" xml:space="preserve"> mc(1000, 0, 4, 1, 2, "x^2+y^2")-92/3</f>
        <v>0.43197798084570493</v>
      </c>
      <c r="F367" cm="1">
        <f t="array" ref="F367" xml:space="preserve"> ( mc(100, 3, 4, -1, 1, "EXP(x * sin(y))") ) - 7.39981</f>
        <v>0.34392674807833679</v>
      </c>
      <c r="G367" cm="1">
        <f t="array" ref="G367" xml:space="preserve"> ( mc(500, 3, 4, -1, 1, "EXP(x * sin(y))") ) - 7.39981</f>
        <v>9.6742800475974278E-2</v>
      </c>
      <c r="H367" cm="1">
        <f t="array" ref="H367" xml:space="preserve"> ( mc(1000, 3, 4, -1, 1, "EXP(x * sin(y))") ) - 7.39981</f>
        <v>-9.4060682578438914E-2</v>
      </c>
      <c r="J367" cm="1">
        <f t="array" ref="J367" xml:space="preserve"> mc(100, -PI()/2,0,-1, 1, "ln(EXP(x * y))")</f>
        <v>0.27835840710591131</v>
      </c>
      <c r="K367" cm="1">
        <f t="array" ref="K367" xml:space="preserve"> mc(500, -PI()/2,0,-1, 1, "ln(EXP(x * y))")</f>
        <v>3.7045623611716087E-2</v>
      </c>
      <c r="L367" cm="1">
        <f t="array" ref="L367" xml:space="preserve"> mc(1000, -PI()/2,0,-1, 1, "ln(EXP(x * y))")</f>
        <v>-6.3504740046405148E-2</v>
      </c>
      <c r="N367" cm="1">
        <f t="array" ref="N367" xml:space="preserve"> mc(100, -PI()/2,PI()/2, 0, 1, "sin(cos(x + y))")-1.48235</f>
        <v>0.10709318667081691</v>
      </c>
      <c r="O367" cm="1">
        <f t="array" ref="O367" xml:space="preserve"> mc(500, -PI()/2,PI()/2, 0, 1, "sin(cos(x + y))")-1.48235</f>
        <v>-5.7561095543330776E-2</v>
      </c>
      <c r="P367" cm="1">
        <f t="array" ref="P367" xml:space="preserve"> mc(1000, -PI()/2,PI()/2, 0, 1, "sin(cos(x + y))")-1.48235</f>
        <v>-4.1241971177670589E-2</v>
      </c>
    </row>
    <row r="368" spans="1:16" x14ac:dyDescent="0.3">
      <c r="A368">
        <v>338</v>
      </c>
      <c r="B368" cm="1">
        <f t="array" ref="B368" xml:space="preserve"> mc(100, 0, 4, 1, 2, "x^2+y^2")-92/3</f>
        <v>1.703275609808113</v>
      </c>
      <c r="C368" cm="1">
        <f t="array" ref="C368" xml:space="preserve"> mc(500, 0, 4, 1, 2, "x^2+y^2")-92/3</f>
        <v>8.735502040628873E-2</v>
      </c>
      <c r="D368" cm="1">
        <f t="array" ref="D368" xml:space="preserve"> mc(1000, 0, 4, 1, 2, "x^2+y^2")-92/3</f>
        <v>-0.21642057574672791</v>
      </c>
      <c r="F368" cm="1">
        <f t="array" ref="F368" xml:space="preserve"> ( mc(100, 3, 4, -1, 1, "EXP(x * sin(y))") ) - 7.39981</f>
        <v>0.56241043952872971</v>
      </c>
      <c r="G368" cm="1">
        <f t="array" ref="G368" xml:space="preserve"> ( mc(500, 3, 4, -1, 1, "EXP(x * sin(y))") ) - 7.39981</f>
        <v>-0.3778950993089758</v>
      </c>
      <c r="H368" cm="1">
        <f t="array" ref="H368" xml:space="preserve"> ( mc(1000, 3, 4, -1, 1, "EXP(x * sin(y))") ) - 7.39981</f>
        <v>-3.5145881374313959E-2</v>
      </c>
      <c r="J368" cm="1">
        <f t="array" ref="J368" xml:space="preserve"> mc(100, -PI()/2,0,-1, 1, "ln(EXP(x * y))")</f>
        <v>0.40967976104654341</v>
      </c>
      <c r="K368" cm="1">
        <f t="array" ref="K368" xml:space="preserve"> mc(500, -PI()/2,0,-1, 1, "ln(EXP(x * y))")</f>
        <v>1.6805055010342955E-2</v>
      </c>
      <c r="L368" cm="1">
        <f t="array" ref="L368" xml:space="preserve"> mc(1000, -PI()/2,0,-1, 1, "ln(EXP(x * y))")</f>
        <v>-9.4390269720142306E-2</v>
      </c>
      <c r="N368" cm="1">
        <f t="array" ref="N368" xml:space="preserve"> mc(100, -PI()/2,PI()/2, 0, 1, "sin(cos(x + y))")-1.48235</f>
        <v>-9.4611003627234069E-3</v>
      </c>
      <c r="O368" cm="1">
        <f t="array" ref="O368" xml:space="preserve"> mc(500, -PI()/2,PI()/2, 0, 1, "sin(cos(x + y))")-1.48235</f>
        <v>-3.8175978155716495E-2</v>
      </c>
      <c r="P368" cm="1">
        <f t="array" ref="P368" xml:space="preserve"> mc(1000, -PI()/2,PI()/2, 0, 1, "sin(cos(x + y))")-1.48235</f>
        <v>-5.1601957013145183E-2</v>
      </c>
    </row>
    <row r="369" spans="1:16" x14ac:dyDescent="0.3">
      <c r="A369">
        <v>339</v>
      </c>
      <c r="B369" cm="1">
        <f t="array" ref="B369" xml:space="preserve"> mc(100, 0, 4, 1, 2, "x^2+y^2")-92/3</f>
        <v>-3.1388059554855303</v>
      </c>
      <c r="C369" cm="1">
        <f t="array" ref="C369" xml:space="preserve"> mc(500, 0, 4, 1, 2, "x^2+y^2")-92/3</f>
        <v>0.28596608020673386</v>
      </c>
      <c r="D369" cm="1">
        <f t="array" ref="D369" xml:space="preserve"> mc(1000, 0, 4, 1, 2, "x^2+y^2")-92/3</f>
        <v>-0.35670812103331073</v>
      </c>
      <c r="F369" cm="1">
        <f t="array" ref="F369" xml:space="preserve"> ( mc(100, 3, 4, -1, 1, "EXP(x * sin(y))") ) - 7.39981</f>
        <v>-0.94365452845988163</v>
      </c>
      <c r="G369" cm="1">
        <f t="array" ref="G369" xml:space="preserve"> ( mc(500, 3, 4, -1, 1, "EXP(x * sin(y))") ) - 7.39981</f>
        <v>-0.27174297910133749</v>
      </c>
      <c r="H369" cm="1">
        <f t="array" ref="H369" xml:space="preserve"> ( mc(1000, 3, 4, -1, 1, "EXP(x * sin(y))") ) - 7.39981</f>
        <v>-0.41237340971084979</v>
      </c>
      <c r="J369" cm="1">
        <f t="array" ref="J369" xml:space="preserve"> mc(100, -PI()/2,0,-1, 1, "ln(EXP(x * y))")</f>
        <v>0.15389547497549935</v>
      </c>
      <c r="K369" cm="1">
        <f t="array" ref="K369" xml:space="preserve"> mc(500, -PI()/2,0,-1, 1, "ln(EXP(x * y))")</f>
        <v>-0.10886431375405005</v>
      </c>
      <c r="L369" cm="1">
        <f t="array" ref="L369" xml:space="preserve"> mc(1000, -PI()/2,0,-1, 1, "ln(EXP(x * y))")</f>
        <v>2.451115203033085E-2</v>
      </c>
      <c r="N369" cm="1">
        <f t="array" ref="N369" xml:space="preserve"> mc(100, -PI()/2,PI()/2, 0, 1, "sin(cos(x + y))")-1.48235</f>
        <v>0.25003194031727305</v>
      </c>
      <c r="O369" cm="1">
        <f t="array" ref="O369" xml:space="preserve"> mc(500, -PI()/2,PI()/2, 0, 1, "sin(cos(x + y))")-1.48235</f>
        <v>9.1267252737610383E-2</v>
      </c>
      <c r="P369" cm="1">
        <f t="array" ref="P369" xml:space="preserve"> mc(1000, -PI()/2,PI()/2, 0, 1, "sin(cos(x + y))")-1.48235</f>
        <v>-7.4447597800168186E-2</v>
      </c>
    </row>
    <row r="370" spans="1:16" x14ac:dyDescent="0.3">
      <c r="A370">
        <v>340</v>
      </c>
      <c r="B370" cm="1">
        <f t="array" ref="B370" xml:space="preserve"> mc(100, 0, 4, 1, 2, "x^2+y^2")-92/3</f>
        <v>-3.2772833725169015</v>
      </c>
      <c r="C370" cm="1">
        <f t="array" ref="C370" xml:space="preserve"> mc(500, 0, 4, 1, 2, "x^2+y^2")-92/3</f>
        <v>-0.14950984396022804</v>
      </c>
      <c r="D370" cm="1">
        <f t="array" ref="D370" xml:space="preserve"> mc(1000, 0, 4, 1, 2, "x^2+y^2")-92/3</f>
        <v>0.92800116495808993</v>
      </c>
      <c r="F370" cm="1">
        <f t="array" ref="F370" xml:space="preserve"> ( mc(100, 3, 4, -1, 1, "EXP(x * sin(y))") ) - 7.39981</f>
        <v>-1.5299480001333263</v>
      </c>
      <c r="G370" cm="1">
        <f t="array" ref="G370" xml:space="preserve"> ( mc(500, 3, 4, -1, 1, "EXP(x * sin(y))") ) - 7.39981</f>
        <v>3.5654586520688092E-2</v>
      </c>
      <c r="H370" cm="1">
        <f t="array" ref="H370" xml:space="preserve"> ( mc(1000, 3, 4, -1, 1, "EXP(x * sin(y))") ) - 7.39981</f>
        <v>0.49647136536684844</v>
      </c>
      <c r="J370" cm="1">
        <f t="array" ref="J370" xml:space="preserve"> mc(100, -PI()/2,0,-1, 1, "ln(EXP(x * y))")</f>
        <v>3.911390803068223E-2</v>
      </c>
      <c r="K370" cm="1">
        <f t="array" ref="K370" xml:space="preserve"> mc(500, -PI()/2,0,-1, 1, "ln(EXP(x * y))")</f>
        <v>-6.5843703081783639E-2</v>
      </c>
      <c r="L370" cm="1">
        <f t="array" ref="L370" xml:space="preserve"> mc(1000, -PI()/2,0,-1, 1, "ln(EXP(x * y))")</f>
        <v>7.0621726110307878E-3</v>
      </c>
      <c r="N370" cm="1">
        <f t="array" ref="N370" xml:space="preserve"> mc(100, -PI()/2,PI()/2, 0, 1, "sin(cos(x + y))")-1.48235</f>
        <v>0.14778660563182022</v>
      </c>
      <c r="O370" cm="1">
        <f t="array" ref="O370" xml:space="preserve"> mc(500, -PI()/2,PI()/2, 0, 1, "sin(cos(x + y))")-1.48235</f>
        <v>-0.1465679701455942</v>
      </c>
      <c r="P370" cm="1">
        <f t="array" ref="P370" xml:space="preserve"> mc(1000, -PI()/2,PI()/2, 0, 1, "sin(cos(x + y))")-1.48235</f>
        <v>-4.3491475662694512E-2</v>
      </c>
    </row>
    <row r="371" spans="1:16" x14ac:dyDescent="0.3">
      <c r="A371">
        <v>341</v>
      </c>
      <c r="B371" cm="1">
        <f t="array" ref="B371" xml:space="preserve"> mc(100, 0, 4, 1, 2, "x^2+y^2")-92/3</f>
        <v>2.9855275466975861</v>
      </c>
      <c r="C371" cm="1">
        <f t="array" ref="C371" xml:space="preserve"> mc(500, 0, 4, 1, 2, "x^2+y^2")-92/3</f>
        <v>0.98721454315193569</v>
      </c>
      <c r="D371" cm="1">
        <f t="array" ref="D371" xml:space="preserve"> mc(1000, 0, 4, 1, 2, "x^2+y^2")-92/3</f>
        <v>0.64103559042941072</v>
      </c>
      <c r="F371" cm="1">
        <f t="array" ref="F371" xml:space="preserve"> ( mc(100, 3, 4, -1, 1, "EXP(x * sin(y))") ) - 7.39981</f>
        <v>-0.55323756728245677</v>
      </c>
      <c r="G371" cm="1">
        <f t="array" ref="G371" xml:space="preserve"> ( mc(500, 3, 4, -1, 1, "EXP(x * sin(y))") ) - 7.39981</f>
        <v>0.43542568340137056</v>
      </c>
      <c r="H371" cm="1">
        <f t="array" ref="H371" xml:space="preserve"> ( mc(1000, 3, 4, -1, 1, "EXP(x * sin(y))") ) - 7.39981</f>
        <v>0.32840541902710552</v>
      </c>
      <c r="J371" cm="1">
        <f t="array" ref="J371" xml:space="preserve"> mc(100, -PI()/2,0,-1, 1, "ln(EXP(x * y))")</f>
        <v>8.012382384456336E-2</v>
      </c>
      <c r="K371" cm="1">
        <f t="array" ref="K371" xml:space="preserve"> mc(500, -PI()/2,0,-1, 1, "ln(EXP(x * y))")</f>
        <v>-2.5630054937550422E-2</v>
      </c>
      <c r="L371" cm="1">
        <f t="array" ref="L371" xml:space="preserve"> mc(1000, -PI()/2,0,-1, 1, "ln(EXP(x * y))")</f>
        <v>4.436314405653642E-3</v>
      </c>
      <c r="N371" cm="1">
        <f t="array" ref="N371" xml:space="preserve"> mc(100, -PI()/2,PI()/2, 0, 1, "sin(cos(x + y))")-1.48235</f>
        <v>4.0605668780341997E-2</v>
      </c>
      <c r="O371" cm="1">
        <f t="array" ref="O371" xml:space="preserve"> mc(500, -PI()/2,PI()/2, 0, 1, "sin(cos(x + y))")-1.48235</f>
        <v>6.2164721985609184E-2</v>
      </c>
      <c r="P371" cm="1">
        <f t="array" ref="P371" xml:space="preserve"> mc(1000, -PI()/2,PI()/2, 0, 1, "sin(cos(x + y))")-1.48235</f>
        <v>1.9469159804559988E-2</v>
      </c>
    </row>
    <row r="372" spans="1:16" x14ac:dyDescent="0.3">
      <c r="A372">
        <v>342</v>
      </c>
      <c r="B372" cm="1">
        <f t="array" ref="B372" xml:space="preserve"> mc(100, 0, 4, 1, 2, "x^2+y^2")-92/3</f>
        <v>1.1616271081542777</v>
      </c>
      <c r="C372" cm="1">
        <f t="array" ref="C372" xml:space="preserve"> mc(500, 0, 4, 1, 2, "x^2+y^2")-92/3</f>
        <v>-0.5338622307236065</v>
      </c>
      <c r="D372" cm="1">
        <f t="array" ref="D372" xml:space="preserve"> mc(1000, 0, 4, 1, 2, "x^2+y^2")-92/3</f>
        <v>0.95400181712762233</v>
      </c>
      <c r="F372" cm="1">
        <f t="array" ref="F372" xml:space="preserve"> ( mc(100, 3, 4, -1, 1, "EXP(x * sin(y))") ) - 7.39981</f>
        <v>-0.29017918639423268</v>
      </c>
      <c r="G372" cm="1">
        <f t="array" ref="G372" xml:space="preserve"> ( mc(500, 3, 4, -1, 1, "EXP(x * sin(y))") ) - 7.39981</f>
        <v>0.88239085119743343</v>
      </c>
      <c r="H372" cm="1">
        <f t="array" ref="H372" xml:space="preserve"> ( mc(1000, 3, 4, -1, 1, "EXP(x * sin(y))") ) - 7.39981</f>
        <v>0.34023891312209198</v>
      </c>
      <c r="J372" cm="1">
        <f t="array" ref="J372" xml:space="preserve"> mc(100, -PI()/2,0,-1, 1, "ln(EXP(x * y))")</f>
        <v>1.3620573705194695E-2</v>
      </c>
      <c r="K372" cm="1">
        <f t="array" ref="K372" xml:space="preserve"> mc(500, -PI()/2,0,-1, 1, "ln(EXP(x * y))")</f>
        <v>2.2987909199545922E-2</v>
      </c>
      <c r="L372" cm="1">
        <f t="array" ref="L372" xml:space="preserve"> mc(1000, -PI()/2,0,-1, 1, "ln(EXP(x * y))")</f>
        <v>8.7125985067317641E-2</v>
      </c>
      <c r="N372" cm="1">
        <f t="array" ref="N372" xml:space="preserve"> mc(100, -PI()/2,PI()/2, 0, 1, "sin(cos(x + y))")-1.48235</f>
        <v>-8.2794908587254135E-2</v>
      </c>
      <c r="O372" cm="1">
        <f t="array" ref="O372" xml:space="preserve"> mc(500, -PI()/2,PI()/2, 0, 1, "sin(cos(x + y))")-1.48235</f>
        <v>2.9081403006962381E-2</v>
      </c>
      <c r="P372" cm="1">
        <f t="array" ref="P372" xml:space="preserve"> mc(1000, -PI()/2,PI()/2, 0, 1, "sin(cos(x + y))")-1.48235</f>
        <v>1.7737373371716991E-2</v>
      </c>
    </row>
    <row r="373" spans="1:16" x14ac:dyDescent="0.3">
      <c r="A373">
        <v>343</v>
      </c>
      <c r="B373" cm="1">
        <f t="array" ref="B373" xml:space="preserve"> mc(100, 0, 4, 1, 2, "x^2+y^2")-92/3</f>
        <v>1.7422325665027394</v>
      </c>
      <c r="C373" cm="1">
        <f t="array" ref="C373" xml:space="preserve"> mc(500, 0, 4, 1, 2, "x^2+y^2")-92/3</f>
        <v>-0.7509275432506719</v>
      </c>
      <c r="D373" cm="1">
        <f t="array" ref="D373" xml:space="preserve"> mc(1000, 0, 4, 1, 2, "x^2+y^2")-92/3</f>
        <v>0.51203294502287378</v>
      </c>
      <c r="F373" cm="1">
        <f t="array" ref="F373" xml:space="preserve"> ( mc(100, 3, 4, -1, 1, "EXP(x * sin(y))") ) - 7.39981</f>
        <v>1.6659593940964115</v>
      </c>
      <c r="G373" cm="1">
        <f t="array" ref="G373" xml:space="preserve"> ( mc(500, 3, 4, -1, 1, "EXP(x * sin(y))") ) - 7.39981</f>
        <v>-9.1901018789529054E-2</v>
      </c>
      <c r="H373" cm="1">
        <f t="array" ref="H373" xml:space="preserve"> ( mc(1000, 3, 4, -1, 1, "EXP(x * sin(y))") ) - 7.39981</f>
        <v>-0.16424215051226021</v>
      </c>
      <c r="J373" cm="1">
        <f t="array" ref="J373" xml:space="preserve"> mc(100, -PI()/2,0,-1, 1, "ln(EXP(x * y))")</f>
        <v>7.8248386298806386E-2</v>
      </c>
      <c r="K373" cm="1">
        <f t="array" ref="K373" xml:space="preserve"> mc(500, -PI()/2,0,-1, 1, "ln(EXP(x * y))")</f>
        <v>-3.6516994841263618E-2</v>
      </c>
      <c r="L373" cm="1">
        <f t="array" ref="L373" xml:space="preserve"> mc(1000, -PI()/2,0,-1, 1, "ln(EXP(x * y))")</f>
        <v>3.3536110904231017E-2</v>
      </c>
      <c r="N373" cm="1">
        <f t="array" ref="N373" xml:space="preserve"> mc(100, -PI()/2,PI()/2, 0, 1, "sin(cos(x + y))")-1.48235</f>
        <v>1.8339204504901119E-2</v>
      </c>
      <c r="O373" cm="1">
        <f t="array" ref="O373" xml:space="preserve"> mc(500, -PI()/2,PI()/2, 0, 1, "sin(cos(x + y))")-1.48235</f>
        <v>2.673213019123688E-2</v>
      </c>
      <c r="P373" cm="1">
        <f t="array" ref="P373" xml:space="preserve"> mc(1000, -PI()/2,PI()/2, 0, 1, "sin(cos(x + y))")-1.48235</f>
        <v>4.298150871506512E-2</v>
      </c>
    </row>
    <row r="374" spans="1:16" x14ac:dyDescent="0.3">
      <c r="A374">
        <v>344</v>
      </c>
      <c r="B374" cm="1">
        <f t="array" ref="B374" xml:space="preserve"> mc(100, 0, 4, 1, 2, "x^2+y^2")-92/3</f>
        <v>4.2772480142369709</v>
      </c>
      <c r="C374" cm="1">
        <f t="array" ref="C374" xml:space="preserve"> mc(500, 0, 4, 1, 2, "x^2+y^2")-92/3</f>
        <v>-6.1310941141243802E-3</v>
      </c>
      <c r="D374" cm="1">
        <f t="array" ref="D374" xml:space="preserve"> mc(1000, 0, 4, 1, 2, "x^2+y^2")-92/3</f>
        <v>0.1624530241869806</v>
      </c>
      <c r="F374" cm="1">
        <f t="array" ref="F374" xml:space="preserve"> ( mc(100, 3, 4, -1, 1, "EXP(x * sin(y))") ) - 7.39981</f>
        <v>-1.3783652326151383</v>
      </c>
      <c r="G374" cm="1">
        <f t="array" ref="G374" xml:space="preserve"> ( mc(500, 3, 4, -1, 1, "EXP(x * sin(y))") ) - 7.39981</f>
        <v>0.47488415894228719</v>
      </c>
      <c r="H374" cm="1">
        <f t="array" ref="H374" xml:space="preserve"> ( mc(1000, 3, 4, -1, 1, "EXP(x * sin(y))") ) - 7.39981</f>
        <v>2.8899960132469538E-2</v>
      </c>
      <c r="J374" cm="1">
        <f t="array" ref="J374" xml:space="preserve"> mc(100, -PI()/2,0,-1, 1, "ln(EXP(x * y))")</f>
        <v>-0.13175656599444835</v>
      </c>
      <c r="K374" cm="1">
        <f t="array" ref="K374" xml:space="preserve"> mc(500, -PI()/2,0,-1, 1, "ln(EXP(x * y))")</f>
        <v>7.0795723438125983E-3</v>
      </c>
      <c r="L374" cm="1">
        <f t="array" ref="L374" xml:space="preserve"> mc(1000, -PI()/2,0,-1, 1, "ln(EXP(x * y))")</f>
        <v>-4.2903788858267948E-2</v>
      </c>
      <c r="N374" cm="1">
        <f t="array" ref="N374" xml:space="preserve"> mc(100, -PI()/2,PI()/2, 0, 1, "sin(cos(x + y))")-1.48235</f>
        <v>6.9935697215809389E-2</v>
      </c>
      <c r="O374" cm="1">
        <f t="array" ref="O374" xml:space="preserve"> mc(500, -PI()/2,PI()/2, 0, 1, "sin(cos(x + y))")-1.48235</f>
        <v>-7.3953110063311289E-2</v>
      </c>
      <c r="P374" cm="1">
        <f t="array" ref="P374" xml:space="preserve"> mc(1000, -PI()/2,PI()/2, 0, 1, "sin(cos(x + y))")-1.48235</f>
        <v>1.8204156209010725E-2</v>
      </c>
    </row>
    <row r="375" spans="1:16" x14ac:dyDescent="0.3">
      <c r="A375">
        <v>345</v>
      </c>
      <c r="B375" cm="1">
        <f t="array" ref="B375" xml:space="preserve"> mc(100, 0, 4, 1, 2, "x^2+y^2")-92/3</f>
        <v>-0.66515108466472128</v>
      </c>
      <c r="C375" cm="1">
        <f t="array" ref="C375" xml:space="preserve"> mc(500, 0, 4, 1, 2, "x^2+y^2")-92/3</f>
        <v>-1.1074926576407762</v>
      </c>
      <c r="D375" cm="1">
        <f t="array" ref="D375" xml:space="preserve"> mc(1000, 0, 4, 1, 2, "x^2+y^2")-92/3</f>
        <v>0.19193140240011886</v>
      </c>
      <c r="F375" cm="1">
        <f t="array" ref="F375" xml:space="preserve"> ( mc(100, 3, 4, -1, 1, "EXP(x * sin(y))") ) - 7.39981</f>
        <v>-0.22106736010258921</v>
      </c>
      <c r="G375" cm="1">
        <f t="array" ref="G375" xml:space="preserve"> ( mc(500, 3, 4, -1, 1, "EXP(x * sin(y))") ) - 7.39981</f>
        <v>-9.7683701111660248E-2</v>
      </c>
      <c r="H375" cm="1">
        <f t="array" ref="H375" xml:space="preserve"> ( mc(1000, 3, 4, -1, 1, "EXP(x * sin(y))") ) - 7.39981</f>
        <v>-5.5119270202307113E-2</v>
      </c>
      <c r="J375" cm="1">
        <f t="array" ref="J375" xml:space="preserve"> mc(100, -PI()/2,0,-1, 1, "ln(EXP(x * y))")</f>
        <v>-7.9741527624721323E-3</v>
      </c>
      <c r="K375" cm="1">
        <f t="array" ref="K375" xml:space="preserve"> mc(500, -PI()/2,0,-1, 1, "ln(EXP(x * y))")</f>
        <v>1.9139397748197833E-2</v>
      </c>
      <c r="L375" cm="1">
        <f t="array" ref="L375" xml:space="preserve"> mc(1000, -PI()/2,0,-1, 1, "ln(EXP(x * y))")</f>
        <v>-1.1400406116194868E-2</v>
      </c>
      <c r="N375" cm="1">
        <f t="array" ref="N375" xml:space="preserve"> mc(100, -PI()/2,PI()/2, 0, 1, "sin(cos(x + y))")-1.48235</f>
        <v>-0.15599568124251517</v>
      </c>
      <c r="O375" cm="1">
        <f t="array" ref="O375" xml:space="preserve"> mc(500, -PI()/2,PI()/2, 0, 1, "sin(cos(x + y))")-1.48235</f>
        <v>0.14422937600140107</v>
      </c>
      <c r="P375" cm="1">
        <f t="array" ref="P375" xml:space="preserve"> mc(1000, -PI()/2,PI()/2, 0, 1, "sin(cos(x + y))")-1.48235</f>
        <v>2.2415043845094296E-2</v>
      </c>
    </row>
    <row r="376" spans="1:16" x14ac:dyDescent="0.3">
      <c r="A376">
        <v>346</v>
      </c>
      <c r="B376" cm="1">
        <f t="array" ref="B376" xml:space="preserve"> mc(100, 0, 4, 1, 2, "x^2+y^2")-92/3</f>
        <v>-0.56399279157957594</v>
      </c>
      <c r="C376" cm="1">
        <f t="array" ref="C376" xml:space="preserve"> mc(500, 0, 4, 1, 2, "x^2+y^2")-92/3</f>
        <v>-1.1164797628705827</v>
      </c>
      <c r="D376" cm="1">
        <f t="array" ref="D376" xml:space="preserve"> mc(1000, 0, 4, 1, 2, "x^2+y^2")-92/3</f>
        <v>-0.1850633489310809</v>
      </c>
      <c r="F376" cm="1">
        <f t="array" ref="F376" xml:space="preserve"> ( mc(100, 3, 4, -1, 1, "EXP(x * sin(y))") ) - 7.39981</f>
        <v>-0.63688020419332325</v>
      </c>
      <c r="G376" cm="1">
        <f t="array" ref="G376" xml:space="preserve"> ( mc(500, 3, 4, -1, 1, "EXP(x * sin(y))") ) - 7.39981</f>
        <v>-0.71020547258861111</v>
      </c>
      <c r="H376" cm="1">
        <f t="array" ref="H376" xml:space="preserve"> ( mc(1000, 3, 4, -1, 1, "EXP(x * sin(y))") ) - 7.39981</f>
        <v>0.15243821845838657</v>
      </c>
      <c r="J376" cm="1">
        <f t="array" ref="J376" xml:space="preserve"> mc(100, -PI()/2,0,-1, 1, "ln(EXP(x * y))")</f>
        <v>-0.12100380927619858</v>
      </c>
      <c r="K376" cm="1">
        <f t="array" ref="K376" xml:space="preserve"> mc(500, -PI()/2,0,-1, 1, "ln(EXP(x * y))")</f>
        <v>-1.6464567126356675E-2</v>
      </c>
      <c r="L376" cm="1">
        <f t="array" ref="L376" xml:space="preserve"> mc(1000, -PI()/2,0,-1, 1, "ln(EXP(x * y))")</f>
        <v>2.9799534317693277E-2</v>
      </c>
      <c r="N376" cm="1">
        <f t="array" ref="N376" xml:space="preserve"> mc(100, -PI()/2,PI()/2, 0, 1, "sin(cos(x + y))")-1.48235</f>
        <v>-9.2447220954506415E-2</v>
      </c>
      <c r="O376" cm="1">
        <f t="array" ref="O376" xml:space="preserve"> mc(500, -PI()/2,PI()/2, 0, 1, "sin(cos(x + y))")-1.48235</f>
        <v>-3.2215683748069157E-2</v>
      </c>
      <c r="P376" cm="1">
        <f t="array" ref="P376" xml:space="preserve"> mc(1000, -PI()/2,PI()/2, 0, 1, "sin(cos(x + y))")-1.48235</f>
        <v>2.8822111466246803E-3</v>
      </c>
    </row>
    <row r="377" spans="1:16" x14ac:dyDescent="0.3">
      <c r="A377">
        <v>347</v>
      </c>
      <c r="B377" cm="1">
        <f t="array" ref="B377" xml:space="preserve"> mc(100, 0, 4, 1, 2, "x^2+y^2")-92/3</f>
        <v>8.434019328115383E-2</v>
      </c>
      <c r="C377" cm="1">
        <f t="array" ref="C377" xml:space="preserve"> mc(500, 0, 4, 1, 2, "x^2+y^2")-92/3</f>
        <v>0.62279050392572444</v>
      </c>
      <c r="D377" cm="1">
        <f t="array" ref="D377" xml:space="preserve"> mc(1000, 0, 4, 1, 2, "x^2+y^2")-92/3</f>
        <v>0.47698960107911148</v>
      </c>
      <c r="F377" cm="1">
        <f t="array" ref="F377" xml:space="preserve"> ( mc(100, 3, 4, -1, 1, "EXP(x * sin(y))") ) - 7.39981</f>
        <v>-0.55969319094276848</v>
      </c>
      <c r="G377" cm="1">
        <f t="array" ref="G377" xml:space="preserve"> ( mc(500, 3, 4, -1, 1, "EXP(x * sin(y))") ) - 7.39981</f>
        <v>0.20271306142603773</v>
      </c>
      <c r="H377" cm="1">
        <f t="array" ref="H377" xml:space="preserve"> ( mc(1000, 3, 4, -1, 1, "EXP(x * sin(y))") ) - 7.39981</f>
        <v>0.1681292050010379</v>
      </c>
      <c r="J377" cm="1">
        <f t="array" ref="J377" xml:space="preserve"> mc(100, -PI()/2,0,-1, 1, "ln(EXP(x * y))")</f>
        <v>-0.12073776735563506</v>
      </c>
      <c r="K377" cm="1">
        <f t="array" ref="K377" xml:space="preserve"> mc(500, -PI()/2,0,-1, 1, "ln(EXP(x * y))")</f>
        <v>-5.2625704585962899E-2</v>
      </c>
      <c r="L377" cm="1">
        <f t="array" ref="L377" xml:space="preserve"> mc(1000, -PI()/2,0,-1, 1, "ln(EXP(x * y))")</f>
        <v>3.3850712662241468E-2</v>
      </c>
      <c r="N377" cm="1">
        <f t="array" ref="N377" xml:space="preserve"> mc(100, -PI()/2,PI()/2, 0, 1, "sin(cos(x + y))")-1.48235</f>
        <v>-9.3654556779327436E-2</v>
      </c>
      <c r="O377" cm="1">
        <f t="array" ref="O377" xml:space="preserve"> mc(500, -PI()/2,PI()/2, 0, 1, "sin(cos(x + y))")-1.48235</f>
        <v>9.9789357164756565E-2</v>
      </c>
      <c r="P377" cm="1">
        <f t="array" ref="P377" xml:space="preserve"> mc(1000, -PI()/2,PI()/2, 0, 1, "sin(cos(x + y))")-1.48235</f>
        <v>-7.153465677817139E-2</v>
      </c>
    </row>
    <row r="378" spans="1:16" x14ac:dyDescent="0.3">
      <c r="A378">
        <v>348</v>
      </c>
      <c r="B378" cm="1">
        <f t="array" ref="B378" xml:space="preserve"> mc(100, 0, 4, 1, 2, "x^2+y^2")-92/3</f>
        <v>0.22117475529764974</v>
      </c>
      <c r="C378" cm="1">
        <f t="array" ref="C378" xml:space="preserve"> mc(500, 0, 4, 1, 2, "x^2+y^2")-92/3</f>
        <v>-0.6810923032921643</v>
      </c>
      <c r="D378" cm="1">
        <f t="array" ref="D378" xml:space="preserve"> mc(1000, 0, 4, 1, 2, "x^2+y^2")-92/3</f>
        <v>0.63895373148446311</v>
      </c>
      <c r="F378" cm="1">
        <f t="array" ref="F378" xml:space="preserve"> ( mc(100, 3, 4, -1, 1, "EXP(x * sin(y))") ) - 7.39981</f>
        <v>0.94209367752867124</v>
      </c>
      <c r="G378" cm="1">
        <f t="array" ref="G378" xml:space="preserve"> ( mc(500, 3, 4, -1, 1, "EXP(x * sin(y))") ) - 7.39981</f>
        <v>0.53386309188907521</v>
      </c>
      <c r="H378" cm="1">
        <f t="array" ref="H378" xml:space="preserve"> ( mc(1000, 3, 4, -1, 1, "EXP(x * sin(y))") ) - 7.39981</f>
        <v>0.10419777513647599</v>
      </c>
      <c r="J378" cm="1">
        <f t="array" ref="J378" xml:space="preserve"> mc(100, -PI()/2,0,-1, 1, "ln(EXP(x * y))")</f>
        <v>0.27577745837573864</v>
      </c>
      <c r="K378" cm="1">
        <f t="array" ref="K378" xml:space="preserve"> mc(500, -PI()/2,0,-1, 1, "ln(EXP(x * y))")</f>
        <v>-9.142717939003181E-2</v>
      </c>
      <c r="L378" cm="1">
        <f t="array" ref="L378" xml:space="preserve"> mc(1000, -PI()/2,0,-1, 1, "ln(EXP(x * y))")</f>
        <v>-6.9551241012552709E-2</v>
      </c>
      <c r="N378" cm="1">
        <f t="array" ref="N378" xml:space="preserve"> mc(100, -PI()/2,PI()/2, 0, 1, "sin(cos(x + y))")-1.48235</f>
        <v>-0.23136657172284836</v>
      </c>
      <c r="O378" cm="1">
        <f t="array" ref="O378" xml:space="preserve"> mc(500, -PI()/2,PI()/2, 0, 1, "sin(cos(x + y))")-1.48235</f>
        <v>-6.8785329134100071E-2</v>
      </c>
      <c r="P378" cm="1">
        <f t="array" ref="P378" xml:space="preserve"> mc(1000, -PI()/2,PI()/2, 0, 1, "sin(cos(x + y))")-1.48235</f>
        <v>5.6174212042937155E-2</v>
      </c>
    </row>
    <row r="379" spans="1:16" x14ac:dyDescent="0.3">
      <c r="A379">
        <v>349</v>
      </c>
      <c r="B379" cm="1">
        <f t="array" ref="B379" xml:space="preserve"> mc(100, 0, 4, 1, 2, "x^2+y^2")-92/3</f>
        <v>-1.7992425302702415</v>
      </c>
      <c r="C379" cm="1">
        <f t="array" ref="C379" xml:space="preserve"> mc(500, 0, 4, 1, 2, "x^2+y^2")-92/3</f>
        <v>-0.26424097922221179</v>
      </c>
      <c r="D379" cm="1">
        <f t="array" ref="D379" xml:space="preserve"> mc(1000, 0, 4, 1, 2, "x^2+y^2")-92/3</f>
        <v>-0.1611436193092608</v>
      </c>
      <c r="F379" cm="1">
        <f t="array" ref="F379" xml:space="preserve"> ( mc(100, 3, 4, -1, 1, "EXP(x * sin(y))") ) - 7.39981</f>
        <v>0.48659883357698241</v>
      </c>
      <c r="G379" cm="1">
        <f t="array" ref="G379" xml:space="preserve"> ( mc(500, 3, 4, -1, 1, "EXP(x * sin(y))") ) - 7.39981</f>
        <v>-8.3986054078788897E-2</v>
      </c>
      <c r="H379" cm="1">
        <f t="array" ref="H379" xml:space="preserve"> ( mc(1000, 3, 4, -1, 1, "EXP(x * sin(y))") ) - 7.39981</f>
        <v>-0.11065450307185642</v>
      </c>
      <c r="J379" cm="1">
        <f t="array" ref="J379" xml:space="preserve"> mc(100, -PI()/2,0,-1, 1, "ln(EXP(x * y))")</f>
        <v>7.8880269434390027E-2</v>
      </c>
      <c r="K379" cm="1">
        <f t="array" ref="K379" xml:space="preserve"> mc(500, -PI()/2,0,-1, 1, "ln(EXP(x * y))")</f>
        <v>0.1021889886168617</v>
      </c>
      <c r="L379" cm="1">
        <f t="array" ref="L379" xml:space="preserve"> mc(1000, -PI()/2,0,-1, 1, "ln(EXP(x * y))")</f>
        <v>0.1238233477750595</v>
      </c>
      <c r="N379" cm="1">
        <f t="array" ref="N379" xml:space="preserve"> mc(100, -PI()/2,PI()/2, 0, 1, "sin(cos(x + y))")-1.48235</f>
        <v>0.11402071617489895</v>
      </c>
      <c r="O379" cm="1">
        <f t="array" ref="O379" xml:space="preserve"> mc(500, -PI()/2,PI()/2, 0, 1, "sin(cos(x + y))")-1.48235</f>
        <v>8.1328255241907677E-2</v>
      </c>
      <c r="P379" cm="1">
        <f t="array" ref="P379" xml:space="preserve"> mc(1000, -PI()/2,PI()/2, 0, 1, "sin(cos(x + y))")-1.48235</f>
        <v>-7.4603339187778284E-2</v>
      </c>
    </row>
    <row r="380" spans="1:16" x14ac:dyDescent="0.3">
      <c r="A380">
        <v>350</v>
      </c>
      <c r="B380" cm="1">
        <f t="array" ref="B380" xml:space="preserve"> mc(100, 0, 4, 1, 2, "x^2+y^2")-92/3</f>
        <v>1.8701723848117346</v>
      </c>
      <c r="C380" cm="1">
        <f t="array" ref="C380" xml:space="preserve"> mc(500, 0, 4, 1, 2, "x^2+y^2")-92/3</f>
        <v>0.40211391389946272</v>
      </c>
      <c r="D380" cm="1">
        <f t="array" ref="D380" xml:space="preserve"> mc(1000, 0, 4, 1, 2, "x^2+y^2")-92/3</f>
        <v>3.4506844901052602E-2</v>
      </c>
      <c r="F380" cm="1">
        <f t="array" ref="F380" xml:space="preserve"> ( mc(100, 3, 4, -1, 1, "EXP(x * sin(y))") ) - 7.39981</f>
        <v>1.2178756125014178</v>
      </c>
      <c r="G380" cm="1">
        <f t="array" ref="G380" xml:space="preserve"> ( mc(500, 3, 4, -1, 1, "EXP(x * sin(y))") ) - 7.39981</f>
        <v>0.42716829540253354</v>
      </c>
      <c r="H380" cm="1">
        <f t="array" ref="H380" xml:space="preserve"> ( mc(1000, 3, 4, -1, 1, "EXP(x * sin(y))") ) - 7.39981</f>
        <v>-0.22658774047072416</v>
      </c>
      <c r="J380" cm="1">
        <f t="array" ref="J380" xml:space="preserve"> mc(100, -PI()/2,0,-1, 1, "ln(EXP(x * y))")</f>
        <v>-2.8519849296822462E-2</v>
      </c>
      <c r="K380" cm="1">
        <f t="array" ref="K380" xml:space="preserve"> mc(500, -PI()/2,0,-1, 1, "ln(EXP(x * y))")</f>
        <v>3.9019219158268489E-2</v>
      </c>
      <c r="L380" cm="1">
        <f t="array" ref="L380" xml:space="preserve"> mc(1000, -PI()/2,0,-1, 1, "ln(EXP(x * y))")</f>
        <v>8.8055237126268462E-2</v>
      </c>
      <c r="N380" cm="1">
        <f t="array" ref="N380" xml:space="preserve"> mc(100, -PI()/2,PI()/2, 0, 1, "sin(cos(x + y))")-1.48235</f>
        <v>-0.10915308919685796</v>
      </c>
      <c r="O380" cm="1">
        <f t="array" ref="O380" xml:space="preserve"> mc(500, -PI()/2,PI()/2, 0, 1, "sin(cos(x + y))")-1.48235</f>
        <v>7.1554069522371311E-2</v>
      </c>
      <c r="P380" cm="1">
        <f t="array" ref="P380" xml:space="preserve"> mc(1000, -PI()/2,PI()/2, 0, 1, "sin(cos(x + y))")-1.48235</f>
        <v>-5.2506237377636156E-2</v>
      </c>
    </row>
    <row r="381" spans="1:16" x14ac:dyDescent="0.3">
      <c r="A381">
        <v>351</v>
      </c>
      <c r="B381" cm="1">
        <f t="array" ref="B381" xml:space="preserve"> mc(100, 0, 4, 1, 2, "x^2+y^2")-92/3</f>
        <v>1.9564760684707956</v>
      </c>
      <c r="C381" cm="1">
        <f t="array" ref="C381" xml:space="preserve"> mc(500, 0, 4, 1, 2, "x^2+y^2")-92/3</f>
        <v>-0.14353898089317596</v>
      </c>
      <c r="D381" cm="1">
        <f t="array" ref="D381" xml:space="preserve"> mc(1000, 0, 4, 1, 2, "x^2+y^2")-92/3</f>
        <v>5.7074380923126E-2</v>
      </c>
      <c r="F381" cm="1">
        <f t="array" ref="F381" xml:space="preserve"> ( mc(100, 3, 4, -1, 1, "EXP(x * sin(y))") ) - 7.39981</f>
        <v>6.1126300713612913E-2</v>
      </c>
      <c r="G381" cm="1">
        <f t="array" ref="G381" xml:space="preserve"> ( mc(500, 3, 4, -1, 1, "EXP(x * sin(y))") ) - 7.39981</f>
        <v>0.57070878186292706</v>
      </c>
      <c r="H381" cm="1">
        <f t="array" ref="H381" xml:space="preserve"> ( mc(1000, 3, 4, -1, 1, "EXP(x * sin(y))") ) - 7.39981</f>
        <v>0.25844742020161693</v>
      </c>
      <c r="J381" cm="1">
        <f t="array" ref="J381" xml:space="preserve"> mc(100, -PI()/2,0,-1, 1, "ln(EXP(x * y))")</f>
        <v>-0.12564324564186269</v>
      </c>
      <c r="K381" cm="1">
        <f t="array" ref="K381" xml:space="preserve"> mc(500, -PI()/2,0,-1, 1, "ln(EXP(x * y))")</f>
        <v>-1.9420010544491589E-2</v>
      </c>
      <c r="L381" cm="1">
        <f t="array" ref="L381" xml:space="preserve"> mc(1000, -PI()/2,0,-1, 1, "ln(EXP(x * y))")</f>
        <v>5.2579708428807485E-2</v>
      </c>
      <c r="N381" cm="1">
        <f t="array" ref="N381" xml:space="preserve"> mc(100, -PI()/2,PI()/2, 0, 1, "sin(cos(x + y))")-1.48235</f>
        <v>-4.9060195006998653E-2</v>
      </c>
      <c r="O381" cm="1">
        <f t="array" ref="O381" xml:space="preserve"> mc(500, -PI()/2,PI()/2, 0, 1, "sin(cos(x + y))")-1.48235</f>
        <v>-4.234346668590705E-2</v>
      </c>
      <c r="P381" cm="1">
        <f t="array" ref="P381" xml:space="preserve"> mc(1000, -PI()/2,PI()/2, 0, 1, "sin(cos(x + y))")-1.48235</f>
        <v>-5.3055872316312147E-3</v>
      </c>
    </row>
    <row r="382" spans="1:16" x14ac:dyDescent="0.3">
      <c r="A382">
        <v>352</v>
      </c>
      <c r="B382" cm="1">
        <f t="array" ref="B382" xml:space="preserve"> mc(100, 0, 4, 1, 2, "x^2+y^2")-92/3</f>
        <v>1.8711006925864062</v>
      </c>
      <c r="C382" cm="1">
        <f t="array" ref="C382" xml:space="preserve"> mc(500, 0, 4, 1, 2, "x^2+y^2")-92/3</f>
        <v>0.96432256167476282</v>
      </c>
      <c r="D382" cm="1">
        <f t="array" ref="D382" xml:space="preserve"> mc(1000, 0, 4, 1, 2, "x^2+y^2")-92/3</f>
        <v>0.60998846102880933</v>
      </c>
      <c r="F382" cm="1">
        <f t="array" ref="F382" xml:space="preserve"> ( mc(100, 3, 4, -1, 1, "EXP(x * sin(y))") ) - 7.39981</f>
        <v>1.5621764800971309</v>
      </c>
      <c r="G382" cm="1">
        <f t="array" ref="G382" xml:space="preserve"> ( mc(500, 3, 4, -1, 1, "EXP(x * sin(y))") ) - 7.39981</f>
        <v>-3.7961189145763186E-3</v>
      </c>
      <c r="H382" cm="1">
        <f t="array" ref="H382" xml:space="preserve"> ( mc(1000, 3, 4, -1, 1, "EXP(x * sin(y))") ) - 7.39981</f>
        <v>-1.2534245623742279E-2</v>
      </c>
      <c r="J382" cm="1">
        <f t="array" ref="J382" xml:space="preserve"> mc(100, -PI()/2,0,-1, 1, "ln(EXP(x * y))")</f>
        <v>-4.016826582598506E-2</v>
      </c>
      <c r="K382" cm="1">
        <f t="array" ref="K382" xml:space="preserve"> mc(500, -PI()/2,0,-1, 1, "ln(EXP(x * y))")</f>
        <v>-2.5228373780045232E-2</v>
      </c>
      <c r="L382" cm="1">
        <f t="array" ref="L382" xml:space="preserve"> mc(1000, -PI()/2,0,-1, 1, "ln(EXP(x * y))")</f>
        <v>7.0297704804146724E-2</v>
      </c>
      <c r="N382" cm="1">
        <f t="array" ref="N382" xml:space="preserve"> mc(100, -PI()/2,PI()/2, 0, 1, "sin(cos(x + y))")-1.48235</f>
        <v>-0.24089234483255373</v>
      </c>
      <c r="O382" cm="1">
        <f t="array" ref="O382" xml:space="preserve"> mc(500, -PI()/2,PI()/2, 0, 1, "sin(cos(x + y))")-1.48235</f>
        <v>5.556095221561308E-2</v>
      </c>
      <c r="P382" cm="1">
        <f t="array" ref="P382" xml:space="preserve"> mc(1000, -PI()/2,PI()/2, 0, 1, "sin(cos(x + y))")-1.48235</f>
        <v>1.6425006433340883E-2</v>
      </c>
    </row>
    <row r="383" spans="1:16" x14ac:dyDescent="0.3">
      <c r="A383">
        <v>353</v>
      </c>
      <c r="B383" cm="1">
        <f t="array" ref="B383" xml:space="preserve"> mc(100, 0, 4, 1, 2, "x^2+y^2")-92/3</f>
        <v>-3.8158420623121607</v>
      </c>
      <c r="C383" cm="1">
        <f t="array" ref="C383" xml:space="preserve"> mc(500, 0, 4, 1, 2, "x^2+y^2")-92/3</f>
        <v>0.77048101307943995</v>
      </c>
      <c r="D383" cm="1">
        <f t="array" ref="D383" xml:space="preserve"> mc(1000, 0, 4, 1, 2, "x^2+y^2")-92/3</f>
        <v>-0.5738910302603486</v>
      </c>
      <c r="F383" cm="1">
        <f t="array" ref="F383" xml:space="preserve"> ( mc(100, 3, 4, -1, 1, "EXP(x * sin(y))") ) - 7.39981</f>
        <v>-1.8659771653264565</v>
      </c>
      <c r="G383" cm="1">
        <f t="array" ref="G383" xml:space="preserve"> ( mc(500, 3, 4, -1, 1, "EXP(x * sin(y))") ) - 7.39981</f>
        <v>-0.26903951696272088</v>
      </c>
      <c r="H383" cm="1">
        <f t="array" ref="H383" xml:space="preserve"> ( mc(1000, 3, 4, -1, 1, "EXP(x * sin(y))") ) - 7.39981</f>
        <v>0.43158033106561344</v>
      </c>
      <c r="J383" cm="1">
        <f t="array" ref="J383" xml:space="preserve"> mc(100, -PI()/2,0,-1, 1, "ln(EXP(x * y))")</f>
        <v>7.2882540146424063E-2</v>
      </c>
      <c r="K383" cm="1">
        <f t="array" ref="K383" xml:space="preserve"> mc(500, -PI()/2,0,-1, 1, "ln(EXP(x * y))")</f>
        <v>7.7568782746863768E-2</v>
      </c>
      <c r="L383" cm="1">
        <f t="array" ref="L383" xml:space="preserve"> mc(1000, -PI()/2,0,-1, 1, "ln(EXP(x * y))")</f>
        <v>4.1372169897751616E-2</v>
      </c>
      <c r="N383" cm="1">
        <f t="array" ref="N383" xml:space="preserve"> mc(100, -PI()/2,PI()/2, 0, 1, "sin(cos(x + y))")-1.48235</f>
        <v>-0.11370626168872655</v>
      </c>
      <c r="O383" cm="1">
        <f t="array" ref="O383" xml:space="preserve"> mc(500, -PI()/2,PI()/2, 0, 1, "sin(cos(x + y))")-1.48235</f>
        <v>7.0763354565519521E-3</v>
      </c>
      <c r="P383" cm="1">
        <f t="array" ref="P383" xml:space="preserve"> mc(1000, -PI()/2,PI()/2, 0, 1, "sin(cos(x + y))")-1.48235</f>
        <v>3.7817431266815582E-2</v>
      </c>
    </row>
    <row r="384" spans="1:16" x14ac:dyDescent="0.3">
      <c r="A384">
        <v>354</v>
      </c>
      <c r="B384" cm="1">
        <f t="array" ref="B384" xml:space="preserve"> mc(100, 0, 4, 1, 2, "x^2+y^2")-92/3</f>
        <v>1.0026947737517666</v>
      </c>
      <c r="C384" cm="1">
        <f t="array" ref="C384" xml:space="preserve"> mc(500, 0, 4, 1, 2, "x^2+y^2")-92/3</f>
        <v>-0.97504359697124698</v>
      </c>
      <c r="D384" cm="1">
        <f t="array" ref="D384" xml:space="preserve"> mc(1000, 0, 4, 1, 2, "x^2+y^2")-92/3</f>
        <v>-1.1662259852425336</v>
      </c>
      <c r="F384" cm="1">
        <f t="array" ref="F384" xml:space="preserve"> ( mc(100, 3, 4, -1, 1, "EXP(x * sin(y))") ) - 7.39981</f>
        <v>-0.24719206638131563</v>
      </c>
      <c r="G384" cm="1">
        <f t="array" ref="G384" xml:space="preserve"> ( mc(500, 3, 4, -1, 1, "EXP(x * sin(y))") ) - 7.39981</f>
        <v>-0.60412191604972154</v>
      </c>
      <c r="H384" cm="1">
        <f t="array" ref="H384" xml:space="preserve"> ( mc(1000, 3, 4, -1, 1, "EXP(x * sin(y))") ) - 7.39981</f>
        <v>-0.264754957909898</v>
      </c>
      <c r="J384" cm="1">
        <f t="array" ref="J384" xml:space="preserve"> mc(100, -PI()/2,0,-1, 1, "ln(EXP(x * y))")</f>
        <v>0.51259804284102306</v>
      </c>
      <c r="K384" cm="1">
        <f t="array" ref="K384" xml:space="preserve"> mc(500, -PI()/2,0,-1, 1, "ln(EXP(x * y))")</f>
        <v>3.3577654096393246E-2</v>
      </c>
      <c r="L384" cm="1">
        <f t="array" ref="L384" xml:space="preserve"> mc(1000, -PI()/2,0,-1, 1, "ln(EXP(x * y))")</f>
        <v>0.11006112566118358</v>
      </c>
      <c r="N384" cm="1">
        <f t="array" ref="N384" xml:space="preserve"> mc(100, -PI()/2,PI()/2, 0, 1, "sin(cos(x + y))")-1.48235</f>
        <v>1.5870178700855941E-2</v>
      </c>
      <c r="O384" cm="1">
        <f t="array" ref="O384" xml:space="preserve"> mc(500, -PI()/2,PI()/2, 0, 1, "sin(cos(x + y))")-1.48235</f>
        <v>-9.1534003959965027E-2</v>
      </c>
      <c r="P384" cm="1">
        <f t="array" ref="P384" xml:space="preserve"> mc(1000, -PI()/2,PI()/2, 0, 1, "sin(cos(x + y))")-1.48235</f>
        <v>-4.5402125926754966E-2</v>
      </c>
    </row>
    <row r="385" spans="1:16" x14ac:dyDescent="0.3">
      <c r="A385">
        <v>355</v>
      </c>
      <c r="B385" cm="1">
        <f t="array" ref="B385" xml:space="preserve"> mc(100, 0, 4, 1, 2, "x^2+y^2")-92/3</f>
        <v>-0.56204799894629431</v>
      </c>
      <c r="C385" cm="1">
        <f t="array" ref="C385" xml:space="preserve"> mc(500, 0, 4, 1, 2, "x^2+y^2")-92/3</f>
        <v>0.34158835680480948</v>
      </c>
      <c r="D385" cm="1">
        <f t="array" ref="D385" xml:space="preserve"> mc(1000, 0, 4, 1, 2, "x^2+y^2")-92/3</f>
        <v>0.93084874290949315</v>
      </c>
      <c r="F385" cm="1">
        <f t="array" ref="F385" xml:space="preserve"> ( mc(100, 3, 4, -1, 1, "EXP(x * sin(y))") ) - 7.39981</f>
        <v>0.26605754449191021</v>
      </c>
      <c r="G385" cm="1">
        <f t="array" ref="G385" xml:space="preserve"> ( mc(500, 3, 4, -1, 1, "EXP(x * sin(y))") ) - 7.39981</f>
        <v>-0.23082954985370385</v>
      </c>
      <c r="H385" cm="1">
        <f t="array" ref="H385" xml:space="preserve"> ( mc(1000, 3, 4, -1, 1, "EXP(x * sin(y))") ) - 7.39981</f>
        <v>-2.9106114454831911E-2</v>
      </c>
      <c r="J385" cm="1">
        <f t="array" ref="J385" xml:space="preserve"> mc(100, -PI()/2,0,-1, 1, "ln(EXP(x * y))")</f>
        <v>-7.8155842561721367E-2</v>
      </c>
      <c r="K385" cm="1">
        <f t="array" ref="K385" xml:space="preserve"> mc(500, -PI()/2,0,-1, 1, "ln(EXP(x * y))")</f>
        <v>-1.1683566038193035E-2</v>
      </c>
      <c r="L385" cm="1">
        <f t="array" ref="L385" xml:space="preserve"> mc(1000, -PI()/2,0,-1, 1, "ln(EXP(x * y))")</f>
        <v>5.4791573686761314E-3</v>
      </c>
      <c r="N385" cm="1">
        <f t="array" ref="N385" xml:space="preserve"> mc(100, -PI()/2,PI()/2, 0, 1, "sin(cos(x + y))")-1.48235</f>
        <v>-0.14294835227967417</v>
      </c>
      <c r="O385" cm="1">
        <f t="array" ref="O385" xml:space="preserve"> mc(500, -PI()/2,PI()/2, 0, 1, "sin(cos(x + y))")-1.48235</f>
        <v>-7.5361247937032916E-2</v>
      </c>
      <c r="P385" cm="1">
        <f t="array" ref="P385" xml:space="preserve"> mc(1000, -PI()/2,PI()/2, 0, 1, "sin(cos(x + y))")-1.48235</f>
        <v>-9.6838054849535116E-3</v>
      </c>
    </row>
    <row r="386" spans="1:16" x14ac:dyDescent="0.3">
      <c r="A386">
        <v>356</v>
      </c>
      <c r="B386" cm="1">
        <f t="array" ref="B386" xml:space="preserve"> mc(100, 0, 4, 1, 2, "x^2+y^2")-92/3</f>
        <v>-0.88411287490578871</v>
      </c>
      <c r="C386" cm="1">
        <f t="array" ref="C386" xml:space="preserve"> mc(500, 0, 4, 1, 2, "x^2+y^2")-92/3</f>
        <v>0.44178794215528683</v>
      </c>
      <c r="D386" cm="1">
        <f t="array" ref="D386" xml:space="preserve"> mc(1000, 0, 4, 1, 2, "x^2+y^2")-92/3</f>
        <v>-0.73253971431946141</v>
      </c>
      <c r="F386" cm="1">
        <f t="array" ref="F386" xml:space="preserve"> ( mc(100, 3, 4, -1, 1, "EXP(x * sin(y))") ) - 7.39981</f>
        <v>7.0855386696015543E-2</v>
      </c>
      <c r="G386" cm="1">
        <f t="array" ref="G386" xml:space="preserve"> ( mc(500, 3, 4, -1, 1, "EXP(x * sin(y))") ) - 7.39981</f>
        <v>0.30994338961653156</v>
      </c>
      <c r="H386" cm="1">
        <f t="array" ref="H386" xml:space="preserve"> ( mc(1000, 3, 4, -1, 1, "EXP(x * sin(y))") ) - 7.39981</f>
        <v>0.32260445689846584</v>
      </c>
      <c r="J386" cm="1">
        <f t="array" ref="J386" xml:space="preserve"> mc(100, -PI()/2,0,-1, 1, "ln(EXP(x * y))")</f>
        <v>-0.11941224734622102</v>
      </c>
      <c r="K386" cm="1">
        <f t="array" ref="K386" xml:space="preserve"> mc(500, -PI()/2,0,-1, 1, "ln(EXP(x * y))")</f>
        <v>-7.0704265284895526E-2</v>
      </c>
      <c r="L386" cm="1">
        <f t="array" ref="L386" xml:space="preserve"> mc(1000, -PI()/2,0,-1, 1, "ln(EXP(x * y))")</f>
        <v>4.2553265943545471E-2</v>
      </c>
      <c r="N386" cm="1">
        <f t="array" ref="N386" xml:space="preserve"> mc(100, -PI()/2,PI()/2, 0, 1, "sin(cos(x + y))")-1.48235</f>
        <v>-9.3316693507434767E-3</v>
      </c>
      <c r="O386" cm="1">
        <f t="array" ref="O386" xml:space="preserve"> mc(500, -PI()/2,PI()/2, 0, 1, "sin(cos(x + y))")-1.48235</f>
        <v>-8.025800737383304E-2</v>
      </c>
      <c r="P386" cm="1">
        <f t="array" ref="P386" xml:space="preserve"> mc(1000, -PI()/2,PI()/2, 0, 1, "sin(cos(x + y))")-1.48235</f>
        <v>9.4677669426510569E-3</v>
      </c>
    </row>
    <row r="387" spans="1:16" x14ac:dyDescent="0.3">
      <c r="A387">
        <v>357</v>
      </c>
      <c r="B387" cm="1">
        <f t="array" ref="B387" xml:space="preserve"> mc(100, 0, 4, 1, 2, "x^2+y^2")-92/3</f>
        <v>1.0148537289468393</v>
      </c>
      <c r="C387" cm="1">
        <f t="array" ref="C387" xml:space="preserve"> mc(500, 0, 4, 1, 2, "x^2+y^2")-92/3</f>
        <v>1.4173657617485169</v>
      </c>
      <c r="D387" cm="1">
        <f t="array" ref="D387" xml:space="preserve"> mc(1000, 0, 4, 1, 2, "x^2+y^2")-92/3</f>
        <v>1.1401703158295433</v>
      </c>
      <c r="F387" cm="1">
        <f t="array" ref="F387" xml:space="preserve"> ( mc(100, 3, 4, -1, 1, "EXP(x * sin(y))") ) - 7.39981</f>
        <v>1.9756849684703344</v>
      </c>
      <c r="G387" cm="1">
        <f t="array" ref="G387" xml:space="preserve"> ( mc(500, 3, 4, -1, 1, "EXP(x * sin(y))") ) - 7.39981</f>
        <v>0.6646707955923663</v>
      </c>
      <c r="H387" cm="1">
        <f t="array" ref="H387" xml:space="preserve"> ( mc(1000, 3, 4, -1, 1, "EXP(x * sin(y))") ) - 7.39981</f>
        <v>-0.17964677738822132</v>
      </c>
      <c r="J387" cm="1">
        <f t="array" ref="J387" xml:space="preserve"> mc(100, -PI()/2,0,-1, 1, "ln(EXP(x * y))")</f>
        <v>0.13179163408033417</v>
      </c>
      <c r="K387" cm="1">
        <f t="array" ref="K387" xml:space="preserve"> mc(500, -PI()/2,0,-1, 1, "ln(EXP(x * y))")</f>
        <v>-3.0820855405517395E-2</v>
      </c>
      <c r="L387" cm="1">
        <f t="array" ref="L387" xml:space="preserve"> mc(1000, -PI()/2,0,-1, 1, "ln(EXP(x * y))")</f>
        <v>3.2664593955637977E-2</v>
      </c>
      <c r="N387" cm="1">
        <f t="array" ref="N387" xml:space="preserve"> mc(100, -PI()/2,PI()/2, 0, 1, "sin(cos(x + y))")-1.48235</f>
        <v>-0.29644566269496497</v>
      </c>
      <c r="O387" cm="1">
        <f t="array" ref="O387" xml:space="preserve"> mc(500, -PI()/2,PI()/2, 0, 1, "sin(cos(x + y))")-1.48235</f>
        <v>-8.3380018728375749E-2</v>
      </c>
      <c r="P387" cm="1">
        <f t="array" ref="P387" xml:space="preserve"> mc(1000, -PI()/2,PI()/2, 0, 1, "sin(cos(x + y))")-1.48235</f>
        <v>2.3857392866125648E-2</v>
      </c>
    </row>
    <row r="388" spans="1:16" x14ac:dyDescent="0.3">
      <c r="A388">
        <v>358</v>
      </c>
      <c r="B388" cm="1">
        <f t="array" ref="B388" xml:space="preserve"> mc(100, 0, 4, 1, 2, "x^2+y^2")-92/3</f>
        <v>-3.590363588178036E-2</v>
      </c>
      <c r="C388" cm="1">
        <f t="array" ref="C388" xml:space="preserve"> mc(500, 0, 4, 1, 2, "x^2+y^2")-92/3</f>
        <v>0.67284399376161019</v>
      </c>
      <c r="D388" cm="1">
        <f t="array" ref="D388" xml:space="preserve"> mc(1000, 0, 4, 1, 2, "x^2+y^2")-92/3</f>
        <v>1.0569208346879897</v>
      </c>
      <c r="F388" cm="1">
        <f t="array" ref="F388" xml:space="preserve"> ( mc(100, 3, 4, -1, 1, "EXP(x * sin(y))") ) - 7.39981</f>
        <v>0.64904679736272897</v>
      </c>
      <c r="G388" cm="1">
        <f t="array" ref="G388" xml:space="preserve"> ( mc(500, 3, 4, -1, 1, "EXP(x * sin(y))") ) - 7.39981</f>
        <v>-2.3217029483211249E-2</v>
      </c>
      <c r="H388" cm="1">
        <f t="array" ref="H388" xml:space="preserve"> ( mc(1000, 3, 4, -1, 1, "EXP(x * sin(y))") ) - 7.39981</f>
        <v>-4.8198994520225469E-2</v>
      </c>
      <c r="J388" cm="1">
        <f t="array" ref="J388" xml:space="preserve"> mc(100, -PI()/2,0,-1, 1, "ln(EXP(x * y))")</f>
        <v>0.28316237366748265</v>
      </c>
      <c r="K388" cm="1">
        <f t="array" ref="K388" xml:space="preserve"> mc(500, -PI()/2,0,-1, 1, "ln(EXP(x * y))")</f>
        <v>-5.3325872878015088E-2</v>
      </c>
      <c r="L388" cm="1">
        <f t="array" ref="L388" xml:space="preserve"> mc(1000, -PI()/2,0,-1, 1, "ln(EXP(x * y))")</f>
        <v>-5.5512792141762619E-3</v>
      </c>
      <c r="N388" cm="1">
        <f t="array" ref="N388" xml:space="preserve"> mc(100, -PI()/2,PI()/2, 0, 1, "sin(cos(x + y))")-1.48235</f>
        <v>2.5454210205328565E-2</v>
      </c>
      <c r="O388" cm="1">
        <f t="array" ref="O388" xml:space="preserve"> mc(500, -PI()/2,PI()/2, 0, 1, "sin(cos(x + y))")-1.48235</f>
        <v>-8.3356936506412405E-2</v>
      </c>
      <c r="P388" cm="1">
        <f t="array" ref="P388" xml:space="preserve"> mc(1000, -PI()/2,PI()/2, 0, 1, "sin(cos(x + y))")-1.48235</f>
        <v>4.3901619866708153E-2</v>
      </c>
    </row>
    <row r="389" spans="1:16" x14ac:dyDescent="0.3">
      <c r="A389">
        <v>359</v>
      </c>
      <c r="B389" cm="1">
        <f t="array" ref="B389" xml:space="preserve"> mc(100, 0, 4, 1, 2, "x^2+y^2")-92/3</f>
        <v>1.1088142108249279</v>
      </c>
      <c r="C389" cm="1">
        <f t="array" ref="C389" xml:space="preserve"> mc(500, 0, 4, 1, 2, "x^2+y^2")-92/3</f>
        <v>0.21632597011502597</v>
      </c>
      <c r="D389" cm="1">
        <f t="array" ref="D389" xml:space="preserve"> mc(1000, 0, 4, 1, 2, "x^2+y^2")-92/3</f>
        <v>-4.7546106849083003E-2</v>
      </c>
      <c r="F389" cm="1">
        <f t="array" ref="F389" xml:space="preserve"> ( mc(100, 3, 4, -1, 1, "EXP(x * sin(y))") ) - 7.39981</f>
        <v>-0.20311936413267073</v>
      </c>
      <c r="G389" cm="1">
        <f t="array" ref="G389" xml:space="preserve"> ( mc(500, 3, 4, -1, 1, "EXP(x * sin(y))") ) - 7.39981</f>
        <v>0.41634537651157633</v>
      </c>
      <c r="H389" cm="1">
        <f t="array" ref="H389" xml:space="preserve"> ( mc(1000, 3, 4, -1, 1, "EXP(x * sin(y))") ) - 7.39981</f>
        <v>0.41319633435652392</v>
      </c>
      <c r="J389" cm="1">
        <f t="array" ref="J389" xml:space="preserve"> mc(100, -PI()/2,0,-1, 1, "ln(EXP(x * y))")</f>
        <v>0.19587858229293076</v>
      </c>
      <c r="K389" cm="1">
        <f t="array" ref="K389" xml:space="preserve"> mc(500, -PI()/2,0,-1, 1, "ln(EXP(x * y))")</f>
        <v>0.12573446571298338</v>
      </c>
      <c r="L389" cm="1">
        <f t="array" ref="L389" xml:space="preserve"> mc(1000, -PI()/2,0,-1, 1, "ln(EXP(x * y))")</f>
        <v>5.1968898150798776E-2</v>
      </c>
      <c r="N389" cm="1">
        <f t="array" ref="N389" xml:space="preserve"> mc(100, -PI()/2,PI()/2, 0, 1, "sin(cos(x + y))")-1.48235</f>
        <v>0.16564387359604971</v>
      </c>
      <c r="O389" cm="1">
        <f t="array" ref="O389" xml:space="preserve"> mc(500, -PI()/2,PI()/2, 0, 1, "sin(cos(x + y))")-1.48235</f>
        <v>5.1068801677058406E-2</v>
      </c>
      <c r="P389" cm="1">
        <f t="array" ref="P389" xml:space="preserve"> mc(1000, -PI()/2,PI()/2, 0, 1, "sin(cos(x + y))")-1.48235</f>
        <v>-1.6119945576179129E-2</v>
      </c>
    </row>
    <row r="390" spans="1:16" x14ac:dyDescent="0.3">
      <c r="A390">
        <v>360</v>
      </c>
      <c r="B390" cm="1">
        <f t="array" ref="B390" xml:space="preserve"> mc(100, 0, 4, 1, 2, "x^2+y^2")-92/3</f>
        <v>-1.1037862087078487</v>
      </c>
      <c r="C390" cm="1">
        <f t="array" ref="C390" xml:space="preserve"> mc(500, 0, 4, 1, 2, "x^2+y^2")-92/3</f>
        <v>-5.9997389692984626E-2</v>
      </c>
      <c r="D390" cm="1">
        <f t="array" ref="D390" xml:space="preserve"> mc(1000, 0, 4, 1, 2, "x^2+y^2")-92/3</f>
        <v>1.0317701731051869</v>
      </c>
      <c r="F390" cm="1">
        <f t="array" ref="F390" xml:space="preserve"> ( mc(100, 3, 4, -1, 1, "EXP(x * sin(y))") ) - 7.39981</f>
        <v>1.3896001455447902</v>
      </c>
      <c r="G390" cm="1">
        <f t="array" ref="G390" xml:space="preserve"> ( mc(500, 3, 4, -1, 1, "EXP(x * sin(y))") ) - 7.39981</f>
        <v>-0.12534690281460392</v>
      </c>
      <c r="H390" cm="1">
        <f t="array" ref="H390" xml:space="preserve"> ( mc(1000, 3, 4, -1, 1, "EXP(x * sin(y))") ) - 7.39981</f>
        <v>7.8718588879095108E-2</v>
      </c>
      <c r="J390" cm="1">
        <f t="array" ref="J390" xml:space="preserve"> mc(100, -PI()/2,0,-1, 1, "ln(EXP(x * y))")</f>
        <v>-0.21170690270568693</v>
      </c>
      <c r="K390" cm="1">
        <f t="array" ref="K390" xml:space="preserve"> mc(500, -PI()/2,0,-1, 1, "ln(EXP(x * y))")</f>
        <v>1.2997019574978794E-2</v>
      </c>
      <c r="L390" cm="1">
        <f t="array" ref="L390" xml:space="preserve"> mc(1000, -PI()/2,0,-1, 1, "ln(EXP(x * y))")</f>
        <v>-0.1158809997414527</v>
      </c>
      <c r="N390" cm="1">
        <f t="array" ref="N390" xml:space="preserve"> mc(100, -PI()/2,PI()/2, 0, 1, "sin(cos(x + y))")-1.48235</f>
        <v>-0.16267984478403608</v>
      </c>
      <c r="O390" cm="1">
        <f t="array" ref="O390" xml:space="preserve"> mc(500, -PI()/2,PI()/2, 0, 1, "sin(cos(x + y))")-1.48235</f>
        <v>-2.8987648784535525E-2</v>
      </c>
      <c r="P390" cm="1">
        <f t="array" ref="P390" xml:space="preserve"> mc(1000, -PI()/2,PI()/2, 0, 1, "sin(cos(x + y))")-1.48235</f>
        <v>-8.5304489640996461E-2</v>
      </c>
    </row>
    <row r="391" spans="1:16" x14ac:dyDescent="0.3">
      <c r="A391">
        <v>361</v>
      </c>
      <c r="B391" cm="1">
        <f t="array" ref="B391" xml:space="preserve"> mc(100, 0, 4, 1, 2, "x^2+y^2")-92/3</f>
        <v>0.72843677805780516</v>
      </c>
      <c r="C391" cm="1">
        <f t="array" ref="C391" xml:space="preserve"> mc(500, 0, 4, 1, 2, "x^2+y^2")-92/3</f>
        <v>-0.31726487102717726</v>
      </c>
      <c r="D391" cm="1">
        <f t="array" ref="D391" xml:space="preserve"> mc(1000, 0, 4, 1, 2, "x^2+y^2")-92/3</f>
        <v>0.51094752363878015</v>
      </c>
      <c r="F391" cm="1">
        <f t="array" ref="F391" xml:space="preserve"> ( mc(100, 3, 4, -1, 1, "EXP(x * sin(y))") ) - 7.39981</f>
        <v>0.35171591877771924</v>
      </c>
      <c r="G391" cm="1">
        <f t="array" ref="G391" xml:space="preserve"> ( mc(500, 3, 4, -1, 1, "EXP(x * sin(y))") ) - 7.39981</f>
        <v>-0.23909974369820564</v>
      </c>
      <c r="H391" cm="1">
        <f t="array" ref="H391" xml:space="preserve"> ( mc(1000, 3, 4, -1, 1, "EXP(x * sin(y))") ) - 7.39981</f>
        <v>-7.1844776745529693E-2</v>
      </c>
      <c r="J391" cm="1">
        <f t="array" ref="J391" xml:space="preserve"> mc(100, -PI()/2,0,-1, 1, "ln(EXP(x * y))")</f>
        <v>0.1136360524901263</v>
      </c>
      <c r="K391" cm="1">
        <f t="array" ref="K391" xml:space="preserve"> mc(500, -PI()/2,0,-1, 1, "ln(EXP(x * y))")</f>
        <v>-5.7384806434212836E-2</v>
      </c>
      <c r="L391" cm="1">
        <f t="array" ref="L391" xml:space="preserve"> mc(1000, -PI()/2,0,-1, 1, "ln(EXP(x * y))")</f>
        <v>-5.7370838142099041E-2</v>
      </c>
      <c r="N391" cm="1">
        <f t="array" ref="N391" xml:space="preserve"> mc(100, -PI()/2,PI()/2, 0, 1, "sin(cos(x + y))")-1.48235</f>
        <v>0.28149724432209133</v>
      </c>
      <c r="O391" cm="1">
        <f t="array" ref="O391" xml:space="preserve"> mc(500, -PI()/2,PI()/2, 0, 1, "sin(cos(x + y))")-1.48235</f>
        <v>0.10291410800361356</v>
      </c>
      <c r="P391" cm="1">
        <f t="array" ref="P391" xml:space="preserve"> mc(1000, -PI()/2,PI()/2, 0, 1, "sin(cos(x + y))")-1.48235</f>
        <v>8.3973020319350278E-2</v>
      </c>
    </row>
    <row r="392" spans="1:16" x14ac:dyDescent="0.3">
      <c r="A392">
        <v>362</v>
      </c>
      <c r="B392" cm="1">
        <f t="array" ref="B392" xml:space="preserve"> mc(100, 0, 4, 1, 2, "x^2+y^2")-92/3</f>
        <v>9.8409334517839397E-3</v>
      </c>
      <c r="C392" cm="1">
        <f t="array" ref="C392" xml:space="preserve"> mc(500, 0, 4, 1, 2, "x^2+y^2")-92/3</f>
        <v>2.038677951956938</v>
      </c>
      <c r="D392" cm="1">
        <f t="array" ref="D392" xml:space="preserve"> mc(1000, 0, 4, 1, 2, "x^2+y^2")-92/3</f>
        <v>-0.95244692980853074</v>
      </c>
      <c r="F392" cm="1">
        <f t="array" ref="F392" xml:space="preserve"> ( mc(100, 3, 4, -1, 1, "EXP(x * sin(y))") ) - 7.39981</f>
        <v>0.83877614668487332</v>
      </c>
      <c r="G392" cm="1">
        <f t="array" ref="G392" xml:space="preserve"> ( mc(500, 3, 4, -1, 1, "EXP(x * sin(y))") ) - 7.39981</f>
        <v>-0.43986899862792406</v>
      </c>
      <c r="H392" cm="1">
        <f t="array" ref="H392" xml:space="preserve"> ( mc(1000, 3, 4, -1, 1, "EXP(x * sin(y))") ) - 7.39981</f>
        <v>-6.0246083091160862E-2</v>
      </c>
      <c r="J392" cm="1">
        <f t="array" ref="J392" xml:space="preserve"> mc(100, -PI()/2,0,-1, 1, "ln(EXP(x * y))")</f>
        <v>4.9014201419783653E-2</v>
      </c>
      <c r="K392" cm="1">
        <f t="array" ref="K392" xml:space="preserve"> mc(500, -PI()/2,0,-1, 1, "ln(EXP(x * y))")</f>
        <v>5.7969704041921297E-2</v>
      </c>
      <c r="L392" cm="1">
        <f t="array" ref="L392" xml:space="preserve"> mc(1000, -PI()/2,0,-1, 1, "ln(EXP(x * y))")</f>
        <v>3.0623067820646107E-2</v>
      </c>
      <c r="N392" cm="1">
        <f t="array" ref="N392" xml:space="preserve"> mc(100, -PI()/2,PI()/2, 0, 1, "sin(cos(x + y))")-1.48235</f>
        <v>0.1879822881502049</v>
      </c>
      <c r="O392" cm="1">
        <f t="array" ref="O392" xml:space="preserve"> mc(500, -PI()/2,PI()/2, 0, 1, "sin(cos(x + y))")-1.48235</f>
        <v>4.9402766225572936E-2</v>
      </c>
      <c r="P392" cm="1">
        <f t="array" ref="P392" xml:space="preserve"> mc(1000, -PI()/2,PI()/2, 0, 1, "sin(cos(x + y))")-1.48235</f>
        <v>-5.5817754617412119E-2</v>
      </c>
    </row>
    <row r="393" spans="1:16" x14ac:dyDescent="0.3">
      <c r="A393">
        <v>363</v>
      </c>
      <c r="B393" cm="1">
        <f t="array" ref="B393" xml:space="preserve"> mc(100, 0, 4, 1, 2, "x^2+y^2")-92/3</f>
        <v>0.49152682472750797</v>
      </c>
      <c r="C393" cm="1">
        <f t="array" ref="C393" xml:space="preserve"> mc(500, 0, 4, 1, 2, "x^2+y^2")-92/3</f>
        <v>-0.48930242181496553</v>
      </c>
      <c r="D393" cm="1">
        <f t="array" ref="D393" xml:space="preserve"> mc(1000, 0, 4, 1, 2, "x^2+y^2")-92/3</f>
        <v>-0.62706757186701623</v>
      </c>
      <c r="F393" cm="1">
        <f t="array" ref="F393" xml:space="preserve"> ( mc(100, 3, 4, -1, 1, "EXP(x * sin(y))") ) - 7.39981</f>
        <v>2.2901658312733648</v>
      </c>
      <c r="G393" cm="1">
        <f t="array" ref="G393" xml:space="preserve"> ( mc(500, 3, 4, -1, 1, "EXP(x * sin(y))") ) - 7.39981</f>
        <v>0.4980809999365583</v>
      </c>
      <c r="H393" cm="1">
        <f t="array" ref="H393" xml:space="preserve"> ( mc(1000, 3, 4, -1, 1, "EXP(x * sin(y))") ) - 7.39981</f>
        <v>-0.58910989069404263</v>
      </c>
      <c r="J393" cm="1">
        <f t="array" ref="J393" xml:space="preserve"> mc(100, -PI()/2,0,-1, 1, "ln(EXP(x * y))")</f>
        <v>-0.12997704992134732</v>
      </c>
      <c r="K393" cm="1">
        <f t="array" ref="K393" xml:space="preserve"> mc(500, -PI()/2,0,-1, 1, "ln(EXP(x * y))")</f>
        <v>2.9146986966153698E-2</v>
      </c>
      <c r="L393" cm="1">
        <f t="array" ref="L393" xml:space="preserve"> mc(1000, -PI()/2,0,-1, 1, "ln(EXP(x * y))")</f>
        <v>-1.3939395437635331E-2</v>
      </c>
      <c r="N393" cm="1">
        <f t="array" ref="N393" xml:space="preserve"> mc(100, -PI()/2,PI()/2, 0, 1, "sin(cos(x + y))")-1.48235</f>
        <v>-0.19509817230306781</v>
      </c>
      <c r="O393" cm="1">
        <f t="array" ref="O393" xml:space="preserve"> mc(500, -PI()/2,PI()/2, 0, 1, "sin(cos(x + y))")-1.48235</f>
        <v>4.5916511250389869E-2</v>
      </c>
      <c r="P393" cm="1">
        <f t="array" ref="P393" xml:space="preserve"> mc(1000, -PI()/2,PI()/2, 0, 1, "sin(cos(x + y))")-1.48235</f>
        <v>-4.5191823449812096E-2</v>
      </c>
    </row>
    <row r="394" spans="1:16" x14ac:dyDescent="0.3">
      <c r="A394">
        <v>364</v>
      </c>
      <c r="B394" cm="1">
        <f t="array" ref="B394" xml:space="preserve"> mc(100, 0, 4, 1, 2, "x^2+y^2")-92/3</f>
        <v>-2.9109854440930008</v>
      </c>
      <c r="C394" cm="1">
        <f t="array" ref="C394" xml:space="preserve"> mc(500, 0, 4, 1, 2, "x^2+y^2")-92/3</f>
        <v>-0.7426587714817714</v>
      </c>
      <c r="D394" cm="1">
        <f t="array" ref="D394" xml:space="preserve"> mc(1000, 0, 4, 1, 2, "x^2+y^2")-92/3</f>
        <v>-1.1487933811047775</v>
      </c>
      <c r="F394" cm="1">
        <f t="array" ref="F394" xml:space="preserve"> ( mc(100, 3, 4, -1, 1, "EXP(x * sin(y))") ) - 7.39981</f>
        <v>0.4949335450670036</v>
      </c>
      <c r="G394" cm="1">
        <f t="array" ref="G394" xml:space="preserve"> ( mc(500, 3, 4, -1, 1, "EXP(x * sin(y))") ) - 7.39981</f>
        <v>-1.5947918386722826E-2</v>
      </c>
      <c r="H394" cm="1">
        <f t="array" ref="H394" xml:space="preserve"> ( mc(1000, 3, 4, -1, 1, "EXP(x * sin(y))") ) - 7.39981</f>
        <v>-6.5450071169793844E-2</v>
      </c>
      <c r="J394" cm="1">
        <f t="array" ref="J394" xml:space="preserve"> mc(100, -PI()/2,0,-1, 1, "ln(EXP(x * y))")</f>
        <v>2.1555684300160922E-2</v>
      </c>
      <c r="K394" cm="1">
        <f t="array" ref="K394" xml:space="preserve"> mc(500, -PI()/2,0,-1, 1, "ln(EXP(x * y))")</f>
        <v>-4.20665297842963E-2</v>
      </c>
      <c r="L394" cm="1">
        <f t="array" ref="L394" xml:space="preserve"> mc(1000, -PI()/2,0,-1, 1, "ln(EXP(x * y))")</f>
        <v>-7.1823150218527337E-2</v>
      </c>
      <c r="N394" cm="1">
        <f t="array" ref="N394" xml:space="preserve"> mc(100, -PI()/2,PI()/2, 0, 1, "sin(cos(x + y))")-1.48235</f>
        <v>-7.9831997045309855E-3</v>
      </c>
      <c r="O394" cm="1">
        <f t="array" ref="O394" xml:space="preserve"> mc(500, -PI()/2,PI()/2, 0, 1, "sin(cos(x + y))")-1.48235</f>
        <v>6.9588653685943136E-2</v>
      </c>
      <c r="P394" cm="1">
        <f t="array" ref="P394" xml:space="preserve"> mc(1000, -PI()/2,PI()/2, 0, 1, "sin(cos(x + y))")-1.48235</f>
        <v>-4.0092496945007383E-2</v>
      </c>
    </row>
    <row r="395" spans="1:16" x14ac:dyDescent="0.3">
      <c r="A395">
        <v>365</v>
      </c>
      <c r="B395" cm="1">
        <f t="array" ref="B395" xml:space="preserve"> mc(100, 0, 4, 1, 2, "x^2+y^2")-92/3</f>
        <v>-2.36512524305342</v>
      </c>
      <c r="C395" cm="1">
        <f t="array" ref="C395" xml:space="preserve"> mc(500, 0, 4, 1, 2, "x^2+y^2")-92/3</f>
        <v>1.3616205047044154</v>
      </c>
      <c r="D395" cm="1">
        <f t="array" ref="D395" xml:space="preserve"> mc(1000, 0, 4, 1, 2, "x^2+y^2")-92/3</f>
        <v>0.13101135263417518</v>
      </c>
      <c r="F395" cm="1">
        <f t="array" ref="F395" xml:space="preserve"> ( mc(100, 3, 4, -1, 1, "EXP(x * sin(y))") ) - 7.39981</f>
        <v>0.53945391864048453</v>
      </c>
      <c r="G395" cm="1">
        <f t="array" ref="G395" xml:space="preserve"> ( mc(500, 3, 4, -1, 1, "EXP(x * sin(y))") ) - 7.39981</f>
        <v>0.59022006914248681</v>
      </c>
      <c r="H395" cm="1">
        <f t="array" ref="H395" xml:space="preserve"> ( mc(1000, 3, 4, -1, 1, "EXP(x * sin(y))") ) - 7.39981</f>
        <v>0.44757193131934692</v>
      </c>
      <c r="J395" cm="1">
        <f t="array" ref="J395" xml:space="preserve"> mc(100, -PI()/2,0,-1, 1, "ln(EXP(x * y))")</f>
        <v>1.6052878039758911E-2</v>
      </c>
      <c r="K395" cm="1">
        <f t="array" ref="K395" xml:space="preserve"> mc(500, -PI()/2,0,-1, 1, "ln(EXP(x * y))")</f>
        <v>-1.5056566533743189E-2</v>
      </c>
      <c r="L395" cm="1">
        <f t="array" ref="L395" xml:space="preserve"> mc(1000, -PI()/2,0,-1, 1, "ln(EXP(x * y))")</f>
        <v>4.4285130115365489E-3</v>
      </c>
      <c r="N395" cm="1">
        <f t="array" ref="N395" xml:space="preserve"> mc(100, -PI()/2,PI()/2, 0, 1, "sin(cos(x + y))")-1.48235</f>
        <v>2.5794842855613398E-2</v>
      </c>
      <c r="O395" cm="1">
        <f t="array" ref="O395" xml:space="preserve"> mc(500, -PI()/2,PI()/2, 0, 1, "sin(cos(x + y))")-1.48235</f>
        <v>-3.2970988619813513E-2</v>
      </c>
      <c r="P395" cm="1">
        <f t="array" ref="P395" xml:space="preserve"> mc(1000, -PI()/2,PI()/2, 0, 1, "sin(cos(x + y))")-1.48235</f>
        <v>6.3916620070567642E-2</v>
      </c>
    </row>
    <row r="396" spans="1:16" x14ac:dyDescent="0.3">
      <c r="A396">
        <v>366</v>
      </c>
      <c r="B396" cm="1">
        <f t="array" ref="B396" xml:space="preserve"> mc(100, 0, 4, 1, 2, "x^2+y^2")-92/3</f>
        <v>-0.36373964020778615</v>
      </c>
      <c r="C396" cm="1">
        <f t="array" ref="C396" xml:space="preserve"> mc(500, 0, 4, 1, 2, "x^2+y^2")-92/3</f>
        <v>1.1573193641286004</v>
      </c>
      <c r="D396" cm="1">
        <f t="array" ref="D396" xml:space="preserve"> mc(1000, 0, 4, 1, 2, "x^2+y^2")-92/3</f>
        <v>0.13567496208590057</v>
      </c>
      <c r="F396" cm="1">
        <f t="array" ref="F396" xml:space="preserve"> ( mc(100, 3, 4, -1, 1, "EXP(x * sin(y))") ) - 7.39981</f>
        <v>-0.5032088215546171</v>
      </c>
      <c r="G396" cm="1">
        <f t="array" ref="G396" xml:space="preserve"> ( mc(500, 3, 4, -1, 1, "EXP(x * sin(y))") ) - 7.39981</f>
        <v>-0.16659897906384913</v>
      </c>
      <c r="H396" cm="1">
        <f t="array" ref="H396" xml:space="preserve"> ( mc(1000, 3, 4, -1, 1, "EXP(x * sin(y))") ) - 7.39981</f>
        <v>0.43522292105665006</v>
      </c>
      <c r="J396" cm="1">
        <f t="array" ref="J396" xml:space="preserve"> mc(100, -PI()/2,0,-1, 1, "ln(EXP(x * y))")</f>
        <v>-0.23395585403695082</v>
      </c>
      <c r="K396" cm="1">
        <f t="array" ref="K396" xml:space="preserve"> mc(500, -PI()/2,0,-1, 1, "ln(EXP(x * y))")</f>
        <v>-1.3442460731630575E-3</v>
      </c>
      <c r="L396" cm="1">
        <f t="array" ref="L396" xml:space="preserve"> mc(1000, -PI()/2,0,-1, 1, "ln(EXP(x * y))")</f>
        <v>4.2227926754235888E-2</v>
      </c>
      <c r="N396" cm="1">
        <f t="array" ref="N396" xml:space="preserve"> mc(100, -PI()/2,PI()/2, 0, 1, "sin(cos(x + y))")-1.48235</f>
        <v>-0.11940186837967182</v>
      </c>
      <c r="O396" cm="1">
        <f t="array" ref="O396" xml:space="preserve"> mc(500, -PI()/2,PI()/2, 0, 1, "sin(cos(x + y))")-1.48235</f>
        <v>0.12438934118138456</v>
      </c>
      <c r="P396" cm="1">
        <f t="array" ref="P396" xml:space="preserve"> mc(1000, -PI()/2,PI()/2, 0, 1, "sin(cos(x + y))")-1.48235</f>
        <v>1.9995222904444887E-2</v>
      </c>
    </row>
    <row r="397" spans="1:16" x14ac:dyDescent="0.3">
      <c r="A397">
        <v>367</v>
      </c>
      <c r="B397" cm="1">
        <f t="array" ref="B397" xml:space="preserve"> mc(100, 0, 4, 1, 2, "x^2+y^2")-92/3</f>
        <v>0.76065539477634303</v>
      </c>
      <c r="C397" cm="1">
        <f t="array" ref="C397" xml:space="preserve"> mc(500, 0, 4, 1, 2, "x^2+y^2")-92/3</f>
        <v>-0.2234238079049149</v>
      </c>
      <c r="D397" cm="1">
        <f t="array" ref="D397" xml:space="preserve"> mc(1000, 0, 4, 1, 2, "x^2+y^2")-92/3</f>
        <v>0.25935427745508477</v>
      </c>
      <c r="F397" cm="1">
        <f t="array" ref="F397" xml:space="preserve"> ( mc(100, 3, 4, -1, 1, "EXP(x * sin(y))") ) - 7.39981</f>
        <v>0.33687129544983652</v>
      </c>
      <c r="G397" cm="1">
        <f t="array" ref="G397" xml:space="preserve"> ( mc(500, 3, 4, -1, 1, "EXP(x * sin(y))") ) - 7.39981</f>
        <v>-0.95381963209369847</v>
      </c>
      <c r="H397" cm="1">
        <f t="array" ref="H397" xml:space="preserve"> ( mc(1000, 3, 4, -1, 1, "EXP(x * sin(y))") ) - 7.39981</f>
        <v>-0.42046027020236032</v>
      </c>
      <c r="J397" cm="1">
        <f t="array" ref="J397" xml:space="preserve"> mc(100, -PI()/2,0,-1, 1, "ln(EXP(x * y))")</f>
        <v>0.2357885926542008</v>
      </c>
      <c r="K397" cm="1">
        <f t="array" ref="K397" xml:space="preserve"> mc(500, -PI()/2,0,-1, 1, "ln(EXP(x * y))")</f>
        <v>-0.11439643857180351</v>
      </c>
      <c r="L397" cm="1">
        <f t="array" ref="L397" xml:space="preserve"> mc(1000, -PI()/2,0,-1, 1, "ln(EXP(x * y))")</f>
        <v>9.5902987122469183E-2</v>
      </c>
      <c r="N397" cm="1">
        <f t="array" ref="N397" xml:space="preserve"> mc(100, -PI()/2,PI()/2, 0, 1, "sin(cos(x + y))")-1.48235</f>
        <v>0.11355903410671231</v>
      </c>
      <c r="O397" cm="1">
        <f t="array" ref="O397" xml:space="preserve"> mc(500, -PI()/2,PI()/2, 0, 1, "sin(cos(x + y))")-1.48235</f>
        <v>4.1178965700792824E-2</v>
      </c>
      <c r="P397" cm="1">
        <f t="array" ref="P397" xml:space="preserve"> mc(1000, -PI()/2,PI()/2, 0, 1, "sin(cos(x + y))")-1.48235</f>
        <v>-2.2057771283384708E-2</v>
      </c>
    </row>
    <row r="398" spans="1:16" x14ac:dyDescent="0.3">
      <c r="A398">
        <v>368</v>
      </c>
      <c r="B398" cm="1">
        <f t="array" ref="B398" xml:space="preserve"> mc(100, 0, 4, 1, 2, "x^2+y^2")-92/3</f>
        <v>-1.5261954711589141</v>
      </c>
      <c r="C398" cm="1">
        <f t="array" ref="C398" xml:space="preserve"> mc(500, 0, 4, 1, 2, "x^2+y^2")-92/3</f>
        <v>-0.24198242742916776</v>
      </c>
      <c r="D398" cm="1">
        <f t="array" ref="D398" xml:space="preserve"> mc(1000, 0, 4, 1, 2, "x^2+y^2")-92/3</f>
        <v>0.75491606026191249</v>
      </c>
      <c r="F398" cm="1">
        <f t="array" ref="F398" xml:space="preserve"> ( mc(100, 3, 4, -1, 1, "EXP(x * sin(y))") ) - 7.39981</f>
        <v>-7.1576654234725368E-2</v>
      </c>
      <c r="G398" cm="1">
        <f t="array" ref="G398" xml:space="preserve"> ( mc(500, 3, 4, -1, 1, "EXP(x * sin(y))") ) - 7.39981</f>
        <v>-5.8065001856911103E-2</v>
      </c>
      <c r="H398" cm="1">
        <f t="array" ref="H398" xml:space="preserve"> ( mc(1000, 3, 4, -1, 1, "EXP(x * sin(y))") ) - 7.39981</f>
        <v>-0.10688114552435746</v>
      </c>
      <c r="J398" cm="1">
        <f t="array" ref="J398" xml:space="preserve"> mc(100, -PI()/2,0,-1, 1, "ln(EXP(x * y))")</f>
        <v>9.1818537705513723E-2</v>
      </c>
      <c r="K398" cm="1">
        <f t="array" ref="K398" xml:space="preserve"> mc(500, -PI()/2,0,-1, 1, "ln(EXP(x * y))")</f>
        <v>2.3054597908954109E-2</v>
      </c>
      <c r="L398" cm="1">
        <f t="array" ref="L398" xml:space="preserve"> mc(1000, -PI()/2,0,-1, 1, "ln(EXP(x * y))")</f>
        <v>-9.4312887210115104E-2</v>
      </c>
      <c r="N398" cm="1">
        <f t="array" ref="N398" xml:space="preserve"> mc(100, -PI()/2,PI()/2, 0, 1, "sin(cos(x + y))")-1.48235</f>
        <v>1.6227767471236776E-2</v>
      </c>
      <c r="O398" cm="1">
        <f t="array" ref="O398" xml:space="preserve"> mc(500, -PI()/2,PI()/2, 0, 1, "sin(cos(x + y))")-1.48235</f>
        <v>5.8980906220827745E-2</v>
      </c>
      <c r="P398" cm="1">
        <f t="array" ref="P398" xml:space="preserve"> mc(1000, -PI()/2,PI()/2, 0, 1, "sin(cos(x + y))")-1.48235</f>
        <v>-1.3921173890218963E-3</v>
      </c>
    </row>
    <row r="399" spans="1:16" x14ac:dyDescent="0.3">
      <c r="A399">
        <v>369</v>
      </c>
      <c r="B399" cm="1">
        <f t="array" ref="B399" xml:space="preserve"> mc(100, 0, 4, 1, 2, "x^2+y^2")-92/3</f>
        <v>1.3118012186795447</v>
      </c>
      <c r="C399" cm="1">
        <f t="array" ref="C399" xml:space="preserve"> mc(500, 0, 4, 1, 2, "x^2+y^2")-92/3</f>
        <v>0.68188168579455777</v>
      </c>
      <c r="D399" cm="1">
        <f t="array" ref="D399" xml:space="preserve"> mc(1000, 0, 4, 1, 2, "x^2+y^2")-92/3</f>
        <v>-0.59586153493911098</v>
      </c>
      <c r="F399" cm="1">
        <f t="array" ref="F399" xml:space="preserve"> ( mc(100, 3, 4, -1, 1, "EXP(x * sin(y))") ) - 7.39981</f>
        <v>0.37538875916405434</v>
      </c>
      <c r="G399" cm="1">
        <f t="array" ref="G399" xml:space="preserve"> ( mc(500, 3, 4, -1, 1, "EXP(x * sin(y))") ) - 7.39981</f>
        <v>-0.47491351590482456</v>
      </c>
      <c r="H399" cm="1">
        <f t="array" ref="H399" xml:space="preserve"> ( mc(1000, 3, 4, -1, 1, "EXP(x * sin(y))") ) - 7.39981</f>
        <v>-0.5770128562572534</v>
      </c>
      <c r="J399" cm="1">
        <f t="array" ref="J399" xml:space="preserve"> mc(100, -PI()/2,0,-1, 1, "ln(EXP(x * y))")</f>
        <v>-0.29840331005557919</v>
      </c>
      <c r="K399" cm="1">
        <f t="array" ref="K399" xml:space="preserve"> mc(500, -PI()/2,0,-1, 1, "ln(EXP(x * y))")</f>
        <v>-3.6671316299223565E-2</v>
      </c>
      <c r="L399" cm="1">
        <f t="array" ref="L399" xml:space="preserve"> mc(1000, -PI()/2,0,-1, 1, "ln(EXP(x * y))")</f>
        <v>-6.2818351387409141E-2</v>
      </c>
      <c r="N399" cm="1">
        <f t="array" ref="N399" xml:space="preserve"> mc(100, -PI()/2,PI()/2, 0, 1, "sin(cos(x + y))")-1.48235</f>
        <v>1.2361203270886856E-2</v>
      </c>
      <c r="O399" cm="1">
        <f t="array" ref="O399" xml:space="preserve"> mc(500, -PI()/2,PI()/2, 0, 1, "sin(cos(x + y))")-1.48235</f>
        <v>-4.0062283136512056E-2</v>
      </c>
      <c r="P399" cm="1">
        <f t="array" ref="P399" xml:space="preserve"> mc(1000, -PI()/2,PI()/2, 0, 1, "sin(cos(x + y))")-1.48235</f>
        <v>2.7413848373382788E-2</v>
      </c>
    </row>
    <row r="400" spans="1:16" x14ac:dyDescent="0.3">
      <c r="A400">
        <v>370</v>
      </c>
      <c r="B400" cm="1">
        <f t="array" ref="B400" xml:space="preserve"> mc(100, 0, 4, 1, 2, "x^2+y^2")-92/3</f>
        <v>3.0788501528625183</v>
      </c>
      <c r="C400" cm="1">
        <f t="array" ref="C400" xml:space="preserve"> mc(500, 0, 4, 1, 2, "x^2+y^2")-92/3</f>
        <v>0.90290499516049749</v>
      </c>
      <c r="D400" cm="1">
        <f t="array" ref="D400" xml:space="preserve"> mc(1000, 0, 4, 1, 2, "x^2+y^2")-92/3</f>
        <v>1.3061625517013198</v>
      </c>
      <c r="F400" cm="1">
        <f t="array" ref="F400" xml:space="preserve"> ( mc(100, 3, 4, -1, 1, "EXP(x * sin(y))") ) - 7.39981</f>
        <v>0.68682276732997849</v>
      </c>
      <c r="G400" cm="1">
        <f t="array" ref="G400" xml:space="preserve"> ( mc(500, 3, 4, -1, 1, "EXP(x * sin(y))") ) - 7.39981</f>
        <v>0.32897219951303747</v>
      </c>
      <c r="H400" cm="1">
        <f t="array" ref="H400" xml:space="preserve"> ( mc(1000, 3, 4, -1, 1, "EXP(x * sin(y))") ) - 7.39981</f>
        <v>-0.38327681017758142</v>
      </c>
      <c r="J400" cm="1">
        <f t="array" ref="J400" xml:space="preserve"> mc(100, -PI()/2,0,-1, 1, "ln(EXP(x * y))")</f>
        <v>0.15261675859273224</v>
      </c>
      <c r="K400" cm="1">
        <f t="array" ref="K400" xml:space="preserve"> mc(500, -PI()/2,0,-1, 1, "ln(EXP(x * y))")</f>
        <v>7.7490351246328415E-2</v>
      </c>
      <c r="L400" cm="1">
        <f t="array" ref="L400" xml:space="preserve"> mc(1000, -PI()/2,0,-1, 1, "ln(EXP(x * y))")</f>
        <v>8.4750125452243211E-2</v>
      </c>
      <c r="N400" cm="1">
        <f t="array" ref="N400" xml:space="preserve"> mc(100, -PI()/2,PI()/2, 0, 1, "sin(cos(x + y))")-1.48235</f>
        <v>6.2471639949189806E-2</v>
      </c>
      <c r="O400" cm="1">
        <f t="array" ref="O400" xml:space="preserve"> mc(500, -PI()/2,PI()/2, 0, 1, "sin(cos(x + y))")-1.48235</f>
        <v>2.9380526578218547E-2</v>
      </c>
      <c r="P400" cm="1">
        <f t="array" ref="P400" xml:space="preserve"> mc(1000, -PI()/2,PI()/2, 0, 1, "sin(cos(x + y))")-1.48235</f>
        <v>-5.0288804965712641E-2</v>
      </c>
    </row>
    <row r="401" spans="1:16" x14ac:dyDescent="0.3">
      <c r="A401">
        <v>371</v>
      </c>
      <c r="B401" cm="1">
        <f t="array" ref="B401" xml:space="preserve"> mc(100, 0, 4, 1, 2, "x^2+y^2")-92/3</f>
        <v>7.741273122975656E-2</v>
      </c>
      <c r="C401" cm="1">
        <f t="array" ref="C401" xml:space="preserve"> mc(500, 0, 4, 1, 2, "x^2+y^2")-92/3</f>
        <v>0.13357753343999335</v>
      </c>
      <c r="D401" cm="1">
        <f t="array" ref="D401" xml:space="preserve"> mc(1000, 0, 4, 1, 2, "x^2+y^2")-92/3</f>
        <v>0.93491470709351177</v>
      </c>
      <c r="F401" cm="1">
        <f t="array" ref="F401" xml:space="preserve"> ( mc(100, 3, 4, -1, 1, "EXP(x * sin(y))") ) - 7.39981</f>
        <v>-0.23943286228708338</v>
      </c>
      <c r="G401" cm="1">
        <f t="array" ref="G401" xml:space="preserve"> ( mc(500, 3, 4, -1, 1, "EXP(x * sin(y))") ) - 7.39981</f>
        <v>-4.4309621331992233E-2</v>
      </c>
      <c r="H401" cm="1">
        <f t="array" ref="H401" xml:space="preserve"> ( mc(1000, 3, 4, -1, 1, "EXP(x * sin(y))") ) - 7.39981</f>
        <v>0.22487301513299407</v>
      </c>
      <c r="J401" cm="1">
        <f t="array" ref="J401" xml:space="preserve"> mc(100, -PI()/2,0,-1, 1, "ln(EXP(x * y))")</f>
        <v>0.19873869684670795</v>
      </c>
      <c r="K401" cm="1">
        <f t="array" ref="K401" xml:space="preserve"> mc(500, -PI()/2,0,-1, 1, "ln(EXP(x * y))")</f>
        <v>-3.6820450545517344E-2</v>
      </c>
      <c r="L401" cm="1">
        <f t="array" ref="L401" xml:space="preserve"> mc(1000, -PI()/2,0,-1, 1, "ln(EXP(x * y))")</f>
        <v>4.3164927420277971E-2</v>
      </c>
      <c r="N401" cm="1">
        <f t="array" ref="N401" xml:space="preserve"> mc(100, -PI()/2,PI()/2, 0, 1, "sin(cos(x + y))")-1.48235</f>
        <v>-5.5104344523566162E-2</v>
      </c>
      <c r="O401" cm="1">
        <f t="array" ref="O401" xml:space="preserve"> mc(500, -PI()/2,PI()/2, 0, 1, "sin(cos(x + y))")-1.48235</f>
        <v>-3.3441778217926599E-2</v>
      </c>
      <c r="P401" cm="1">
        <f t="array" ref="P401" xml:space="preserve"> mc(1000, -PI()/2,PI()/2, 0, 1, "sin(cos(x + y))")-1.48235</f>
        <v>6.5939084938053449E-2</v>
      </c>
    </row>
    <row r="402" spans="1:16" x14ac:dyDescent="0.3">
      <c r="A402">
        <v>372</v>
      </c>
      <c r="B402" cm="1">
        <f t="array" ref="B402" xml:space="preserve"> mc(100, 0, 4, 1, 2, "x^2+y^2")-92/3</f>
        <v>-1.26438546016945</v>
      </c>
      <c r="C402" cm="1">
        <f t="array" ref="C402" xml:space="preserve"> mc(500, 0, 4, 1, 2, "x^2+y^2")-92/3</f>
        <v>6.1746212954858493E-2</v>
      </c>
      <c r="D402" cm="1">
        <f t="array" ref="D402" xml:space="preserve"> mc(1000, 0, 4, 1, 2, "x^2+y^2")-92/3</f>
        <v>-0.43947907004369213</v>
      </c>
      <c r="F402" cm="1">
        <f t="array" ref="F402" xml:space="preserve"> ( mc(100, 3, 4, -1, 1, "EXP(x * sin(y))") ) - 7.39981</f>
        <v>-0.53001014384557443</v>
      </c>
      <c r="G402" cm="1">
        <f t="array" ref="G402" xml:space="preserve"> ( mc(500, 3, 4, -1, 1, "EXP(x * sin(y))") ) - 7.39981</f>
        <v>0.39616570481525937</v>
      </c>
      <c r="H402" cm="1">
        <f t="array" ref="H402" xml:space="preserve"> ( mc(1000, 3, 4, -1, 1, "EXP(x * sin(y))") ) - 7.39981</f>
        <v>5.900449306262967E-2</v>
      </c>
      <c r="J402" cm="1">
        <f t="array" ref="J402" xml:space="preserve"> mc(100, -PI()/2,0,-1, 1, "ln(EXP(x * y))")</f>
        <v>-0.12000177226040222</v>
      </c>
      <c r="K402" cm="1">
        <f t="array" ref="K402" xml:space="preserve"> mc(500, -PI()/2,0,-1, 1, "ln(EXP(x * y))")</f>
        <v>-3.2906779403410406E-2</v>
      </c>
      <c r="L402" cm="1">
        <f t="array" ref="L402" xml:space="preserve"> mc(1000, -PI()/2,0,-1, 1, "ln(EXP(x * y))")</f>
        <v>6.9379745207555174E-2</v>
      </c>
      <c r="N402" cm="1">
        <f t="array" ref="N402" xml:space="preserve"> mc(100, -PI()/2,PI()/2, 0, 1, "sin(cos(x + y))")-1.48235</f>
        <v>3.6613867106429776E-3</v>
      </c>
      <c r="O402" cm="1">
        <f t="array" ref="O402" xml:space="preserve"> mc(500, -PI()/2,PI()/2, 0, 1, "sin(cos(x + y))")-1.48235</f>
        <v>-5.7137178754802509E-2</v>
      </c>
      <c r="P402" cm="1">
        <f t="array" ref="P402" xml:space="preserve"> mc(1000, -PI()/2,PI()/2, 0, 1, "sin(cos(x + y))")-1.48235</f>
        <v>-1.2532594596812441E-2</v>
      </c>
    </row>
    <row r="403" spans="1:16" x14ac:dyDescent="0.3">
      <c r="A403">
        <v>373</v>
      </c>
      <c r="B403" cm="1">
        <f t="array" ref="B403" xml:space="preserve"> mc(100, 0, 4, 1, 2, "x^2+y^2")-92/3</f>
        <v>0.23560190763738476</v>
      </c>
      <c r="C403" cm="1">
        <f t="array" ref="C403" xml:space="preserve"> mc(500, 0, 4, 1, 2, "x^2+y^2")-92/3</f>
        <v>0.71866905321923724</v>
      </c>
      <c r="D403" cm="1">
        <f t="array" ref="D403" xml:space="preserve"> mc(1000, 0, 4, 1, 2, "x^2+y^2")-92/3</f>
        <v>-4.5397048757134684E-2</v>
      </c>
      <c r="F403" cm="1">
        <f t="array" ref="F403" xml:space="preserve"> ( mc(100, 3, 4, -1, 1, "EXP(x * sin(y))") ) - 7.39981</f>
        <v>-1.3265421252771974</v>
      </c>
      <c r="G403" cm="1">
        <f t="array" ref="G403" xml:space="preserve"> ( mc(500, 3, 4, -1, 1, "EXP(x * sin(y))") ) - 7.39981</f>
        <v>-0.16274460082420639</v>
      </c>
      <c r="H403" cm="1">
        <f t="array" ref="H403" xml:space="preserve"> ( mc(1000, 3, 4, -1, 1, "EXP(x * sin(y))") ) - 7.39981</f>
        <v>-0.44096413031233528</v>
      </c>
      <c r="J403" cm="1">
        <f t="array" ref="J403" xml:space="preserve"> mc(100, -PI()/2,0,-1, 1, "ln(EXP(x * y))")</f>
        <v>2.7114537688872165E-2</v>
      </c>
      <c r="K403" cm="1">
        <f t="array" ref="K403" xml:space="preserve"> mc(500, -PI()/2,0,-1, 1, "ln(EXP(x * y))")</f>
        <v>-8.7155117261050935E-2</v>
      </c>
      <c r="L403" cm="1">
        <f t="array" ref="L403" xml:space="preserve"> mc(1000, -PI()/2,0,-1, 1, "ln(EXP(x * y))")</f>
        <v>-3.4463334342050285E-3</v>
      </c>
      <c r="N403" cm="1">
        <f t="array" ref="N403" xml:space="preserve"> mc(100, -PI()/2,PI()/2, 0, 1, "sin(cos(x + y))")-1.48235</f>
        <v>5.6693802417198791E-2</v>
      </c>
      <c r="O403" cm="1">
        <f t="array" ref="O403" xml:space="preserve"> mc(500, -PI()/2,PI()/2, 0, 1, "sin(cos(x + y))")-1.48235</f>
        <v>-2.9201332910617994E-2</v>
      </c>
      <c r="P403" cm="1">
        <f t="array" ref="P403" xml:space="preserve"> mc(1000, -PI()/2,PI()/2, 0, 1, "sin(cos(x + y))")-1.48235</f>
        <v>-2.9289298805901254E-3</v>
      </c>
    </row>
    <row r="404" spans="1:16" x14ac:dyDescent="0.3">
      <c r="A404">
        <v>374</v>
      </c>
      <c r="B404" cm="1">
        <f t="array" ref="B404" xml:space="preserve"> mc(100, 0, 4, 1, 2, "x^2+y^2")-92/3</f>
        <v>-0.55332913397613837</v>
      </c>
      <c r="C404" cm="1">
        <f t="array" ref="C404" xml:space="preserve"> mc(500, 0, 4, 1, 2, "x^2+y^2")-92/3</f>
        <v>0.84384952766654209</v>
      </c>
      <c r="D404" cm="1">
        <f t="array" ref="D404" xml:space="preserve"> mc(1000, 0, 4, 1, 2, "x^2+y^2")-92/3</f>
        <v>-5.2415506951188462E-2</v>
      </c>
      <c r="F404" cm="1">
        <f t="array" ref="F404" xml:space="preserve"> ( mc(100, 3, 4, -1, 1, "EXP(x * sin(y))") ) - 7.39981</f>
        <v>-0.39199053933614358</v>
      </c>
      <c r="G404" cm="1">
        <f t="array" ref="G404" xml:space="preserve"> ( mc(500, 3, 4, -1, 1, "EXP(x * sin(y))") ) - 7.39981</f>
        <v>-0.15552031238659936</v>
      </c>
      <c r="H404" cm="1">
        <f t="array" ref="H404" xml:space="preserve"> ( mc(1000, 3, 4, -1, 1, "EXP(x * sin(y))") ) - 7.39981</f>
        <v>-0.26705007569082984</v>
      </c>
      <c r="J404" cm="1">
        <f t="array" ref="J404" xml:space="preserve"> mc(100, -PI()/2,0,-1, 1, "ln(EXP(x * y))")</f>
        <v>0.32917867756740782</v>
      </c>
      <c r="K404" cm="1">
        <f t="array" ref="K404" xml:space="preserve"> mc(500, -PI()/2,0,-1, 1, "ln(EXP(x * y))")</f>
        <v>-7.8946412763715029E-2</v>
      </c>
      <c r="L404" cm="1">
        <f t="array" ref="L404" xml:space="preserve"> mc(1000, -PI()/2,0,-1, 1, "ln(EXP(x * y))")</f>
        <v>-7.6869372737278868E-2</v>
      </c>
      <c r="N404" cm="1">
        <f t="array" ref="N404" xml:space="preserve"> mc(100, -PI()/2,PI()/2, 0, 1, "sin(cos(x + y))")-1.48235</f>
        <v>7.4440082448381517E-3</v>
      </c>
      <c r="O404" cm="1">
        <f t="array" ref="O404" xml:space="preserve"> mc(500, -PI()/2,PI()/2, 0, 1, "sin(cos(x + y))")-1.48235</f>
        <v>-7.8157070660471284E-2</v>
      </c>
      <c r="P404" cm="1">
        <f t="array" ref="P404" xml:space="preserve"> mc(1000, -PI()/2,PI()/2, 0, 1, "sin(cos(x + y))")-1.48235</f>
        <v>9.0460117683259789E-3</v>
      </c>
    </row>
    <row r="405" spans="1:16" x14ac:dyDescent="0.3">
      <c r="A405">
        <v>375</v>
      </c>
      <c r="B405" cm="1">
        <f t="array" ref="B405" xml:space="preserve"> mc(100, 0, 4, 1, 2, "x^2+y^2")-92/3</f>
        <v>-0.30540148186692306</v>
      </c>
      <c r="C405" cm="1">
        <f t="array" ref="C405" xml:space="preserve"> mc(500, 0, 4, 1, 2, "x^2+y^2")-92/3</f>
        <v>-1.0634935796153862</v>
      </c>
      <c r="D405" cm="1">
        <f t="array" ref="D405" xml:space="preserve"> mc(1000, 0, 4, 1, 2, "x^2+y^2")-92/3</f>
        <v>1.1093716130589755</v>
      </c>
      <c r="F405" cm="1">
        <f t="array" ref="F405" xml:space="preserve"> ( mc(100, 3, 4, -1, 1, "EXP(x * sin(y))") ) - 7.39981</f>
        <v>1.8712610446969009</v>
      </c>
      <c r="G405" cm="1">
        <f t="array" ref="G405" xml:space="preserve"> ( mc(500, 3, 4, -1, 1, "EXP(x * sin(y))") ) - 7.39981</f>
        <v>0.33939381740102714</v>
      </c>
      <c r="H405" cm="1">
        <f t="array" ref="H405" xml:space="preserve"> ( mc(1000, 3, 4, -1, 1, "EXP(x * sin(y))") ) - 7.39981</f>
        <v>-0.32653175725724992</v>
      </c>
      <c r="J405" cm="1">
        <f t="array" ref="J405" xml:space="preserve"> mc(100, -PI()/2,0,-1, 1, "ln(EXP(x * y))")</f>
        <v>9.6729513837348402E-2</v>
      </c>
      <c r="K405" cm="1">
        <f t="array" ref="K405" xml:space="preserve"> mc(500, -PI()/2,0,-1, 1, "ln(EXP(x * y))")</f>
        <v>4.706932417085561E-2</v>
      </c>
      <c r="L405" cm="1">
        <f t="array" ref="L405" xml:space="preserve"> mc(1000, -PI()/2,0,-1, 1, "ln(EXP(x * y))")</f>
        <v>2.4238353203459923E-2</v>
      </c>
      <c r="N405" cm="1">
        <f t="array" ref="N405" xml:space="preserve"> mc(100, -PI()/2,PI()/2, 0, 1, "sin(cos(x + y))")-1.48235</f>
        <v>-5.0302479994449145E-2</v>
      </c>
      <c r="O405" cm="1">
        <f t="array" ref="O405" xml:space="preserve"> mc(500, -PI()/2,PI()/2, 0, 1, "sin(cos(x + y))")-1.48235</f>
        <v>-7.3462351702681783E-2</v>
      </c>
      <c r="P405" cm="1">
        <f t="array" ref="P405" xml:space="preserve"> mc(1000, -PI()/2,PI()/2, 0, 1, "sin(cos(x + y))")-1.48235</f>
        <v>1.2211292500474924E-2</v>
      </c>
    </row>
    <row r="406" spans="1:16" x14ac:dyDescent="0.3">
      <c r="A406">
        <v>376</v>
      </c>
      <c r="B406" cm="1">
        <f t="array" ref="B406" xml:space="preserve"> mc(100, 0, 4, 1, 2, "x^2+y^2")-92/3</f>
        <v>0.86606181874810417</v>
      </c>
      <c r="C406" cm="1">
        <f t="array" ref="C406" xml:space="preserve"> mc(500, 0, 4, 1, 2, "x^2+y^2")-92/3</f>
        <v>-0.13370726647682574</v>
      </c>
      <c r="D406" cm="1">
        <f t="array" ref="D406" xml:space="preserve"> mc(1000, 0, 4, 1, 2, "x^2+y^2")-92/3</f>
        <v>-0.42763491162108025</v>
      </c>
      <c r="F406" cm="1">
        <f t="array" ref="F406" xml:space="preserve"> ( mc(100, 3, 4, -1, 1, "EXP(x * sin(y))") ) - 7.39981</f>
        <v>-1.2613741038044433</v>
      </c>
      <c r="G406" cm="1">
        <f t="array" ref="G406" xml:space="preserve"> ( mc(500, 3, 4, -1, 1, "EXP(x * sin(y))") ) - 7.39981</f>
        <v>0.45677069995058872</v>
      </c>
      <c r="H406" cm="1">
        <f t="array" ref="H406" xml:space="preserve"> ( mc(1000, 3, 4, -1, 1, "EXP(x * sin(y))") ) - 7.39981</f>
        <v>-0.80716506272722288</v>
      </c>
      <c r="J406" cm="1">
        <f t="array" ref="J406" xml:space="preserve"> mc(100, -PI()/2,0,-1, 1, "ln(EXP(x * y))")</f>
        <v>-0.12775935870725919</v>
      </c>
      <c r="K406" cm="1">
        <f t="array" ref="K406" xml:space="preserve"> mc(500, -PI()/2,0,-1, 1, "ln(EXP(x * y))")</f>
        <v>6.7325632415277004E-2</v>
      </c>
      <c r="L406" cm="1">
        <f t="array" ref="L406" xml:space="preserve"> mc(1000, -PI()/2,0,-1, 1, "ln(EXP(x * y))")</f>
        <v>-6.9154600499085287E-3</v>
      </c>
      <c r="N406" cm="1">
        <f t="array" ref="N406" xml:space="preserve"> mc(100, -PI()/2,PI()/2, 0, 1, "sin(cos(x + y))")-1.48235</f>
        <v>0.19283201486846968</v>
      </c>
      <c r="O406" cm="1">
        <f t="array" ref="O406" xml:space="preserve"> mc(500, -PI()/2,PI()/2, 0, 1, "sin(cos(x + y))")-1.48235</f>
        <v>-0.10195747204141226</v>
      </c>
      <c r="P406" cm="1">
        <f t="array" ref="P406" xml:space="preserve"> mc(1000, -PI()/2,PI()/2, 0, 1, "sin(cos(x + y))")-1.48235</f>
        <v>-1.8201259076822129E-3</v>
      </c>
    </row>
    <row r="407" spans="1:16" x14ac:dyDescent="0.3">
      <c r="A407">
        <v>377</v>
      </c>
      <c r="B407" cm="1">
        <f t="array" ref="B407" xml:space="preserve"> mc(100, 0, 4, 1, 2, "x^2+y^2")-92/3</f>
        <v>1.7200162563605765</v>
      </c>
      <c r="C407" cm="1">
        <f t="array" ref="C407" xml:space="preserve"> mc(500, 0, 4, 1, 2, "x^2+y^2")-92/3</f>
        <v>-0.66002334049518296</v>
      </c>
      <c r="D407" cm="1">
        <f t="array" ref="D407" xml:space="preserve"> mc(1000, 0, 4, 1, 2, "x^2+y^2")-92/3</f>
        <v>0.5357896482223623</v>
      </c>
      <c r="F407" cm="1">
        <f t="array" ref="F407" xml:space="preserve"> ( mc(100, 3, 4, -1, 1, "EXP(x * sin(y))") ) - 7.39981</f>
        <v>-0.5886948570506032</v>
      </c>
      <c r="G407" cm="1">
        <f t="array" ref="G407" xml:space="preserve"> ( mc(500, 3, 4, -1, 1, "EXP(x * sin(y))") ) - 7.39981</f>
        <v>0.23889235337430392</v>
      </c>
      <c r="H407" cm="1">
        <f t="array" ref="H407" xml:space="preserve"> ( mc(1000, 3, 4, -1, 1, "EXP(x * sin(y))") ) - 7.39981</f>
        <v>-0.20754921668858906</v>
      </c>
      <c r="J407" cm="1">
        <f t="array" ref="J407" xml:space="preserve"> mc(100, -PI()/2,0,-1, 1, "ln(EXP(x * y))")</f>
        <v>-3.7482683171228333E-2</v>
      </c>
      <c r="K407" cm="1">
        <f t="array" ref="K407" xml:space="preserve"> mc(500, -PI()/2,0,-1, 1, "ln(EXP(x * y))")</f>
        <v>8.9259262157792674E-2</v>
      </c>
      <c r="L407" cm="1">
        <f t="array" ref="L407" xml:space="preserve"> mc(1000, -PI()/2,0,-1, 1, "ln(EXP(x * y))")</f>
        <v>-6.0373276031138644E-2</v>
      </c>
      <c r="N407" cm="1">
        <f t="array" ref="N407" xml:space="preserve"> mc(100, -PI()/2,PI()/2, 0, 1, "sin(cos(x + y))")-1.48235</f>
        <v>-4.7005201246626438E-2</v>
      </c>
      <c r="O407" cm="1">
        <f t="array" ref="O407" xml:space="preserve"> mc(500, -PI()/2,PI()/2, 0, 1, "sin(cos(x + y))")-1.48235</f>
        <v>1.3331777776079967E-3</v>
      </c>
      <c r="P407" cm="1">
        <f t="array" ref="P407" xml:space="preserve"> mc(1000, -PI()/2,PI()/2, 0, 1, "sin(cos(x + y))")-1.48235</f>
        <v>-3.3575290190692497E-2</v>
      </c>
    </row>
    <row r="408" spans="1:16" x14ac:dyDescent="0.3">
      <c r="A408">
        <v>378</v>
      </c>
      <c r="B408" cm="1">
        <f t="array" ref="B408" xml:space="preserve"> mc(100, 0, 4, 1, 2, "x^2+y^2")-92/3</f>
        <v>-1.1448604957476221</v>
      </c>
      <c r="C408" cm="1">
        <f t="array" ref="C408" xml:space="preserve"> mc(500, 0, 4, 1, 2, "x^2+y^2")-92/3</f>
        <v>-0.33979671907575337</v>
      </c>
      <c r="D408" cm="1">
        <f t="array" ref="D408" xml:space="preserve"> mc(1000, 0, 4, 1, 2, "x^2+y^2")-92/3</f>
        <v>-0.15249377491026905</v>
      </c>
      <c r="F408" cm="1">
        <f t="array" ref="F408" xml:space="preserve"> ( mc(100, 3, 4, -1, 1, "EXP(x * sin(y))") ) - 7.39981</f>
        <v>2.2139044079861669E-2</v>
      </c>
      <c r="G408" cm="1">
        <f t="array" ref="G408" xml:space="preserve"> ( mc(500, 3, 4, -1, 1, "EXP(x * sin(y))") ) - 7.39981</f>
        <v>0.50646944055239285</v>
      </c>
      <c r="H408" cm="1">
        <f t="array" ref="H408" xml:space="preserve"> ( mc(1000, 3, 4, -1, 1, "EXP(x * sin(y))") ) - 7.39981</f>
        <v>0.10621498916892858</v>
      </c>
      <c r="J408" cm="1">
        <f t="array" ref="J408" xml:space="preserve"> mc(100, -PI()/2,0,-1, 1, "ln(EXP(x * y))")</f>
        <v>-6.775662019430212E-2</v>
      </c>
      <c r="K408" cm="1">
        <f t="array" ref="K408" xml:space="preserve"> mc(500, -PI()/2,0,-1, 1, "ln(EXP(x * y))")</f>
        <v>-2.6409845306618968E-2</v>
      </c>
      <c r="L408" cm="1">
        <f t="array" ref="L408" xml:space="preserve"> mc(1000, -PI()/2,0,-1, 1, "ln(EXP(x * y))")</f>
        <v>4.4803509751458373E-2</v>
      </c>
      <c r="N408" cm="1">
        <f t="array" ref="N408" xml:space="preserve"> mc(100, -PI()/2,PI()/2, 0, 1, "sin(cos(x + y))")-1.48235</f>
        <v>6.6033686137161318E-2</v>
      </c>
      <c r="O408" cm="1">
        <f t="array" ref="O408" xml:space="preserve"> mc(500, -PI()/2,PI()/2, 0, 1, "sin(cos(x + y))")-1.48235</f>
        <v>0.10694759728566128</v>
      </c>
      <c r="P408" cm="1">
        <f t="array" ref="P408" xml:space="preserve"> mc(1000, -PI()/2,PI()/2, 0, 1, "sin(cos(x + y))")-1.48235</f>
        <v>-5.8375435635319661E-2</v>
      </c>
    </row>
    <row r="409" spans="1:16" x14ac:dyDescent="0.3">
      <c r="A409">
        <v>379</v>
      </c>
      <c r="B409" cm="1">
        <f t="array" ref="B409" xml:space="preserve"> mc(100, 0, 4, 1, 2, "x^2+y^2")-92/3</f>
        <v>1.1700511370791027</v>
      </c>
      <c r="C409" cm="1">
        <f t="array" ref="C409" xml:space="preserve"> mc(500, 0, 4, 1, 2, "x^2+y^2")-92/3</f>
        <v>1.3362531743895154</v>
      </c>
      <c r="D409" cm="1">
        <f t="array" ref="D409" xml:space="preserve"> mc(1000, 0, 4, 1, 2, "x^2+y^2")-92/3</f>
        <v>0.75637105236696556</v>
      </c>
      <c r="F409" cm="1">
        <f t="array" ref="F409" xml:space="preserve"> ( mc(100, 3, 4, -1, 1, "EXP(x * sin(y))") ) - 7.39981</f>
        <v>-0.21175260362738602</v>
      </c>
      <c r="G409" cm="1">
        <f t="array" ref="G409" xml:space="preserve"> ( mc(500, 3, 4, -1, 1, "EXP(x * sin(y))") ) - 7.39981</f>
        <v>0.28221997454262748</v>
      </c>
      <c r="H409" cm="1">
        <f t="array" ref="H409" xml:space="preserve"> ( mc(1000, 3, 4, -1, 1, "EXP(x * sin(y))") ) - 7.39981</f>
        <v>9.2531312447710512E-2</v>
      </c>
      <c r="J409" cm="1">
        <f t="array" ref="J409" xml:space="preserve"> mc(100, -PI()/2,0,-1, 1, "ln(EXP(x * y))")</f>
        <v>-0.23645453346553727</v>
      </c>
      <c r="K409" cm="1">
        <f t="array" ref="K409" xml:space="preserve"> mc(500, -PI()/2,0,-1, 1, "ln(EXP(x * y))")</f>
        <v>9.7244447060598732E-2</v>
      </c>
      <c r="L409" cm="1">
        <f t="array" ref="L409" xml:space="preserve"> mc(1000, -PI()/2,0,-1, 1, "ln(EXP(x * y))")</f>
        <v>-5.4497441271499768E-2</v>
      </c>
      <c r="N409" cm="1">
        <f t="array" ref="N409" xml:space="preserve"> mc(100, -PI()/2,PI()/2, 0, 1, "sin(cos(x + y))")-1.48235</f>
        <v>-6.7423826409237275E-2</v>
      </c>
      <c r="O409" cm="1">
        <f t="array" ref="O409" xml:space="preserve"> mc(500, -PI()/2,PI()/2, 0, 1, "sin(cos(x + y))")-1.48235</f>
        <v>1.5411038530209309E-2</v>
      </c>
      <c r="P409" cm="1">
        <f t="array" ref="P409" xml:space="preserve"> mc(1000, -PI()/2,PI()/2, 0, 1, "sin(cos(x + y))")-1.48235</f>
        <v>-1.0347861729074204E-3</v>
      </c>
    </row>
    <row r="410" spans="1:16" x14ac:dyDescent="0.3">
      <c r="A410">
        <v>380</v>
      </c>
      <c r="B410" cm="1">
        <f t="array" ref="B410" xml:space="preserve"> mc(100, 0, 4, 1, 2, "x^2+y^2")-92/3</f>
        <v>-0.67624267816503902</v>
      </c>
      <c r="C410" cm="1">
        <f t="array" ref="C410" xml:space="preserve"> mc(500, 0, 4, 1, 2, "x^2+y^2")-92/3</f>
        <v>1.7355019541057004E-2</v>
      </c>
      <c r="D410" cm="1">
        <f t="array" ref="D410" xml:space="preserve"> mc(1000, 0, 4, 1, 2, "x^2+y^2")-92/3</f>
        <v>0.56354886615670807</v>
      </c>
      <c r="F410" cm="1">
        <f t="array" ref="F410" xml:space="preserve"> ( mc(100, 3, 4, -1, 1, "EXP(x * sin(y))") ) - 7.39981</f>
        <v>0.43259439610201778</v>
      </c>
      <c r="G410" cm="1">
        <f t="array" ref="G410" xml:space="preserve"> ( mc(500, 3, 4, -1, 1, "EXP(x * sin(y))") ) - 7.39981</f>
        <v>-0.54948808804809435</v>
      </c>
      <c r="H410" cm="1">
        <f t="array" ref="H410" xml:space="preserve"> ( mc(1000, 3, 4, -1, 1, "EXP(x * sin(y))") ) - 7.39981</f>
        <v>9.6413238242722521E-2</v>
      </c>
      <c r="J410" cm="1">
        <f t="array" ref="J410" xml:space="preserve"> mc(100, -PI()/2,0,-1, 1, "ln(EXP(x * y))")</f>
        <v>0.10812557985006439</v>
      </c>
      <c r="K410" cm="1">
        <f t="array" ref="K410" xml:space="preserve"> mc(500, -PI()/2,0,-1, 1, "ln(EXP(x * y))")</f>
        <v>-6.9231707898283035E-2</v>
      </c>
      <c r="L410" cm="1">
        <f t="array" ref="L410" xml:space="preserve"> mc(1000, -PI()/2,0,-1, 1, "ln(EXP(x * y))")</f>
        <v>-2.04982835388191E-2</v>
      </c>
      <c r="N410" cm="1">
        <f t="array" ref="N410" xml:space="preserve"> mc(100, -PI()/2,PI()/2, 0, 1, "sin(cos(x + y))")-1.48235</f>
        <v>-4.6051036498717668E-3</v>
      </c>
      <c r="O410" cm="1">
        <f t="array" ref="O410" xml:space="preserve"> mc(500, -PI()/2,PI()/2, 0, 1, "sin(cos(x + y))")-1.48235</f>
        <v>3.6160032002924281E-2</v>
      </c>
      <c r="P410" cm="1">
        <f t="array" ref="P410" xml:space="preserve"> mc(1000, -PI()/2,PI()/2, 0, 1, "sin(cos(x + y))")-1.48235</f>
        <v>2.5948252723794862E-2</v>
      </c>
    </row>
    <row r="411" spans="1:16" x14ac:dyDescent="0.3">
      <c r="A411">
        <v>381</v>
      </c>
      <c r="B411" cm="1">
        <f t="array" ref="B411" xml:space="preserve"> mc(100, 0, 4, 1, 2, "x^2+y^2")-92/3</f>
        <v>1.8470725015177258</v>
      </c>
      <c r="C411" cm="1">
        <f t="array" ref="C411" xml:space="preserve"> mc(500, 0, 4, 1, 2, "x^2+y^2")-92/3</f>
        <v>1.0981145963848462</v>
      </c>
      <c r="D411" cm="1">
        <f t="array" ref="D411" xml:space="preserve"> mc(1000, 0, 4, 1, 2, "x^2+y^2")-92/3</f>
        <v>-0.6047710822825394</v>
      </c>
      <c r="F411" cm="1">
        <f t="array" ref="F411" xml:space="preserve"> ( mc(100, 3, 4, -1, 1, "EXP(x * sin(y))") ) - 7.39981</f>
        <v>-1.3709012277776012</v>
      </c>
      <c r="G411" cm="1">
        <f t="array" ref="G411" xml:space="preserve"> ( mc(500, 3, 4, -1, 1, "EXP(x * sin(y))") ) - 7.39981</f>
        <v>0.1284642772021094</v>
      </c>
      <c r="H411" cm="1">
        <f t="array" ref="H411" xml:space="preserve"> ( mc(1000, 3, 4, -1, 1, "EXP(x * sin(y))") ) - 7.39981</f>
        <v>-0.1607842749653523</v>
      </c>
      <c r="J411" cm="1">
        <f t="array" ref="J411" xml:space="preserve"> mc(100, -PI()/2,0,-1, 1, "ln(EXP(x * y))")</f>
        <v>-1.407516947897779E-2</v>
      </c>
      <c r="K411" cm="1">
        <f t="array" ref="K411" xml:space="preserve"> mc(500, -PI()/2,0,-1, 1, "ln(EXP(x * y))")</f>
        <v>-0.15185313164229705</v>
      </c>
      <c r="L411" cm="1">
        <f t="array" ref="L411" xml:space="preserve"> mc(1000, -PI()/2,0,-1, 1, "ln(EXP(x * y))")</f>
        <v>7.2622464874116208E-2</v>
      </c>
      <c r="N411" cm="1">
        <f t="array" ref="N411" xml:space="preserve"> mc(100, -PI()/2,PI()/2, 0, 1, "sin(cos(x + y))")-1.48235</f>
        <v>-4.2158776496594497E-2</v>
      </c>
      <c r="O411" cm="1">
        <f t="array" ref="O411" xml:space="preserve"> mc(500, -PI()/2,PI()/2, 0, 1, "sin(cos(x + y))")-1.48235</f>
        <v>2.4595595533745573E-2</v>
      </c>
      <c r="P411" cm="1">
        <f t="array" ref="P411" xml:space="preserve"> mc(1000, -PI()/2,PI()/2, 0, 1, "sin(cos(x + y))")-1.48235</f>
        <v>2.3522812576663998E-3</v>
      </c>
    </row>
    <row r="412" spans="1:16" x14ac:dyDescent="0.3">
      <c r="A412">
        <v>382</v>
      </c>
      <c r="B412" cm="1">
        <f t="array" ref="B412" xml:space="preserve"> mc(100, 0, 4, 1, 2, "x^2+y^2")-92/3</f>
        <v>1.4726346797123462</v>
      </c>
      <c r="C412" cm="1">
        <f t="array" ref="C412" xml:space="preserve"> mc(500, 0, 4, 1, 2, "x^2+y^2")-92/3</f>
        <v>0.53463870880768738</v>
      </c>
      <c r="D412" cm="1">
        <f t="array" ref="D412" xml:space="preserve"> mc(1000, 0, 4, 1, 2, "x^2+y^2")-92/3</f>
        <v>-0.58266796531053089</v>
      </c>
      <c r="F412" cm="1">
        <f t="array" ref="F412" xml:space="preserve"> ( mc(100, 3, 4, -1, 1, "EXP(x * sin(y))") ) - 7.39981</f>
        <v>0.20149361636709884</v>
      </c>
      <c r="G412" cm="1">
        <f t="array" ref="G412" xml:space="preserve"> ( mc(500, 3, 4, -1, 1, "EXP(x * sin(y))") ) - 7.39981</f>
        <v>0.12358137178582851</v>
      </c>
      <c r="H412" cm="1">
        <f t="array" ref="H412" xml:space="preserve"> ( mc(1000, 3, 4, -1, 1, "EXP(x * sin(y))") ) - 7.39981</f>
        <v>-0.41060310021394741</v>
      </c>
      <c r="J412" cm="1">
        <f t="array" ref="J412" xml:space="preserve"> mc(100, -PI()/2,0,-1, 1, "ln(EXP(x * y))")</f>
        <v>3.8694287759285233E-2</v>
      </c>
      <c r="K412" cm="1">
        <f t="array" ref="K412" xml:space="preserve"> mc(500, -PI()/2,0,-1, 1, "ln(EXP(x * y))")</f>
        <v>1.2955136534252187E-2</v>
      </c>
      <c r="L412" cm="1">
        <f t="array" ref="L412" xml:space="preserve"> mc(1000, -PI()/2,0,-1, 1, "ln(EXP(x * y))")</f>
        <v>1.0119003041836397E-2</v>
      </c>
      <c r="N412" cm="1">
        <f t="array" ref="N412" xml:space="preserve"> mc(100, -PI()/2,PI()/2, 0, 1, "sin(cos(x + y))")-1.48235</f>
        <v>4.9832177163816604E-2</v>
      </c>
      <c r="O412" cm="1">
        <f t="array" ref="O412" xml:space="preserve"> mc(500, -PI()/2,PI()/2, 0, 1, "sin(cos(x + y))")-1.48235</f>
        <v>-5.7210729029596008E-2</v>
      </c>
      <c r="P412" cm="1">
        <f t="array" ref="P412" xml:space="preserve"> mc(1000, -PI()/2,PI()/2, 0, 1, "sin(cos(x + y))")-1.48235</f>
        <v>3.5230714446534028E-2</v>
      </c>
    </row>
    <row r="413" spans="1:16" x14ac:dyDescent="0.3">
      <c r="A413">
        <v>383</v>
      </c>
      <c r="B413" cm="1">
        <f t="array" ref="B413" xml:space="preserve"> mc(100, 0, 4, 1, 2, "x^2+y^2")-92/3</f>
        <v>-1.6061831077228952</v>
      </c>
      <c r="C413" cm="1">
        <f t="array" ref="C413" xml:space="preserve"> mc(500, 0, 4, 1, 2, "x^2+y^2")-92/3</f>
        <v>-7.0457567597522086E-2</v>
      </c>
      <c r="D413" cm="1">
        <f t="array" ref="D413" xml:space="preserve"> mc(1000, 0, 4, 1, 2, "x^2+y^2")-92/3</f>
        <v>0.26663078769537663</v>
      </c>
      <c r="F413" cm="1">
        <f t="array" ref="F413" xml:space="preserve"> ( mc(100, 3, 4, -1, 1, "EXP(x * sin(y))") ) - 7.39981</f>
        <v>1.0487969870003528</v>
      </c>
      <c r="G413" cm="1">
        <f t="array" ref="G413" xml:space="preserve"> ( mc(500, 3, 4, -1, 1, "EXP(x * sin(y))") ) - 7.39981</f>
        <v>-0.36738383733536395</v>
      </c>
      <c r="H413" cm="1">
        <f t="array" ref="H413" xml:space="preserve"> ( mc(1000, 3, 4, -1, 1, "EXP(x * sin(y))") ) - 7.39981</f>
        <v>2.6554298472597715E-2</v>
      </c>
      <c r="J413" cm="1">
        <f t="array" ref="J413" xml:space="preserve"> mc(100, -PI()/2,0,-1, 1, "ln(EXP(x * y))")</f>
        <v>3.4816550653040269E-2</v>
      </c>
      <c r="K413" cm="1">
        <f t="array" ref="K413" xml:space="preserve"> mc(500, -PI()/2,0,-1, 1, "ln(EXP(x * y))")</f>
        <v>7.4401495298803855E-2</v>
      </c>
      <c r="L413" cm="1">
        <f t="array" ref="L413" xml:space="preserve"> mc(1000, -PI()/2,0,-1, 1, "ln(EXP(x * y))")</f>
        <v>-1.0199397305624519E-2</v>
      </c>
      <c r="N413" cm="1">
        <f t="array" ref="N413" xml:space="preserve"> mc(100, -PI()/2,PI()/2, 0, 1, "sin(cos(x + y))")-1.48235</f>
        <v>0.15126326867049911</v>
      </c>
      <c r="O413" cm="1">
        <f t="array" ref="O413" xml:space="preserve"> mc(500, -PI()/2,PI()/2, 0, 1, "sin(cos(x + y))")-1.48235</f>
        <v>-7.1125838823937304E-2</v>
      </c>
      <c r="P413" cm="1">
        <f t="array" ref="P413" xml:space="preserve"> mc(1000, -PI()/2,PI()/2, 0, 1, "sin(cos(x + y))")-1.48235</f>
        <v>-1.0870730775662585E-2</v>
      </c>
    </row>
    <row r="414" spans="1:16" x14ac:dyDescent="0.3">
      <c r="A414">
        <v>384</v>
      </c>
      <c r="B414" cm="1">
        <f t="array" ref="B414" xml:space="preserve"> mc(100, 0, 4, 1, 2, "x^2+y^2")-92/3</f>
        <v>1.21048937161693</v>
      </c>
      <c r="C414" cm="1">
        <f t="array" ref="C414" xml:space="preserve"> mc(500, 0, 4, 1, 2, "x^2+y^2")-92/3</f>
        <v>0.80961245741971766</v>
      </c>
      <c r="D414" cm="1">
        <f t="array" ref="D414" xml:space="preserve"> mc(1000, 0, 4, 1, 2, "x^2+y^2")-92/3</f>
        <v>0.60089960352410898</v>
      </c>
      <c r="F414" cm="1">
        <f t="array" ref="F414" xml:space="preserve"> ( mc(100, 3, 4, -1, 1, "EXP(x * sin(y))") ) - 7.39981</f>
        <v>2.0134237329606801</v>
      </c>
      <c r="G414" cm="1">
        <f t="array" ref="G414" xml:space="preserve"> ( mc(500, 3, 4, -1, 1, "EXP(x * sin(y))") ) - 7.39981</f>
        <v>-0.85010362289611674</v>
      </c>
      <c r="H414" cm="1">
        <f t="array" ref="H414" xml:space="preserve"> ( mc(1000, 3, 4, -1, 1, "EXP(x * sin(y))") ) - 7.39981</f>
        <v>0.28839310841134136</v>
      </c>
      <c r="J414" cm="1">
        <f t="array" ref="J414" xml:space="preserve"> mc(100, -PI()/2,0,-1, 1, "ln(EXP(x * y))")</f>
        <v>0.35921726443031787</v>
      </c>
      <c r="K414" cm="1">
        <f t="array" ref="K414" xml:space="preserve"> mc(500, -PI()/2,0,-1, 1, "ln(EXP(x * y))")</f>
        <v>-4.5055761050756642E-2</v>
      </c>
      <c r="L414" cm="1">
        <f t="array" ref="L414" xml:space="preserve"> mc(1000, -PI()/2,0,-1, 1, "ln(EXP(x * y))")</f>
        <v>-3.3666672593426271E-3</v>
      </c>
      <c r="N414" cm="1">
        <f t="array" ref="N414" xml:space="preserve"> mc(100, -PI()/2,PI()/2, 0, 1, "sin(cos(x + y))")-1.48235</f>
        <v>-0.15799724119572733</v>
      </c>
      <c r="O414" cm="1">
        <f t="array" ref="O414" xml:space="preserve"> mc(500, -PI()/2,PI()/2, 0, 1, "sin(cos(x + y))")-1.48235</f>
        <v>-1.9773705620254933E-2</v>
      </c>
      <c r="P414" cm="1">
        <f t="array" ref="P414" xml:space="preserve"> mc(1000, -PI()/2,PI()/2, 0, 1, "sin(cos(x + y))")-1.48235</f>
        <v>-5.3206700223869197E-2</v>
      </c>
    </row>
    <row r="415" spans="1:16" x14ac:dyDescent="0.3">
      <c r="A415">
        <v>385</v>
      </c>
      <c r="B415" cm="1">
        <f t="array" ref="B415" xml:space="preserve"> mc(100, 0, 4, 1, 2, "x^2+y^2")-92/3</f>
        <v>-0.11878616547227594</v>
      </c>
      <c r="C415" cm="1">
        <f t="array" ref="C415" xml:space="preserve"> mc(500, 0, 4, 1, 2, "x^2+y^2")-92/3</f>
        <v>-0.31103538825824018</v>
      </c>
      <c r="D415" cm="1">
        <f t="array" ref="D415" xml:space="preserve"> mc(1000, 0, 4, 1, 2, "x^2+y^2")-92/3</f>
        <v>-0.42936568735426306</v>
      </c>
      <c r="F415" cm="1">
        <f t="array" ref="F415" xml:space="preserve"> ( mc(100, 3, 4, -1, 1, "EXP(x * sin(y))") ) - 7.39981</f>
        <v>6.0290379460268717E-2</v>
      </c>
      <c r="G415" cm="1">
        <f t="array" ref="G415" xml:space="preserve"> ( mc(500, 3, 4, -1, 1, "EXP(x * sin(y))") ) - 7.39981</f>
        <v>0.32331827252296819</v>
      </c>
      <c r="H415" cm="1">
        <f t="array" ref="H415" xml:space="preserve"> ( mc(1000, 3, 4, -1, 1, "EXP(x * sin(y))") ) - 7.39981</f>
        <v>-0.69372985606189896</v>
      </c>
      <c r="J415" cm="1">
        <f t="array" ref="J415" xml:space="preserve"> mc(100, -PI()/2,0,-1, 1, "ln(EXP(x * y))")</f>
        <v>6.2819716259940803E-2</v>
      </c>
      <c r="K415" cm="1">
        <f t="array" ref="K415" xml:space="preserve"> mc(500, -PI()/2,0,-1, 1, "ln(EXP(x * y))")</f>
        <v>2.385031396827126E-2</v>
      </c>
      <c r="L415" cm="1">
        <f t="array" ref="L415" xml:space="preserve"> mc(1000, -PI()/2,0,-1, 1, "ln(EXP(x * y))")</f>
        <v>-1.3949299274170495E-2</v>
      </c>
      <c r="N415" cm="1">
        <f t="array" ref="N415" xml:space="preserve"> mc(100, -PI()/2,PI()/2, 0, 1, "sin(cos(x + y))")-1.48235</f>
        <v>7.0443601231721331E-2</v>
      </c>
      <c r="O415" cm="1">
        <f t="array" ref="O415" xml:space="preserve"> mc(500, -PI()/2,PI()/2, 0, 1, "sin(cos(x + y))")-1.48235</f>
        <v>8.2527821240727439E-2</v>
      </c>
      <c r="P415" cm="1">
        <f t="array" ref="P415" xml:space="preserve"> mc(1000, -PI()/2,PI()/2, 0, 1, "sin(cos(x + y))")-1.48235</f>
        <v>-7.8844041199679582E-2</v>
      </c>
    </row>
    <row r="416" spans="1:16" x14ac:dyDescent="0.3">
      <c r="A416">
        <v>386</v>
      </c>
      <c r="B416" cm="1">
        <f t="array" ref="B416" xml:space="preserve"> mc(100, 0, 4, 1, 2, "x^2+y^2")-92/3</f>
        <v>-1.9026799484947787E-2</v>
      </c>
      <c r="C416" cm="1">
        <f t="array" ref="C416" xml:space="preserve"> mc(500, 0, 4, 1, 2, "x^2+y^2")-92/3</f>
        <v>1.7912908297148</v>
      </c>
      <c r="D416" cm="1">
        <f t="array" ref="D416" xml:space="preserve"> mc(1000, 0, 4, 1, 2, "x^2+y^2")-92/3</f>
        <v>-0.39039419723541613</v>
      </c>
      <c r="F416" cm="1">
        <f t="array" ref="F416" xml:space="preserve"> ( mc(100, 3, 4, -1, 1, "EXP(x * sin(y))") ) - 7.39981</f>
        <v>-1.2979839691938686</v>
      </c>
      <c r="G416" cm="1">
        <f t="array" ref="G416" xml:space="preserve"> ( mc(500, 3, 4, -1, 1, "EXP(x * sin(y))") ) - 7.39981</f>
        <v>0.55713958824686305</v>
      </c>
      <c r="H416" cm="1">
        <f t="array" ref="H416" xml:space="preserve"> ( mc(1000, 3, 4, -1, 1, "EXP(x * sin(y))") ) - 7.39981</f>
        <v>-0.22513643768735481</v>
      </c>
      <c r="J416" cm="1">
        <f t="array" ref="J416" xml:space="preserve"> mc(100, -PI()/2,0,-1, 1, "ln(EXP(x * y))")</f>
        <v>-0.2249255333285427</v>
      </c>
      <c r="K416" cm="1">
        <f t="array" ref="K416" xml:space="preserve"> mc(500, -PI()/2,0,-1, 1, "ln(EXP(x * y))")</f>
        <v>4.4803524383215144E-3</v>
      </c>
      <c r="L416" cm="1">
        <f t="array" ref="L416" xml:space="preserve"> mc(1000, -PI()/2,0,-1, 1, "ln(EXP(x * y))")</f>
        <v>-4.5623441959197139E-2</v>
      </c>
      <c r="N416" cm="1">
        <f t="array" ref="N416" xml:space="preserve"> mc(100, -PI()/2,PI()/2, 0, 1, "sin(cos(x + y))")-1.48235</f>
        <v>0.18717313499220989</v>
      </c>
      <c r="O416" cm="1">
        <f t="array" ref="O416" xml:space="preserve"> mc(500, -PI()/2,PI()/2, 0, 1, "sin(cos(x + y))")-1.48235</f>
        <v>-1.2807485930573792E-2</v>
      </c>
      <c r="P416" cm="1">
        <f t="array" ref="P416" xml:space="preserve"> mc(1000, -PI()/2,PI()/2, 0, 1, "sin(cos(x + y))")-1.48235</f>
        <v>-2.9095830329081807E-2</v>
      </c>
    </row>
    <row r="417" spans="1:16" x14ac:dyDescent="0.3">
      <c r="A417">
        <v>387</v>
      </c>
      <c r="B417" cm="1">
        <f t="array" ref="B417" xml:space="preserve"> mc(100, 0, 4, 1, 2, "x^2+y^2")-92/3</f>
        <v>0.89754754364025047</v>
      </c>
      <c r="C417" cm="1">
        <f t="array" ref="C417" xml:space="preserve"> mc(500, 0, 4, 1, 2, "x^2+y^2")-92/3</f>
        <v>0.91783235243454442</v>
      </c>
      <c r="D417" cm="1">
        <f t="array" ref="D417" xml:space="preserve"> mc(1000, 0, 4, 1, 2, "x^2+y^2")-92/3</f>
        <v>0.64474744619143465</v>
      </c>
      <c r="F417" cm="1">
        <f t="array" ref="F417" xml:space="preserve"> ( mc(100, 3, 4, -1, 1, "EXP(x * sin(y))") ) - 7.39981</f>
        <v>1.3466111770569924</v>
      </c>
      <c r="G417" cm="1">
        <f t="array" ref="G417" xml:space="preserve"> ( mc(500, 3, 4, -1, 1, "EXP(x * sin(y))") ) - 7.39981</f>
        <v>0.98849250447238468</v>
      </c>
      <c r="H417" cm="1">
        <f t="array" ref="H417" xml:space="preserve"> ( mc(1000, 3, 4, -1, 1, "EXP(x * sin(y))") ) - 7.39981</f>
        <v>-2.118468438093668E-2</v>
      </c>
      <c r="J417" cm="1">
        <f t="array" ref="J417" xml:space="preserve"> mc(100, -PI()/2,0,-1, 1, "ln(EXP(x * y))")</f>
        <v>-0.12410141342375286</v>
      </c>
      <c r="K417" cm="1">
        <f t="array" ref="K417" xml:space="preserve"> mc(500, -PI()/2,0,-1, 1, "ln(EXP(x * y))")</f>
        <v>0.10103707216808674</v>
      </c>
      <c r="L417" cm="1">
        <f t="array" ref="L417" xml:space="preserve"> mc(1000, -PI()/2,0,-1, 1, "ln(EXP(x * y))")</f>
        <v>8.330755838225834E-2</v>
      </c>
      <c r="N417" cm="1">
        <f t="array" ref="N417" xml:space="preserve"> mc(100, -PI()/2,PI()/2, 0, 1, "sin(cos(x + y))")-1.48235</f>
        <v>-9.2811329636586226E-3</v>
      </c>
      <c r="O417" cm="1">
        <f t="array" ref="O417" xml:space="preserve"> mc(500, -PI()/2,PI()/2, 0, 1, "sin(cos(x + y))")-1.48235</f>
        <v>6.1600874016143115E-2</v>
      </c>
      <c r="P417" cm="1">
        <f t="array" ref="P417" xml:space="preserve"> mc(1000, -PI()/2,PI()/2, 0, 1, "sin(cos(x + y))")-1.48235</f>
        <v>-4.797572858365684E-2</v>
      </c>
    </row>
    <row r="418" spans="1:16" x14ac:dyDescent="0.3">
      <c r="A418">
        <v>388</v>
      </c>
      <c r="B418" cm="1">
        <f t="array" ref="B418" xml:space="preserve"> mc(100, 0, 4, 1, 2, "x^2+y^2")-92/3</f>
        <v>0.58670543188709701</v>
      </c>
      <c r="C418" cm="1">
        <f t="array" ref="C418" xml:space="preserve"> mc(500, 0, 4, 1, 2, "x^2+y^2")-92/3</f>
        <v>-2.6636850801050826E-2</v>
      </c>
      <c r="D418" cm="1">
        <f t="array" ref="D418" xml:space="preserve"> mc(1000, 0, 4, 1, 2, "x^2+y^2")-92/3</f>
        <v>-0.90641445788833153</v>
      </c>
      <c r="F418" cm="1">
        <f t="array" ref="F418" xml:space="preserve"> ( mc(100, 3, 4, -1, 1, "EXP(x * sin(y))") ) - 7.39981</f>
        <v>-0.35393018308233604</v>
      </c>
      <c r="G418" cm="1">
        <f t="array" ref="G418" xml:space="preserve"> ( mc(500, 3, 4, -1, 1, "EXP(x * sin(y))") ) - 7.39981</f>
        <v>0.11717334641203969</v>
      </c>
      <c r="H418" cm="1">
        <f t="array" ref="H418" xml:space="preserve"> ( mc(1000, 3, 4, -1, 1, "EXP(x * sin(y))") ) - 7.39981</f>
        <v>-0.20863409499612917</v>
      </c>
      <c r="J418" cm="1">
        <f t="array" ref="J418" xml:space="preserve"> mc(100, -PI()/2,0,-1, 1, "ln(EXP(x * y))")</f>
        <v>-0.26252257998524936</v>
      </c>
      <c r="K418" cm="1">
        <f t="array" ref="K418" xml:space="preserve"> mc(500, -PI()/2,0,-1, 1, "ln(EXP(x * y))")</f>
        <v>4.8342203631171317E-2</v>
      </c>
      <c r="L418" cm="1">
        <f t="array" ref="L418" xml:space="preserve"> mc(1000, -PI()/2,0,-1, 1, "ln(EXP(x * y))")</f>
        <v>-7.227199575410756E-2</v>
      </c>
      <c r="N418" cm="1">
        <f t="array" ref="N418" xml:space="preserve"> mc(100, -PI()/2,PI()/2, 0, 1, "sin(cos(x + y))")-1.48235</f>
        <v>-5.065506647703355E-2</v>
      </c>
      <c r="O418" cm="1">
        <f t="array" ref="O418" xml:space="preserve"> mc(500, -PI()/2,PI()/2, 0, 1, "sin(cos(x + y))")-1.48235</f>
        <v>8.8920129918270918E-2</v>
      </c>
      <c r="P418" cm="1">
        <f t="array" ref="P418" xml:space="preserve"> mc(1000, -PI()/2,PI()/2, 0, 1, "sin(cos(x + y))")-1.48235</f>
        <v>-8.8967803047985683E-3</v>
      </c>
    </row>
    <row r="419" spans="1:16" x14ac:dyDescent="0.3">
      <c r="A419">
        <v>389</v>
      </c>
      <c r="B419" cm="1">
        <f t="array" ref="B419" xml:space="preserve"> mc(100, 0, 4, 1, 2, "x^2+y^2")-92/3</f>
        <v>1.8726706831363806</v>
      </c>
      <c r="C419" cm="1">
        <f t="array" ref="C419" xml:space="preserve"> mc(500, 0, 4, 1, 2, "x^2+y^2")-92/3</f>
        <v>0.42173721436468625</v>
      </c>
      <c r="D419" cm="1">
        <f t="array" ref="D419" xml:space="preserve"> mc(1000, 0, 4, 1, 2, "x^2+y^2")-92/3</f>
        <v>0.25347619267713384</v>
      </c>
      <c r="F419" cm="1">
        <f t="array" ref="F419" xml:space="preserve"> ( mc(100, 3, 4, -1, 1, "EXP(x * sin(y))") ) - 7.39981</f>
        <v>-4.518028136705432E-2</v>
      </c>
      <c r="G419" cm="1">
        <f t="array" ref="G419" xml:space="preserve"> ( mc(500, 3, 4, -1, 1, "EXP(x * sin(y))") ) - 7.39981</f>
        <v>-3.4700034813484493E-2</v>
      </c>
      <c r="H419" cm="1">
        <f t="array" ref="H419" xml:space="preserve"> ( mc(1000, 3, 4, -1, 1, "EXP(x * sin(y))") ) - 7.39981</f>
        <v>0.10697335179965961</v>
      </c>
      <c r="J419" cm="1">
        <f t="array" ref="J419" xml:space="preserve"> mc(100, -PI()/2,0,-1, 1, "ln(EXP(x * y))")</f>
        <v>-2.3103154168568691E-2</v>
      </c>
      <c r="K419" cm="1">
        <f t="array" ref="K419" xml:space="preserve"> mc(500, -PI()/2,0,-1, 1, "ln(EXP(x * y))")</f>
        <v>-9.6092581215986933E-2</v>
      </c>
      <c r="L419" cm="1">
        <f t="array" ref="L419" xml:space="preserve"> mc(1000, -PI()/2,0,-1, 1, "ln(EXP(x * y))")</f>
        <v>5.8353998364620518E-2</v>
      </c>
      <c r="N419" cm="1">
        <f t="array" ref="N419" xml:space="preserve"> mc(100, -PI()/2,PI()/2, 0, 1, "sin(cos(x + y))")-1.48235</f>
        <v>0.14397785013710585</v>
      </c>
      <c r="O419" cm="1">
        <f t="array" ref="O419" xml:space="preserve"> mc(500, -PI()/2,PI()/2, 0, 1, "sin(cos(x + y))")-1.48235</f>
        <v>0.19316879002638343</v>
      </c>
      <c r="P419" cm="1">
        <f t="array" ref="P419" xml:space="preserve"> mc(1000, -PI()/2,PI()/2, 0, 1, "sin(cos(x + y))")-1.48235</f>
        <v>5.6214626041006799E-3</v>
      </c>
    </row>
    <row r="420" spans="1:16" x14ac:dyDescent="0.3">
      <c r="A420">
        <v>390</v>
      </c>
      <c r="B420" cm="1">
        <f t="array" ref="B420" xml:space="preserve"> mc(100, 0, 4, 1, 2, "x^2+y^2")-92/3</f>
        <v>-0.21899054801319551</v>
      </c>
      <c r="C420" cm="1">
        <f t="array" ref="C420" xml:space="preserve"> mc(500, 0, 4, 1, 2, "x^2+y^2")-92/3</f>
        <v>0.45655189861001944</v>
      </c>
      <c r="D420" cm="1">
        <f t="array" ref="D420" xml:space="preserve"> mc(1000, 0, 4, 1, 2, "x^2+y^2")-92/3</f>
        <v>0.43613657970834296</v>
      </c>
      <c r="F420" cm="1">
        <f t="array" ref="F420" xml:space="preserve"> ( mc(100, 3, 4, -1, 1, "EXP(x * sin(y))") ) - 7.39981</f>
        <v>0.92304800194269987</v>
      </c>
      <c r="G420" cm="1">
        <f t="array" ref="G420" xml:space="preserve"> ( mc(500, 3, 4, -1, 1, "EXP(x * sin(y))") ) - 7.39981</f>
        <v>0.40448635200322069</v>
      </c>
      <c r="H420" cm="1">
        <f t="array" ref="H420" xml:space="preserve"> ( mc(1000, 3, 4, -1, 1, "EXP(x * sin(y))") ) - 7.39981</f>
        <v>-0.49966282058757905</v>
      </c>
      <c r="J420" cm="1">
        <f t="array" ref="J420" xml:space="preserve"> mc(100, -PI()/2,0,-1, 1, "ln(EXP(x * y))")</f>
        <v>-0.14125273110337663</v>
      </c>
      <c r="K420" cm="1">
        <f t="array" ref="K420" xml:space="preserve"> mc(500, -PI()/2,0,-1, 1, "ln(EXP(x * y))")</f>
        <v>4.938481129387521E-2</v>
      </c>
      <c r="L420" cm="1">
        <f t="array" ref="L420" xml:space="preserve"> mc(1000, -PI()/2,0,-1, 1, "ln(EXP(x * y))")</f>
        <v>-8.0509168911303691E-2</v>
      </c>
      <c r="N420" cm="1">
        <f t="array" ref="N420" xml:space="preserve"> mc(100, -PI()/2,PI()/2, 0, 1, "sin(cos(x + y))")-1.48235</f>
        <v>-0.23829457553255495</v>
      </c>
      <c r="O420" cm="1">
        <f t="array" ref="O420" xml:space="preserve"> mc(500, -PI()/2,PI()/2, 0, 1, "sin(cos(x + y))")-1.48235</f>
        <v>1.603828152773823E-2</v>
      </c>
      <c r="P420" cm="1">
        <f t="array" ref="P420" xml:space="preserve"> mc(1000, -PI()/2,PI()/2, 0, 1, "sin(cos(x + y))")-1.48235</f>
        <v>-8.3897890842372647E-3</v>
      </c>
    </row>
    <row r="421" spans="1:16" x14ac:dyDescent="0.3">
      <c r="A421">
        <v>391</v>
      </c>
      <c r="B421" cm="1">
        <f t="array" ref="B421" xml:space="preserve"> mc(100, 0, 4, 1, 2, "x^2+y^2")-92/3</f>
        <v>1.0798823930192896</v>
      </c>
      <c r="C421" cm="1">
        <f t="array" ref="C421" xml:space="preserve"> mc(500, 0, 4, 1, 2, "x^2+y^2")-92/3</f>
        <v>0.17610898561856558</v>
      </c>
      <c r="D421" cm="1">
        <f t="array" ref="D421" xml:space="preserve"> mc(1000, 0, 4, 1, 2, "x^2+y^2")-92/3</f>
        <v>1.3791573535058426</v>
      </c>
      <c r="F421" cm="1">
        <f t="array" ref="F421" xml:space="preserve"> ( mc(100, 3, 4, -1, 1, "EXP(x * sin(y))") ) - 7.39981</f>
        <v>-0.1806918709669203</v>
      </c>
      <c r="G421" cm="1">
        <f t="array" ref="G421" xml:space="preserve"> ( mc(500, 3, 4, -1, 1, "EXP(x * sin(y))") ) - 7.39981</f>
        <v>0.38621355928932477</v>
      </c>
      <c r="H421" cm="1">
        <f t="array" ref="H421" xml:space="preserve"> ( mc(1000, 3, 4, -1, 1, "EXP(x * sin(y))") ) - 7.39981</f>
        <v>-0.42664344794152687</v>
      </c>
      <c r="J421" cm="1">
        <f t="array" ref="J421" xml:space="preserve"> mc(100, -PI()/2,0,-1, 1, "ln(EXP(x * y))")</f>
        <v>-4.3035015586462923E-2</v>
      </c>
      <c r="K421" cm="1">
        <f t="array" ref="K421" xml:space="preserve"> mc(500, -PI()/2,0,-1, 1, "ln(EXP(x * y))")</f>
        <v>8.0228842078154793E-3</v>
      </c>
      <c r="L421" cm="1">
        <f t="array" ref="L421" xml:space="preserve"> mc(1000, -PI()/2,0,-1, 1, "ln(EXP(x * y))")</f>
        <v>1.8743829989154678E-2</v>
      </c>
      <c r="N421" cm="1">
        <f t="array" ref="N421" xml:space="preserve"> mc(100, -PI()/2,PI()/2, 0, 1, "sin(cos(x + y))")-1.48235</f>
        <v>1.2894026227844302E-2</v>
      </c>
      <c r="O421" cm="1">
        <f t="array" ref="O421" xml:space="preserve"> mc(500, -PI()/2,PI()/2, 0, 1, "sin(cos(x + y))")-1.48235</f>
        <v>3.0976117179416063E-2</v>
      </c>
      <c r="P421" cm="1">
        <f t="array" ref="P421" xml:space="preserve"> mc(1000, -PI()/2,PI()/2, 0, 1, "sin(cos(x + y))")-1.48235</f>
        <v>-7.5503997847268245E-2</v>
      </c>
    </row>
    <row r="422" spans="1:16" x14ac:dyDescent="0.3">
      <c r="A422">
        <v>392</v>
      </c>
      <c r="B422" cm="1">
        <f t="array" ref="B422" xml:space="preserve"> mc(100, 0, 4, 1, 2, "x^2+y^2")-92/3</f>
        <v>-2.7245635715532508</v>
      </c>
      <c r="C422" cm="1">
        <f t="array" ref="C422" xml:space="preserve"> mc(500, 0, 4, 1, 2, "x^2+y^2")-92/3</f>
        <v>0.79247104414506708</v>
      </c>
      <c r="D422" cm="1">
        <f t="array" ref="D422" xml:space="preserve"> mc(1000, 0, 4, 1, 2, "x^2+y^2")-92/3</f>
        <v>0.53764086206902562</v>
      </c>
      <c r="F422" cm="1">
        <f t="array" ref="F422" xml:space="preserve"> ( mc(100, 3, 4, -1, 1, "EXP(x * sin(y))") ) - 7.39981</f>
        <v>0.17534667180359698</v>
      </c>
      <c r="G422" cm="1">
        <f t="array" ref="G422" xml:space="preserve"> ( mc(500, 3, 4, -1, 1, "EXP(x * sin(y))") ) - 7.39981</f>
        <v>0.2955674008572915</v>
      </c>
      <c r="H422" cm="1">
        <f t="array" ref="H422" xml:space="preserve"> ( mc(1000, 3, 4, -1, 1, "EXP(x * sin(y))") ) - 7.39981</f>
        <v>0.15632592300435544</v>
      </c>
      <c r="J422" cm="1">
        <f t="array" ref="J422" xml:space="preserve"> mc(100, -PI()/2,0,-1, 1, "ln(EXP(x * y))")</f>
        <v>6.8121179717885075E-2</v>
      </c>
      <c r="K422" cm="1">
        <f t="array" ref="K422" xml:space="preserve"> mc(500, -PI()/2,0,-1, 1, "ln(EXP(x * y))")</f>
        <v>7.1384928743794679E-2</v>
      </c>
      <c r="L422" cm="1">
        <f t="array" ref="L422" xml:space="preserve"> mc(1000, -PI()/2,0,-1, 1, "ln(EXP(x * y))")</f>
        <v>3.5411151853379397E-2</v>
      </c>
      <c r="N422" cm="1">
        <f t="array" ref="N422" xml:space="preserve"> mc(100, -PI()/2,PI()/2, 0, 1, "sin(cos(x + y))")-1.48235</f>
        <v>-9.821278065545469E-2</v>
      </c>
      <c r="O422" cm="1">
        <f t="array" ref="O422" xml:space="preserve"> mc(500, -PI()/2,PI()/2, 0, 1, "sin(cos(x + y))")-1.48235</f>
        <v>8.3245226140894024E-2</v>
      </c>
      <c r="P422" cm="1">
        <f t="array" ref="P422" xml:space="preserve"> mc(1000, -PI()/2,PI()/2, 0, 1, "sin(cos(x + y))")-1.48235</f>
        <v>-6.2135215264889077E-3</v>
      </c>
    </row>
    <row r="423" spans="1:16" x14ac:dyDescent="0.3">
      <c r="A423">
        <v>393</v>
      </c>
      <c r="B423" cm="1">
        <f t="array" ref="B423" xml:space="preserve"> mc(100, 0, 4, 1, 2, "x^2+y^2")-92/3</f>
        <v>-1.9090768939817906</v>
      </c>
      <c r="C423" cm="1">
        <f t="array" ref="C423" xml:space="preserve"> mc(500, 0, 4, 1, 2, "x^2+y^2")-92/3</f>
        <v>-0.46506947220531814</v>
      </c>
      <c r="D423" cm="1">
        <f t="array" ref="D423" xml:space="preserve"> mc(1000, 0, 4, 1, 2, "x^2+y^2")-92/3</f>
        <v>0.42264242081021663</v>
      </c>
      <c r="F423" cm="1">
        <f t="array" ref="F423" xml:space="preserve"> ( mc(100, 3, 4, -1, 1, "EXP(x * sin(y))") ) - 7.39981</f>
        <v>-0.48923779964138525</v>
      </c>
      <c r="G423" cm="1">
        <f t="array" ref="G423" xml:space="preserve"> ( mc(500, 3, 4, -1, 1, "EXP(x * sin(y))") ) - 7.39981</f>
        <v>0.22338233670560204</v>
      </c>
      <c r="H423" cm="1">
        <f t="array" ref="H423" xml:space="preserve"> ( mc(1000, 3, 4, -1, 1, "EXP(x * sin(y))") ) - 7.39981</f>
        <v>0.31129637811624189</v>
      </c>
      <c r="J423" cm="1">
        <f t="array" ref="J423" xml:space="preserve"> mc(100, -PI()/2,0,-1, 1, "ln(EXP(x * y))")</f>
        <v>-0.1248215640852329</v>
      </c>
      <c r="K423" cm="1">
        <f t="array" ref="K423" xml:space="preserve"> mc(500, -PI()/2,0,-1, 1, "ln(EXP(x * y))")</f>
        <v>1.7884243301974197E-2</v>
      </c>
      <c r="L423" cm="1">
        <f t="array" ref="L423" xml:space="preserve"> mc(1000, -PI()/2,0,-1, 1, "ln(EXP(x * y))")</f>
        <v>-2.1913571023944086E-2</v>
      </c>
      <c r="N423" cm="1">
        <f t="array" ref="N423" xml:space="preserve"> mc(100, -PI()/2,PI()/2, 0, 1, "sin(cos(x + y))")-1.48235</f>
        <v>0.15669272070465134</v>
      </c>
      <c r="O423" cm="1">
        <f t="array" ref="O423" xml:space="preserve"> mc(500, -PI()/2,PI()/2, 0, 1, "sin(cos(x + y))")-1.48235</f>
        <v>-8.3889516378610196E-3</v>
      </c>
      <c r="P423" cm="1">
        <f t="array" ref="P423" xml:space="preserve"> mc(1000, -PI()/2,PI()/2, 0, 1, "sin(cos(x + y))")-1.48235</f>
        <v>1.7723373502631645E-4</v>
      </c>
    </row>
    <row r="424" spans="1:16" x14ac:dyDescent="0.3">
      <c r="A424">
        <v>394</v>
      </c>
      <c r="B424" cm="1">
        <f t="array" ref="B424" xml:space="preserve"> mc(100, 0, 4, 1, 2, "x^2+y^2")-92/3</f>
        <v>-1.1527921698816428</v>
      </c>
      <c r="C424" cm="1">
        <f t="array" ref="C424" xml:space="preserve"> mc(500, 0, 4, 1, 2, "x^2+y^2")-92/3</f>
        <v>1.5702057431798018</v>
      </c>
      <c r="D424" cm="1">
        <f t="array" ref="D424" xml:space="preserve"> mc(1000, 0, 4, 1, 2, "x^2+y^2")-92/3</f>
        <v>-0.79735618958734378</v>
      </c>
      <c r="F424" cm="1">
        <f t="array" ref="F424" xml:space="preserve"> ( mc(100, 3, 4, -1, 1, "EXP(x * sin(y))") ) - 7.39981</f>
        <v>-0.35974165929220092</v>
      </c>
      <c r="G424" cm="1">
        <f t="array" ref="G424" xml:space="preserve"> ( mc(500, 3, 4, -1, 1, "EXP(x * sin(y))") ) - 7.39981</f>
        <v>7.0004341123233615E-2</v>
      </c>
      <c r="H424" cm="1">
        <f t="array" ref="H424" xml:space="preserve"> ( mc(1000, 3, 4, -1, 1, "EXP(x * sin(y))") ) - 7.39981</f>
        <v>7.5821185450869244E-2</v>
      </c>
      <c r="J424" cm="1">
        <f t="array" ref="J424" xml:space="preserve"> mc(100, -PI()/2,0,-1, 1, "ln(EXP(x * y))")</f>
        <v>-8.0483803532272094E-2</v>
      </c>
      <c r="K424" cm="1">
        <f t="array" ref="K424" xml:space="preserve"> mc(500, -PI()/2,0,-1, 1, "ln(EXP(x * y))")</f>
        <v>-6.0423710077810854E-2</v>
      </c>
      <c r="L424" cm="1">
        <f t="array" ref="L424" xml:space="preserve"> mc(1000, -PI()/2,0,-1, 1, "ln(EXP(x * y))")</f>
        <v>-6.0762256865207317E-4</v>
      </c>
      <c r="N424" cm="1">
        <f t="array" ref="N424" xml:space="preserve"> mc(100, -PI()/2,PI()/2, 0, 1, "sin(cos(x + y))")-1.48235</f>
        <v>-7.0067989604222003E-2</v>
      </c>
      <c r="O424" cm="1">
        <f t="array" ref="O424" xml:space="preserve"> mc(500, -PI()/2,PI()/2, 0, 1, "sin(cos(x + y))")-1.48235</f>
        <v>2.7160759405648216E-2</v>
      </c>
      <c r="P424" cm="1">
        <f t="array" ref="P424" xml:space="preserve"> mc(1000, -PI()/2,PI()/2, 0, 1, "sin(cos(x + y))")-1.48235</f>
        <v>2.8107134483821294E-3</v>
      </c>
    </row>
    <row r="425" spans="1:16" x14ac:dyDescent="0.3">
      <c r="A425">
        <v>395</v>
      </c>
      <c r="B425" cm="1">
        <f t="array" ref="B425" xml:space="preserve"> mc(100, 0, 4, 1, 2, "x^2+y^2")-92/3</f>
        <v>2.6220775652626962</v>
      </c>
      <c r="C425" cm="1">
        <f t="array" ref="C425" xml:space="preserve"> mc(500, 0, 4, 1, 2, "x^2+y^2")-92/3</f>
        <v>-1.0417811936780375</v>
      </c>
      <c r="D425" cm="1">
        <f t="array" ref="D425" xml:space="preserve"> mc(1000, 0, 4, 1, 2, "x^2+y^2")-92/3</f>
        <v>-0.39237196489790094</v>
      </c>
      <c r="F425" cm="1">
        <f t="array" ref="F425" xml:space="preserve"> ( mc(100, 3, 4, -1, 1, "EXP(x * sin(y))") ) - 7.39981</f>
        <v>0.3625990798982448</v>
      </c>
      <c r="G425" cm="1">
        <f t="array" ref="G425" xml:space="preserve"> ( mc(500, 3, 4, -1, 1, "EXP(x * sin(y))") ) - 7.39981</f>
        <v>-9.7530382614449351E-2</v>
      </c>
      <c r="H425" cm="1">
        <f t="array" ref="H425" xml:space="preserve"> ( mc(1000, 3, 4, -1, 1, "EXP(x * sin(y))") ) - 7.39981</f>
        <v>-9.8216312254352012E-2</v>
      </c>
      <c r="J425" cm="1">
        <f t="array" ref="J425" xml:space="preserve"> mc(100, -PI()/2,0,-1, 1, "ln(EXP(x * y))")</f>
        <v>3.3932730710680772E-2</v>
      </c>
      <c r="K425" cm="1">
        <f t="array" ref="K425" xml:space="preserve"> mc(500, -PI()/2,0,-1, 1, "ln(EXP(x * y))")</f>
        <v>-7.8420946074680378E-2</v>
      </c>
      <c r="L425" cm="1">
        <f t="array" ref="L425" xml:space="preserve"> mc(1000, -PI()/2,0,-1, 1, "ln(EXP(x * y))")</f>
        <v>9.6459201375303262E-3</v>
      </c>
      <c r="N425" cm="1">
        <f t="array" ref="N425" xml:space="preserve"> mc(100, -PI()/2,PI()/2, 0, 1, "sin(cos(x + y))")-1.48235</f>
        <v>-0.10268082527112266</v>
      </c>
      <c r="O425" cm="1">
        <f t="array" ref="O425" xml:space="preserve"> mc(500, -PI()/2,PI()/2, 0, 1, "sin(cos(x + y))")-1.48235</f>
        <v>1.7446522449465318E-2</v>
      </c>
      <c r="P425" cm="1">
        <f t="array" ref="P425" xml:space="preserve"> mc(1000, -PI()/2,PI()/2, 0, 1, "sin(cos(x + y))")-1.48235</f>
        <v>4.6214221809482536E-2</v>
      </c>
    </row>
    <row r="426" spans="1:16" x14ac:dyDescent="0.3">
      <c r="A426">
        <v>396</v>
      </c>
      <c r="B426" cm="1">
        <f t="array" ref="B426" xml:space="preserve"> mc(100, 0, 4, 1, 2, "x^2+y^2")-92/3</f>
        <v>-2.1230624762531392</v>
      </c>
      <c r="C426" cm="1">
        <f t="array" ref="C426" xml:space="preserve"> mc(500, 0, 4, 1, 2, "x^2+y^2")-92/3</f>
        <v>1.2686201174955762</v>
      </c>
      <c r="D426" cm="1">
        <f t="array" ref="D426" xml:space="preserve"> mc(1000, 0, 4, 1, 2, "x^2+y^2")-92/3</f>
        <v>0.86396375456651597</v>
      </c>
      <c r="F426" cm="1">
        <f t="array" ref="F426" xml:space="preserve"> ( mc(100, 3, 4, -1, 1, "EXP(x * sin(y))") ) - 7.39981</f>
        <v>0.34583897292388865</v>
      </c>
      <c r="G426" cm="1">
        <f t="array" ref="G426" xml:space="preserve"> ( mc(500, 3, 4, -1, 1, "EXP(x * sin(y))") ) - 7.39981</f>
        <v>-6.8892795361046311E-2</v>
      </c>
      <c r="H426" cm="1">
        <f t="array" ref="H426" xml:space="preserve"> ( mc(1000, 3, 4, -1, 1, "EXP(x * sin(y))") ) - 7.39981</f>
        <v>-0.1321584523964292</v>
      </c>
      <c r="J426" cm="1">
        <f t="array" ref="J426" xml:space="preserve"> mc(100, -PI()/2,0,-1, 1, "ln(EXP(x * y))")</f>
        <v>-0.13068072930553123</v>
      </c>
      <c r="K426" cm="1">
        <f t="array" ref="K426" xml:space="preserve"> mc(500, -PI()/2,0,-1, 1, "ln(EXP(x * y))")</f>
        <v>-2.6825550213476873E-4</v>
      </c>
      <c r="L426" cm="1">
        <f t="array" ref="L426" xml:space="preserve"> mc(1000, -PI()/2,0,-1, 1, "ln(EXP(x * y))")</f>
        <v>9.6323894974550822E-2</v>
      </c>
      <c r="N426" cm="1">
        <f t="array" ref="N426" xml:space="preserve"> mc(100, -PI()/2,PI()/2, 0, 1, "sin(cos(x + y))")-1.48235</f>
        <v>9.5321578585189082E-2</v>
      </c>
      <c r="O426" cm="1">
        <f t="array" ref="O426" xml:space="preserve"> mc(500, -PI()/2,PI()/2, 0, 1, "sin(cos(x + y))")-1.48235</f>
        <v>-0.12326655889010762</v>
      </c>
      <c r="P426" cm="1">
        <f t="array" ref="P426" xml:space="preserve"> mc(1000, -PI()/2,PI()/2, 0, 1, "sin(cos(x + y))")-1.48235</f>
        <v>-5.5605878437622547E-2</v>
      </c>
    </row>
    <row r="427" spans="1:16" x14ac:dyDescent="0.3">
      <c r="A427">
        <v>397</v>
      </c>
      <c r="B427" cm="1">
        <f t="array" ref="B427" xml:space="preserve"> mc(100, 0, 4, 1, 2, "x^2+y^2")-92/3</f>
        <v>-1.7997129637231772</v>
      </c>
      <c r="C427" cm="1">
        <f t="array" ref="C427" xml:space="preserve"> mc(500, 0, 4, 1, 2, "x^2+y^2")-92/3</f>
        <v>-2.9657669732237935E-2</v>
      </c>
      <c r="D427" cm="1">
        <f t="array" ref="D427" xml:space="preserve"> mc(1000, 0, 4, 1, 2, "x^2+y^2")-92/3</f>
        <v>8.4568165207233648E-2</v>
      </c>
      <c r="F427" cm="1">
        <f t="array" ref="F427" xml:space="preserve"> ( mc(100, 3, 4, -1, 1, "EXP(x * sin(y))") ) - 7.39981</f>
        <v>-1.2757575362082951</v>
      </c>
      <c r="G427" cm="1">
        <f t="array" ref="G427" xml:space="preserve"> ( mc(500, 3, 4, -1, 1, "EXP(x * sin(y))") ) - 7.39981</f>
        <v>-0.22267187687124945</v>
      </c>
      <c r="H427" cm="1">
        <f t="array" ref="H427" xml:space="preserve"> ( mc(1000, 3, 4, -1, 1, "EXP(x * sin(y))") ) - 7.39981</f>
        <v>0.45094613445767262</v>
      </c>
      <c r="J427" cm="1">
        <f t="array" ref="J427" xml:space="preserve"> mc(100, -PI()/2,0,-1, 1, "ln(EXP(x * y))")</f>
        <v>-6.7910131649605937E-2</v>
      </c>
      <c r="K427" cm="1">
        <f t="array" ref="K427" xml:space="preserve"> mc(500, -PI()/2,0,-1, 1, "ln(EXP(x * y))")</f>
        <v>-7.3665348865763992E-3</v>
      </c>
      <c r="L427" cm="1">
        <f t="array" ref="L427" xml:space="preserve"> mc(1000, -PI()/2,0,-1, 1, "ln(EXP(x * y))")</f>
        <v>5.5634361152197193E-2</v>
      </c>
      <c r="N427" cm="1">
        <f t="array" ref="N427" xml:space="preserve"> mc(100, -PI()/2,PI()/2, 0, 1, "sin(cos(x + y))")-1.48235</f>
        <v>6.6177099068524869E-2</v>
      </c>
      <c r="O427" cm="1">
        <f t="array" ref="O427" xml:space="preserve"> mc(500, -PI()/2,PI()/2, 0, 1, "sin(cos(x + y))")-1.48235</f>
        <v>2.1467517407389503E-2</v>
      </c>
      <c r="P427" cm="1">
        <f t="array" ref="P427" xml:space="preserve"> mc(1000, -PI()/2,PI()/2, 0, 1, "sin(cos(x + y))")-1.48235</f>
        <v>1.1661637578832096E-2</v>
      </c>
    </row>
    <row r="428" spans="1:16" x14ac:dyDescent="0.3">
      <c r="A428">
        <v>398</v>
      </c>
      <c r="B428" cm="1">
        <f t="array" ref="B428" xml:space="preserve"> mc(100, 0, 4, 1, 2, "x^2+y^2")-92/3</f>
        <v>-1.8052708072023727</v>
      </c>
      <c r="C428" cm="1">
        <f t="array" ref="C428" xml:space="preserve"> mc(500, 0, 4, 1, 2, "x^2+y^2")-92/3</f>
        <v>0.71390990683761046</v>
      </c>
      <c r="D428" cm="1">
        <f t="array" ref="D428" xml:space="preserve"> mc(1000, 0, 4, 1, 2, "x^2+y^2")-92/3</f>
        <v>-0.53952110113847596</v>
      </c>
      <c r="F428" cm="1">
        <f t="array" ref="F428" xml:space="preserve"> ( mc(100, 3, 4, -1, 1, "EXP(x * sin(y))") ) - 7.39981</f>
        <v>0.57244512737395237</v>
      </c>
      <c r="G428" cm="1">
        <f t="array" ref="G428" xml:space="preserve"> ( mc(500, 3, 4, -1, 1, "EXP(x * sin(y))") ) - 7.39981</f>
        <v>-4.8521473424306905E-2</v>
      </c>
      <c r="H428" cm="1">
        <f t="array" ref="H428" xml:space="preserve"> ( mc(1000, 3, 4, -1, 1, "EXP(x * sin(y))") ) - 7.39981</f>
        <v>-0.64721639163205325</v>
      </c>
      <c r="J428" cm="1">
        <f t="array" ref="J428" xml:space="preserve"> mc(100, -PI()/2,0,-1, 1, "ln(EXP(x * y))")</f>
        <v>-2.476738324077055E-2</v>
      </c>
      <c r="K428" cm="1">
        <f t="array" ref="K428" xml:space="preserve"> mc(500, -PI()/2,0,-1, 1, "ln(EXP(x * y))")</f>
        <v>-4.5242885569602022E-2</v>
      </c>
      <c r="L428" cm="1">
        <f t="array" ref="L428" xml:space="preserve"> mc(1000, -PI()/2,0,-1, 1, "ln(EXP(x * y))")</f>
        <v>-8.9521546594922095E-3</v>
      </c>
      <c r="N428" cm="1">
        <f t="array" ref="N428" xml:space="preserve"> mc(100, -PI()/2,PI()/2, 0, 1, "sin(cos(x + y))")-1.48235</f>
        <v>-9.0738190418339526E-2</v>
      </c>
      <c r="O428" cm="1">
        <f t="array" ref="O428" xml:space="preserve"> mc(500, -PI()/2,PI()/2, 0, 1, "sin(cos(x + y))")-1.48235</f>
        <v>-7.3348365684178241E-4</v>
      </c>
      <c r="P428" cm="1">
        <f t="array" ref="P428" xml:space="preserve"> mc(1000, -PI()/2,PI()/2, 0, 1, "sin(cos(x + y))")-1.48235</f>
        <v>4.3840887764551084E-2</v>
      </c>
    </row>
    <row r="429" spans="1:16" x14ac:dyDescent="0.3">
      <c r="A429">
        <v>399</v>
      </c>
      <c r="B429" cm="1">
        <f t="array" ref="B429" xml:space="preserve"> mc(100, 0, 4, 1, 2, "x^2+y^2")-92/3</f>
        <v>-1.8852081627977739</v>
      </c>
      <c r="C429" cm="1">
        <f t="array" ref="C429" xml:space="preserve"> mc(500, 0, 4, 1, 2, "x^2+y^2")-92/3</f>
        <v>-0.62490376760394994</v>
      </c>
      <c r="D429" cm="1">
        <f t="array" ref="D429" xml:space="preserve"> mc(1000, 0, 4, 1, 2, "x^2+y^2")-92/3</f>
        <v>-1.0974592579633438</v>
      </c>
      <c r="F429" cm="1">
        <f t="array" ref="F429" xml:space="preserve"> ( mc(100, 3, 4, -1, 1, "EXP(x * sin(y))") ) - 7.39981</f>
        <v>-5.1471578706054899E-3</v>
      </c>
      <c r="G429" cm="1">
        <f t="array" ref="G429" xml:space="preserve"> ( mc(500, 3, 4, -1, 1, "EXP(x * sin(y))") ) - 7.39981</f>
        <v>0.24193499876678004</v>
      </c>
      <c r="H429" cm="1">
        <f t="array" ref="H429" xml:space="preserve"> ( mc(1000, 3, 4, -1, 1, "EXP(x * sin(y))") ) - 7.39981</f>
        <v>0.29567407988076777</v>
      </c>
      <c r="J429" cm="1">
        <f t="array" ref="J429" xml:space="preserve"> mc(100, -PI()/2,0,-1, 1, "ln(EXP(x * y))")</f>
        <v>-4.635977001303096E-2</v>
      </c>
      <c r="K429" cm="1">
        <f t="array" ref="K429" xml:space="preserve"> mc(500, -PI()/2,0,-1, 1, "ln(EXP(x * y))")</f>
        <v>7.0455310168478572E-2</v>
      </c>
      <c r="L429" cm="1">
        <f t="array" ref="L429" xml:space="preserve"> mc(1000, -PI()/2,0,-1, 1, "ln(EXP(x * y))")</f>
        <v>-0.10789918223876353</v>
      </c>
      <c r="N429" cm="1">
        <f t="array" ref="N429" xml:space="preserve"> mc(100, -PI()/2,PI()/2, 0, 1, "sin(cos(x + y))")-1.48235</f>
        <v>-4.624481414310222E-2</v>
      </c>
      <c r="O429" cm="1">
        <f t="array" ref="O429" xml:space="preserve"> mc(500, -PI()/2,PI()/2, 0, 1, "sin(cos(x + y))")-1.48235</f>
        <v>-5.2790693418715673E-2</v>
      </c>
      <c r="P429" cm="1">
        <f t="array" ref="P429" xml:space="preserve"> mc(1000, -PI()/2,PI()/2, 0, 1, "sin(cos(x + y))")-1.48235</f>
        <v>5.296573969866758E-2</v>
      </c>
    </row>
    <row r="430" spans="1:16" x14ac:dyDescent="0.3">
      <c r="A430">
        <v>400</v>
      </c>
      <c r="B430" cm="1">
        <f t="array" ref="B430" xml:space="preserve"> mc(100, 0, 4, 1, 2, "x^2+y^2")-92/3</f>
        <v>4.2339253237855097</v>
      </c>
      <c r="C430" cm="1">
        <f t="array" ref="C430" xml:space="preserve"> mc(500, 0, 4, 1, 2, "x^2+y^2")-92/3</f>
        <v>0.67467706705264874</v>
      </c>
      <c r="D430" cm="1">
        <f t="array" ref="D430" xml:space="preserve"> mc(1000, 0, 4, 1, 2, "x^2+y^2")-92/3</f>
        <v>0.45556610091992056</v>
      </c>
      <c r="F430" cm="1">
        <f t="array" ref="F430" xml:space="preserve"> ( mc(100, 3, 4, -1, 1, "EXP(x * sin(y))") ) - 7.39981</f>
        <v>2.8792622863255151</v>
      </c>
      <c r="G430" cm="1">
        <f t="array" ref="G430" xml:space="preserve"> ( mc(500, 3, 4, -1, 1, "EXP(x * sin(y))") ) - 7.39981</f>
        <v>0.99351725079179865</v>
      </c>
      <c r="H430" cm="1">
        <f t="array" ref="H430" xml:space="preserve"> ( mc(1000, 3, 4, -1, 1, "EXP(x * sin(y))") ) - 7.39981</f>
        <v>-1.7007119184371255E-2</v>
      </c>
      <c r="J430" cm="1">
        <f t="array" ref="J430" xml:space="preserve"> mc(100, -PI()/2,0,-1, 1, "ln(EXP(x * y))")</f>
        <v>-0.36159612634696547</v>
      </c>
      <c r="K430" cm="1">
        <f t="array" ref="K430" xml:space="preserve"> mc(500, -PI()/2,0,-1, 1, "ln(EXP(x * y))")</f>
        <v>2.3920034152877676E-2</v>
      </c>
      <c r="L430" cm="1">
        <f t="array" ref="L430" xml:space="preserve"> mc(1000, -PI()/2,0,-1, 1, "ln(EXP(x * y))")</f>
        <v>-1.9358499494096008E-2</v>
      </c>
      <c r="N430" cm="1">
        <f t="array" ref="N430" xml:space="preserve"> mc(100, -PI()/2,PI()/2, 0, 1, "sin(cos(x + y))")-1.48235</f>
        <v>-1.3686540424327598E-2</v>
      </c>
      <c r="O430" cm="1">
        <f t="array" ref="O430" xml:space="preserve"> mc(500, -PI()/2,PI()/2, 0, 1, "sin(cos(x + y))")-1.48235</f>
        <v>5.2749066465996863E-2</v>
      </c>
      <c r="P430" cm="1">
        <f t="array" ref="P430" xml:space="preserve"> mc(1000, -PI()/2,PI()/2, 0, 1, "sin(cos(x + y))")-1.48235</f>
        <v>-3.565883778164225E-2</v>
      </c>
    </row>
    <row r="431" spans="1:16" x14ac:dyDescent="0.3">
      <c r="A431">
        <v>401</v>
      </c>
      <c r="B431" cm="1">
        <f t="array" ref="B431" xml:space="preserve"> mc(100, 0, 4, 1, 2, "x^2+y^2")-92/3</f>
        <v>-0.11431480483468448</v>
      </c>
      <c r="C431" cm="1">
        <f t="array" ref="C431" xml:space="preserve"> mc(500, 0, 4, 1, 2, "x^2+y^2")-92/3</f>
        <v>-0.42688072265976729</v>
      </c>
      <c r="D431" cm="1">
        <f t="array" ref="D431" xml:space="preserve"> mc(1000, 0, 4, 1, 2, "x^2+y^2")-92/3</f>
        <v>0.52356134379979125</v>
      </c>
      <c r="F431" cm="1">
        <f t="array" ref="F431" xml:space="preserve"> ( mc(100, 3, 4, -1, 1, "EXP(x * sin(y))") ) - 7.39981</f>
        <v>-0.20172321815459959</v>
      </c>
      <c r="G431" cm="1">
        <f t="array" ref="G431" xml:space="preserve"> ( mc(500, 3, 4, -1, 1, "EXP(x * sin(y))") ) - 7.39981</f>
        <v>0.56200406008672665</v>
      </c>
      <c r="H431" cm="1">
        <f t="array" ref="H431" xml:space="preserve"> ( mc(1000, 3, 4, -1, 1, "EXP(x * sin(y))") ) - 7.39981</f>
        <v>1.5193566642712319E-2</v>
      </c>
      <c r="J431" cm="1">
        <f t="array" ref="J431" xml:space="preserve"> mc(100, -PI()/2,0,-1, 1, "ln(EXP(x * y))")</f>
        <v>-0.1395951605213564</v>
      </c>
      <c r="K431" cm="1">
        <f t="array" ref="K431" xml:space="preserve"> mc(500, -PI()/2,0,-1, 1, "ln(EXP(x * y))")</f>
        <v>-4.339773916140905E-2</v>
      </c>
      <c r="L431" cm="1">
        <f t="array" ref="L431" xml:space="preserve"> mc(1000, -PI()/2,0,-1, 1, "ln(EXP(x * y))")</f>
        <v>-1.5794586716336392E-2</v>
      </c>
      <c r="N431" cm="1">
        <f t="array" ref="N431" xml:space="preserve"> mc(100, -PI()/2,PI()/2, 0, 1, "sin(cos(x + y))")-1.48235</f>
        <v>0.27407574377071575</v>
      </c>
      <c r="O431" cm="1">
        <f t="array" ref="O431" xml:space="preserve"> mc(500, -PI()/2,PI()/2, 0, 1, "sin(cos(x + y))")-1.48235</f>
        <v>6.5573616982608218E-3</v>
      </c>
      <c r="P431" cm="1">
        <f t="array" ref="P431" xml:space="preserve"> mc(1000, -PI()/2,PI()/2, 0, 1, "sin(cos(x + y))")-1.48235</f>
        <v>-1.4385829700763741E-2</v>
      </c>
    </row>
    <row r="432" spans="1:16" x14ac:dyDescent="0.3">
      <c r="A432">
        <v>402</v>
      </c>
      <c r="B432" cm="1">
        <f t="array" ref="B432" xml:space="preserve"> mc(100, 0, 4, 1, 2, "x^2+y^2")-92/3</f>
        <v>-3.0430103929167878</v>
      </c>
      <c r="C432" cm="1">
        <f t="array" ref="C432" xml:space="preserve"> mc(500, 0, 4, 1, 2, "x^2+y^2")-92/3</f>
        <v>2.2278291254302864</v>
      </c>
      <c r="D432" cm="1">
        <f t="array" ref="D432" xml:space="preserve"> mc(1000, 0, 4, 1, 2, "x^2+y^2")-92/3</f>
        <v>0.27788033847445348</v>
      </c>
      <c r="F432" cm="1">
        <f t="array" ref="F432" xml:space="preserve"> ( mc(100, 3, 4, -1, 1, "EXP(x * sin(y))") ) - 7.39981</f>
        <v>1.66243222120249</v>
      </c>
      <c r="G432" cm="1">
        <f t="array" ref="G432" xml:space="preserve"> ( mc(500, 3, 4, -1, 1, "EXP(x * sin(y))") ) - 7.39981</f>
        <v>-0.38640661572170298</v>
      </c>
      <c r="H432" cm="1">
        <f t="array" ref="H432" xml:space="preserve"> ( mc(1000, 3, 4, -1, 1, "EXP(x * sin(y))") ) - 7.39981</f>
        <v>-0.10899789904804358</v>
      </c>
      <c r="J432" cm="1">
        <f t="array" ref="J432" xml:space="preserve"> mc(100, -PI()/2,0,-1, 1, "ln(EXP(x * y))")</f>
        <v>-4.1206850997760822E-2</v>
      </c>
      <c r="K432" cm="1">
        <f t="array" ref="K432" xml:space="preserve"> mc(500, -PI()/2,0,-1, 1, "ln(EXP(x * y))")</f>
        <v>6.2821060710686716E-2</v>
      </c>
      <c r="L432" cm="1">
        <f t="array" ref="L432" xml:space="preserve"> mc(1000, -PI()/2,0,-1, 1, "ln(EXP(x * y))")</f>
        <v>-7.4014612057677846E-3</v>
      </c>
      <c r="N432" cm="1">
        <f t="array" ref="N432" xml:space="preserve"> mc(100, -PI()/2,PI()/2, 0, 1, "sin(cos(x + y))")-1.48235</f>
        <v>2.3235218216376641E-2</v>
      </c>
      <c r="O432" cm="1">
        <f t="array" ref="O432" xml:space="preserve"> mc(500, -PI()/2,PI()/2, 0, 1, "sin(cos(x + y))")-1.48235</f>
        <v>-7.4177634485185662E-2</v>
      </c>
      <c r="P432" cm="1">
        <f t="array" ref="P432" xml:space="preserve"> mc(1000, -PI()/2,PI()/2, 0, 1, "sin(cos(x + y))")-1.48235</f>
        <v>4.9117096472097943E-2</v>
      </c>
    </row>
    <row r="433" spans="1:16" x14ac:dyDescent="0.3">
      <c r="A433">
        <v>403</v>
      </c>
      <c r="B433" cm="1">
        <f t="array" ref="B433" xml:space="preserve"> mc(100, 0, 4, 1, 2, "x^2+y^2")-92/3</f>
        <v>0.28619424537133042</v>
      </c>
      <c r="C433" cm="1">
        <f t="array" ref="C433" xml:space="preserve"> mc(500, 0, 4, 1, 2, "x^2+y^2")-92/3</f>
        <v>-1.0018734204373381</v>
      </c>
      <c r="D433" cm="1">
        <f t="array" ref="D433" xml:space="preserve"> mc(1000, 0, 4, 1, 2, "x^2+y^2")-92/3</f>
        <v>-0.17638517712606117</v>
      </c>
      <c r="F433" cm="1">
        <f t="array" ref="F433" xml:space="preserve"> ( mc(100, 3, 4, -1, 1, "EXP(x * sin(y))") ) - 7.39981</f>
        <v>1.5346933071025557</v>
      </c>
      <c r="G433" cm="1">
        <f t="array" ref="G433" xml:space="preserve"> ( mc(500, 3, 4, -1, 1, "EXP(x * sin(y))") ) - 7.39981</f>
        <v>-0.80253589853670881</v>
      </c>
      <c r="H433" cm="1">
        <f t="array" ref="H433" xml:space="preserve"> ( mc(1000, 3, 4, -1, 1, "EXP(x * sin(y))") ) - 7.39981</f>
        <v>-0.23214550802399891</v>
      </c>
      <c r="J433" cm="1">
        <f t="array" ref="J433" xml:space="preserve"> mc(100, -PI()/2,0,-1, 1, "ln(EXP(x * y))")</f>
        <v>2.9630508188191199E-2</v>
      </c>
      <c r="K433" cm="1">
        <f t="array" ref="K433" xml:space="preserve"> mc(500, -PI()/2,0,-1, 1, "ln(EXP(x * y))")</f>
        <v>1.3248074275423346E-2</v>
      </c>
      <c r="L433" cm="1">
        <f t="array" ref="L433" xml:space="preserve"> mc(1000, -PI()/2,0,-1, 1, "ln(EXP(x * y))")</f>
        <v>7.0181952943357606E-2</v>
      </c>
      <c r="N433" cm="1">
        <f t="array" ref="N433" xml:space="preserve"> mc(100, -PI()/2,PI()/2, 0, 1, "sin(cos(x + y))")-1.48235</f>
        <v>0.18750599015139158</v>
      </c>
      <c r="O433" cm="1">
        <f t="array" ref="O433" xml:space="preserve"> mc(500, -PI()/2,PI()/2, 0, 1, "sin(cos(x + y))")-1.48235</f>
        <v>4.9228593412079746E-2</v>
      </c>
      <c r="P433" cm="1">
        <f t="array" ref="P433" xml:space="preserve"> mc(1000, -PI()/2,PI()/2, 0, 1, "sin(cos(x + y))")-1.48235</f>
        <v>4.5236612626275985E-4</v>
      </c>
    </row>
    <row r="434" spans="1:16" x14ac:dyDescent="0.3">
      <c r="A434">
        <v>404</v>
      </c>
      <c r="B434" cm="1">
        <f t="array" ref="B434" xml:space="preserve"> mc(100, 0, 4, 1, 2, "x^2+y^2")-92/3</f>
        <v>1.530136060378279</v>
      </c>
      <c r="C434" cm="1">
        <f t="array" ref="C434" xml:space="preserve"> mc(500, 0, 4, 1, 2, "x^2+y^2")-92/3</f>
        <v>-0.32454709787396752</v>
      </c>
      <c r="D434" cm="1">
        <f t="array" ref="D434" xml:space="preserve"> mc(1000, 0, 4, 1, 2, "x^2+y^2")-92/3</f>
        <v>0.20147692593084798</v>
      </c>
      <c r="F434" cm="1">
        <f t="array" ref="F434" xml:space="preserve"> ( mc(100, 3, 4, -1, 1, "EXP(x * sin(y))") ) - 7.39981</f>
        <v>1.0104199103006728</v>
      </c>
      <c r="G434" cm="1">
        <f t="array" ref="G434" xml:space="preserve"> ( mc(500, 3, 4, -1, 1, "EXP(x * sin(y))") ) - 7.39981</f>
        <v>0.26332899738189486</v>
      </c>
      <c r="H434" cm="1">
        <f t="array" ref="H434" xml:space="preserve"> ( mc(1000, 3, 4, -1, 1, "EXP(x * sin(y))") ) - 7.39981</f>
        <v>-0.19085671245889291</v>
      </c>
      <c r="J434" cm="1">
        <f t="array" ref="J434" xml:space="preserve"> mc(100, -PI()/2,0,-1, 1, "ln(EXP(x * y))")</f>
        <v>-9.1932717981904888E-2</v>
      </c>
      <c r="K434" cm="1">
        <f t="array" ref="K434" xml:space="preserve"> mc(500, -PI()/2,0,-1, 1, "ln(EXP(x * y))")</f>
        <v>6.0129241642420353E-2</v>
      </c>
      <c r="L434" cm="1">
        <f t="array" ref="L434" xml:space="preserve"> mc(1000, -PI()/2,0,-1, 1, "ln(EXP(x * y))")</f>
        <v>4.3062949918073287E-2</v>
      </c>
      <c r="N434" cm="1">
        <f t="array" ref="N434" xml:space="preserve"> mc(100, -PI()/2,PI()/2, 0, 1, "sin(cos(x + y))")-1.48235</f>
        <v>0.17977556216669477</v>
      </c>
      <c r="O434" cm="1">
        <f t="array" ref="O434" xml:space="preserve"> mc(500, -PI()/2,PI()/2, 0, 1, "sin(cos(x + y))")-1.48235</f>
        <v>-1.3564169685948757E-2</v>
      </c>
      <c r="P434" cm="1">
        <f t="array" ref="P434" xml:space="preserve"> mc(1000, -PI()/2,PI()/2, 0, 1, "sin(cos(x + y))")-1.48235</f>
        <v>-1.135311120893534E-2</v>
      </c>
    </row>
    <row r="435" spans="1:16" x14ac:dyDescent="0.3">
      <c r="A435">
        <v>405</v>
      </c>
      <c r="B435" cm="1">
        <f t="array" ref="B435" xml:space="preserve"> mc(100, 0, 4, 1, 2, "x^2+y^2")-92/3</f>
        <v>-1.5318984514130136</v>
      </c>
      <c r="C435" cm="1">
        <f t="array" ref="C435" xml:space="preserve"> mc(500, 0, 4, 1, 2, "x^2+y^2")-92/3</f>
        <v>-0.90407362706467254</v>
      </c>
      <c r="D435" cm="1">
        <f t="array" ref="D435" xml:space="preserve"> mc(1000, 0, 4, 1, 2, "x^2+y^2")-92/3</f>
        <v>-9.7098913382648533E-2</v>
      </c>
      <c r="F435" cm="1">
        <f t="array" ref="F435" xml:space="preserve"> ( mc(100, 3, 4, -1, 1, "EXP(x * sin(y))") ) - 7.39981</f>
        <v>2.5423429025712707E-3</v>
      </c>
      <c r="G435" cm="1">
        <f t="array" ref="G435" xml:space="preserve"> ( mc(500, 3, 4, -1, 1, "EXP(x * sin(y))") ) - 7.39981</f>
        <v>-0.54114118923450238</v>
      </c>
      <c r="H435" cm="1">
        <f t="array" ref="H435" xml:space="preserve"> ( mc(1000, 3, 4, -1, 1, "EXP(x * sin(y))") ) - 7.39981</f>
        <v>-0.33240417671341138</v>
      </c>
      <c r="J435" cm="1">
        <f t="array" ref="J435" xml:space="preserve"> mc(100, -PI()/2,0,-1, 1, "ln(EXP(x * y))")</f>
        <v>-0.23975534612291186</v>
      </c>
      <c r="K435" cm="1">
        <f t="array" ref="K435" xml:space="preserve"> mc(500, -PI()/2,0,-1, 1, "ln(EXP(x * y))")</f>
        <v>-2.0555152687010806E-2</v>
      </c>
      <c r="L435" cm="1">
        <f t="array" ref="L435" xml:space="preserve"> mc(1000, -PI()/2,0,-1, 1, "ln(EXP(x * y))")</f>
        <v>-3.2125426328069417E-2</v>
      </c>
      <c r="N435" cm="1">
        <f t="array" ref="N435" xml:space="preserve"> mc(100, -PI()/2,PI()/2, 0, 1, "sin(cos(x + y))")-1.48235</f>
        <v>-5.9903005629863504E-2</v>
      </c>
      <c r="O435" cm="1">
        <f t="array" ref="O435" xml:space="preserve"> mc(500, -PI()/2,PI()/2, 0, 1, "sin(cos(x + y))")-1.48235</f>
        <v>7.2347670294415245E-2</v>
      </c>
      <c r="P435" cm="1">
        <f t="array" ref="P435" xml:space="preserve"> mc(1000, -PI()/2,PI()/2, 0, 1, "sin(cos(x + y))")-1.48235</f>
        <v>1.6216438803508204E-2</v>
      </c>
    </row>
    <row r="436" spans="1:16" x14ac:dyDescent="0.3">
      <c r="A436">
        <v>406</v>
      </c>
      <c r="B436" cm="1">
        <f t="array" ref="B436" xml:space="preserve"> mc(100, 0, 4, 1, 2, "x^2+y^2")-92/3</f>
        <v>-3.0127612030603146</v>
      </c>
      <c r="C436" cm="1">
        <f t="array" ref="C436" xml:space="preserve"> mc(500, 0, 4, 1, 2, "x^2+y^2")-92/3</f>
        <v>1.4627132480493437</v>
      </c>
      <c r="D436" cm="1">
        <f t="array" ref="D436" xml:space="preserve"> mc(1000, 0, 4, 1, 2, "x^2+y^2")-92/3</f>
        <v>-0.2346649008409365</v>
      </c>
      <c r="F436" cm="1">
        <f t="array" ref="F436" xml:space="preserve"> ( mc(100, 3, 4, -1, 1, "EXP(x * sin(y))") ) - 7.39981</f>
        <v>-0.2245455542732584</v>
      </c>
      <c r="G436" cm="1">
        <f t="array" ref="G436" xml:space="preserve"> ( mc(500, 3, 4, -1, 1, "EXP(x * sin(y))") ) - 7.39981</f>
        <v>0.3001186844374244</v>
      </c>
      <c r="H436" cm="1">
        <f t="array" ref="H436" xml:space="preserve"> ( mc(1000, 3, 4, -1, 1, "EXP(x * sin(y))") ) - 7.39981</f>
        <v>0.10150365927989302</v>
      </c>
      <c r="J436" cm="1">
        <f t="array" ref="J436" xml:space="preserve"> mc(100, -PI()/2,0,-1, 1, "ln(EXP(x * y))")</f>
        <v>-3.3929792300335722E-2</v>
      </c>
      <c r="K436" cm="1">
        <f t="array" ref="K436" xml:space="preserve"> mc(500, -PI()/2,0,-1, 1, "ln(EXP(x * y))")</f>
        <v>-5.5160415292355276E-2</v>
      </c>
      <c r="L436" cm="1">
        <f t="array" ref="L436" xml:space="preserve"> mc(1000, -PI()/2,0,-1, 1, "ln(EXP(x * y))")</f>
        <v>5.4124620201007986E-2</v>
      </c>
      <c r="N436" cm="1">
        <f t="array" ref="N436" xml:space="preserve"> mc(100, -PI()/2,PI()/2, 0, 1, "sin(cos(x + y))")-1.48235</f>
        <v>-0.14654039449788936</v>
      </c>
      <c r="O436" cm="1">
        <f t="array" ref="O436" xml:space="preserve"> mc(500, -PI()/2,PI()/2, 0, 1, "sin(cos(x + y))")-1.48235</f>
        <v>2.023415421566499E-2</v>
      </c>
      <c r="P436" cm="1">
        <f t="array" ref="P436" xml:space="preserve"> mc(1000, -PI()/2,PI()/2, 0, 1, "sin(cos(x + y))")-1.48235</f>
        <v>7.3601451237419679E-2</v>
      </c>
    </row>
    <row r="437" spans="1:16" x14ac:dyDescent="0.3">
      <c r="A437">
        <v>407</v>
      </c>
      <c r="B437" cm="1">
        <f t="array" ref="B437" xml:space="preserve"> mc(100, 0, 4, 1, 2, "x^2+y^2")-92/3</f>
        <v>-2.1854989720039519</v>
      </c>
      <c r="C437" cm="1">
        <f t="array" ref="C437" xml:space="preserve"> mc(500, 0, 4, 1, 2, "x^2+y^2")-92/3</f>
        <v>-0.70227236052483377</v>
      </c>
      <c r="D437" cm="1">
        <f t="array" ref="D437" xml:space="preserve"> mc(1000, 0, 4, 1, 2, "x^2+y^2")-92/3</f>
        <v>0.40596650278942192</v>
      </c>
      <c r="F437" cm="1">
        <f t="array" ref="F437" xml:space="preserve"> ( mc(100, 3, 4, -1, 1, "EXP(x * sin(y))") ) - 7.39981</f>
        <v>-0.2200688093559009</v>
      </c>
      <c r="G437" cm="1">
        <f t="array" ref="G437" xml:space="preserve"> ( mc(500, 3, 4, -1, 1, "EXP(x * sin(y))") ) - 7.39981</f>
        <v>0.30490499297571105</v>
      </c>
      <c r="H437" cm="1">
        <f t="array" ref="H437" xml:space="preserve"> ( mc(1000, 3, 4, -1, 1, "EXP(x * sin(y))") ) - 7.39981</f>
        <v>0.3880973340149465</v>
      </c>
      <c r="J437" cm="1">
        <f t="array" ref="J437" xml:space="preserve"> mc(100, -PI()/2,0,-1, 1, "ln(EXP(x * y))")</f>
        <v>-0.11544259521461167</v>
      </c>
      <c r="K437" cm="1">
        <f t="array" ref="K437" xml:space="preserve"> mc(500, -PI()/2,0,-1, 1, "ln(EXP(x * y))")</f>
        <v>-4.2261044832340375E-2</v>
      </c>
      <c r="L437" cm="1">
        <f t="array" ref="L437" xml:space="preserve"> mc(1000, -PI()/2,0,-1, 1, "ln(EXP(x * y))")</f>
        <v>-5.9585296975177476E-2</v>
      </c>
      <c r="N437" cm="1">
        <f t="array" ref="N437" xml:space="preserve"> mc(100, -PI()/2,PI()/2, 0, 1, "sin(cos(x + y))")-1.48235</f>
        <v>-3.1649078233491723E-2</v>
      </c>
      <c r="O437" cm="1">
        <f t="array" ref="O437" xml:space="preserve"> mc(500, -PI()/2,PI()/2, 0, 1, "sin(cos(x + y))")-1.48235</f>
        <v>-1.1351245138417676E-2</v>
      </c>
      <c r="P437" cm="1">
        <f t="array" ref="P437" xml:space="preserve"> mc(1000, -PI()/2,PI()/2, 0, 1, "sin(cos(x + y))")-1.48235</f>
        <v>-4.5507756431042434E-3</v>
      </c>
    </row>
    <row r="438" spans="1:16" x14ac:dyDescent="0.3">
      <c r="A438">
        <v>408</v>
      </c>
      <c r="B438" cm="1">
        <f t="array" ref="B438" xml:space="preserve"> mc(100, 0, 4, 1, 2, "x^2+y^2")-92/3</f>
        <v>0.60700491646013433</v>
      </c>
      <c r="C438" cm="1">
        <f t="array" ref="C438" xml:space="preserve"> mc(500, 0, 4, 1, 2, "x^2+y^2")-92/3</f>
        <v>0.20218402276729819</v>
      </c>
      <c r="D438" cm="1">
        <f t="array" ref="D438" xml:space="preserve"> mc(1000, 0, 4, 1, 2, "x^2+y^2")-92/3</f>
        <v>8.3220291624758858E-2</v>
      </c>
      <c r="F438" cm="1">
        <f t="array" ref="F438" xml:space="preserve"> ( mc(100, 3, 4, -1, 1, "EXP(x * sin(y))") ) - 7.39981</f>
        <v>6.9893712325503898E-3</v>
      </c>
      <c r="G438" cm="1">
        <f t="array" ref="G438" xml:space="preserve"> ( mc(500, 3, 4, -1, 1, "EXP(x * sin(y))") ) - 7.39981</f>
        <v>4.2276873471934984E-2</v>
      </c>
      <c r="H438" cm="1">
        <f t="array" ref="H438" xml:space="preserve"> ( mc(1000, 3, 4, -1, 1, "EXP(x * sin(y))") ) - 7.39981</f>
        <v>-0.80054203926814171</v>
      </c>
      <c r="J438" cm="1">
        <f t="array" ref="J438" xml:space="preserve"> mc(100, -PI()/2,0,-1, 1, "ln(EXP(x * y))")</f>
        <v>0.24413177341441489</v>
      </c>
      <c r="K438" cm="1">
        <f t="array" ref="K438" xml:space="preserve"> mc(500, -PI()/2,0,-1, 1, "ln(EXP(x * y))")</f>
        <v>-8.4273634087324259E-2</v>
      </c>
      <c r="L438" cm="1">
        <f t="array" ref="L438" xml:space="preserve"> mc(1000, -PI()/2,0,-1, 1, "ln(EXP(x * y))")</f>
        <v>-4.7239214931687243E-2</v>
      </c>
      <c r="N438" cm="1">
        <f t="array" ref="N438" xml:space="preserve"> mc(100, -PI()/2,PI()/2, 0, 1, "sin(cos(x + y))")-1.48235</f>
        <v>-0.23980777966663824</v>
      </c>
      <c r="O438" cm="1">
        <f t="array" ref="O438" xml:space="preserve"> mc(500, -PI()/2,PI()/2, 0, 1, "sin(cos(x + y))")-1.48235</f>
        <v>2.1100740699149245E-3</v>
      </c>
      <c r="P438" cm="1">
        <f t="array" ref="P438" xml:space="preserve"> mc(1000, -PI()/2,PI()/2, 0, 1, "sin(cos(x + y))")-1.48235</f>
        <v>7.3960352160501674E-2</v>
      </c>
    </row>
    <row r="439" spans="1:16" x14ac:dyDescent="0.3">
      <c r="A439">
        <v>409</v>
      </c>
      <c r="B439" cm="1">
        <f t="array" ref="B439" xml:space="preserve"> mc(100, 0, 4, 1, 2, "x^2+y^2")-92/3</f>
        <v>-7.1684741063762658E-2</v>
      </c>
      <c r="C439" cm="1">
        <f t="array" ref="C439" xml:space="preserve"> mc(500, 0, 4, 1, 2, "x^2+y^2")-92/3</f>
        <v>-0.5550445491162499</v>
      </c>
      <c r="D439" cm="1">
        <f t="array" ref="D439" xml:space="preserve"> mc(1000, 0, 4, 1, 2, "x^2+y^2")-92/3</f>
        <v>0.53638207217329281</v>
      </c>
      <c r="F439" cm="1">
        <f t="array" ref="F439" xml:space="preserve"> ( mc(100, 3, 4, -1, 1, "EXP(x * sin(y))") ) - 7.39981</f>
        <v>-0.40404679633457175</v>
      </c>
      <c r="G439" cm="1">
        <f t="array" ref="G439" xml:space="preserve"> ( mc(500, 3, 4, -1, 1, "EXP(x * sin(y))") ) - 7.39981</f>
        <v>-5.0812064832967074E-2</v>
      </c>
      <c r="H439" cm="1">
        <f t="array" ref="H439" xml:space="preserve"> ( mc(1000, 3, 4, -1, 1, "EXP(x * sin(y))") ) - 7.39981</f>
        <v>0.16388163961722668</v>
      </c>
      <c r="J439" cm="1">
        <f t="array" ref="J439" xml:space="preserve"> mc(100, -PI()/2,0,-1, 1, "ln(EXP(x * y))")</f>
        <v>9.798517973542159E-2</v>
      </c>
      <c r="K439" cm="1">
        <f t="array" ref="K439" xml:space="preserve"> mc(500, -PI()/2,0,-1, 1, "ln(EXP(x * y))")</f>
        <v>8.4637379234787882E-2</v>
      </c>
      <c r="L439" cm="1">
        <f t="array" ref="L439" xml:space="preserve"> mc(1000, -PI()/2,0,-1, 1, "ln(EXP(x * y))")</f>
        <v>2.3626454221884096E-2</v>
      </c>
      <c r="N439" cm="1">
        <f t="array" ref="N439" xml:space="preserve"> mc(100, -PI()/2,PI()/2, 0, 1, "sin(cos(x + y))")-1.48235</f>
        <v>-0.21067042545511105</v>
      </c>
      <c r="O439" cm="1">
        <f t="array" ref="O439" xml:space="preserve"> mc(500, -PI()/2,PI()/2, 0, 1, "sin(cos(x + y))")-1.48235</f>
        <v>-2.2748424383326693E-2</v>
      </c>
      <c r="P439" cm="1">
        <f t="array" ref="P439" xml:space="preserve"> mc(1000, -PI()/2,PI()/2, 0, 1, "sin(cos(x + y))")-1.48235</f>
        <v>-3.3220635721892711E-2</v>
      </c>
    </row>
    <row r="440" spans="1:16" x14ac:dyDescent="0.3">
      <c r="A440">
        <v>410</v>
      </c>
      <c r="B440" cm="1">
        <f t="array" ref="B440" xml:space="preserve"> mc(100, 0, 4, 1, 2, "x^2+y^2")-92/3</f>
        <v>-2.8739756951482534</v>
      </c>
      <c r="C440" cm="1">
        <f t="array" ref="C440" xml:space="preserve"> mc(500, 0, 4, 1, 2, "x^2+y^2")-92/3</f>
        <v>0.86051196577679079</v>
      </c>
      <c r="D440" cm="1">
        <f t="array" ref="D440" xml:space="preserve"> mc(1000, 0, 4, 1, 2, "x^2+y^2")-92/3</f>
        <v>-0.82799279573427143</v>
      </c>
      <c r="F440" cm="1">
        <f t="array" ref="F440" xml:space="preserve"> ( mc(100, 3, 4, -1, 1, "EXP(x * sin(y))") ) - 7.39981</f>
        <v>0.76107946627345413</v>
      </c>
      <c r="G440" cm="1">
        <f t="array" ref="G440" xml:space="preserve"> ( mc(500, 3, 4, -1, 1, "EXP(x * sin(y))") ) - 7.39981</f>
        <v>-0.10062101897971854</v>
      </c>
      <c r="H440" cm="1">
        <f t="array" ref="H440" xml:space="preserve"> ( mc(1000, 3, 4, -1, 1, "EXP(x * sin(y))") ) - 7.39981</f>
        <v>0.34495529722581608</v>
      </c>
      <c r="J440" cm="1">
        <f t="array" ref="J440" xml:space="preserve"> mc(100, -PI()/2,0,-1, 1, "ln(EXP(x * y))")</f>
        <v>-5.1350113499787332E-2</v>
      </c>
      <c r="K440" cm="1">
        <f t="array" ref="K440" xml:space="preserve"> mc(500, -PI()/2,0,-1, 1, "ln(EXP(x * y))")</f>
        <v>5.4015787899313973E-2</v>
      </c>
      <c r="L440" cm="1">
        <f t="array" ref="L440" xml:space="preserve"> mc(1000, -PI()/2,0,-1, 1, "ln(EXP(x * y))")</f>
        <v>-2.9570791245236067E-2</v>
      </c>
      <c r="N440" cm="1">
        <f t="array" ref="N440" xml:space="preserve"> mc(100, -PI()/2,PI()/2, 0, 1, "sin(cos(x + y))")-1.48235</f>
        <v>0.12969833256459662</v>
      </c>
      <c r="O440" cm="1">
        <f t="array" ref="O440" xml:space="preserve"> mc(500, -PI()/2,PI()/2, 0, 1, "sin(cos(x + y))")-1.48235</f>
        <v>-0.14942721447071516</v>
      </c>
      <c r="P440" cm="1">
        <f t="array" ref="P440" xml:space="preserve"> mc(1000, -PI()/2,PI()/2, 0, 1, "sin(cos(x + y))")-1.48235</f>
        <v>4.0132624355039948E-2</v>
      </c>
    </row>
    <row r="441" spans="1:16" x14ac:dyDescent="0.3">
      <c r="A441">
        <v>411</v>
      </c>
      <c r="B441" cm="1">
        <f t="array" ref="B441" xml:space="preserve"> mc(100, 0, 4, 1, 2, "x^2+y^2")-92/3</f>
        <v>2.6333364075729513</v>
      </c>
      <c r="C441" cm="1">
        <f t="array" ref="C441" xml:space="preserve"> mc(500, 0, 4, 1, 2, "x^2+y^2")-92/3</f>
        <v>-0.48253705086854737</v>
      </c>
      <c r="D441" cm="1">
        <f t="array" ref="D441" xml:space="preserve"> mc(1000, 0, 4, 1, 2, "x^2+y^2")-92/3</f>
        <v>0.30647577669594028</v>
      </c>
      <c r="F441" cm="1">
        <f t="array" ref="F441" xml:space="preserve"> ( mc(100, 3, 4, -1, 1, "EXP(x * sin(y))") ) - 7.39981</f>
        <v>-0.19831744891474212</v>
      </c>
      <c r="G441" cm="1">
        <f t="array" ref="G441" xml:space="preserve"> ( mc(500, 3, 4, -1, 1, "EXP(x * sin(y))") ) - 7.39981</f>
        <v>-0.23024647169338408</v>
      </c>
      <c r="H441" cm="1">
        <f t="array" ref="H441" xml:space="preserve"> ( mc(1000, 3, 4, -1, 1, "EXP(x * sin(y))") ) - 7.39981</f>
        <v>0.11304025844556786</v>
      </c>
      <c r="J441" cm="1">
        <f t="array" ref="J441" xml:space="preserve"> mc(100, -PI()/2,0,-1, 1, "ln(EXP(x * y))")</f>
        <v>0.10831115753041407</v>
      </c>
      <c r="K441" cm="1">
        <f t="array" ref="K441" xml:space="preserve"> mc(500, -PI()/2,0,-1, 1, "ln(EXP(x * y))")</f>
        <v>-2.683249832880116E-2</v>
      </c>
      <c r="L441" cm="1">
        <f t="array" ref="L441" xml:space="preserve"> mc(1000, -PI()/2,0,-1, 1, "ln(EXP(x * y))")</f>
        <v>-2.1434282804382677E-2</v>
      </c>
      <c r="N441" cm="1">
        <f t="array" ref="N441" xml:space="preserve"> mc(100, -PI()/2,PI()/2, 0, 1, "sin(cos(x + y))")-1.48235</f>
        <v>-7.5735823182338846E-2</v>
      </c>
      <c r="O441" cm="1">
        <f t="array" ref="O441" xml:space="preserve"> mc(500, -PI()/2,PI()/2, 0, 1, "sin(cos(x + y))")-1.48235</f>
        <v>-8.1227128238695601E-2</v>
      </c>
      <c r="P441" cm="1">
        <f t="array" ref="P441" xml:space="preserve"> mc(1000, -PI()/2,PI()/2, 0, 1, "sin(cos(x + y))")-1.48235</f>
        <v>-9.6909994531717558E-3</v>
      </c>
    </row>
    <row r="442" spans="1:16" x14ac:dyDescent="0.3">
      <c r="A442">
        <v>412</v>
      </c>
      <c r="B442" cm="1">
        <f t="array" ref="B442" xml:space="preserve"> mc(100, 0, 4, 1, 2, "x^2+y^2")-92/3</f>
        <v>-2.4232845893726918</v>
      </c>
      <c r="C442" cm="1">
        <f t="array" ref="C442" xml:space="preserve"> mc(500, 0, 4, 1, 2, "x^2+y^2")-92/3</f>
        <v>0.55748972944699204</v>
      </c>
      <c r="D442" cm="1">
        <f t="array" ref="D442" xml:space="preserve"> mc(1000, 0, 4, 1, 2, "x^2+y^2")-92/3</f>
        <v>-0.13993701401889425</v>
      </c>
      <c r="F442" cm="1">
        <f t="array" ref="F442" xml:space="preserve"> ( mc(100, 3, 4, -1, 1, "EXP(x * sin(y))") ) - 7.39981</f>
        <v>2.0544227674635067</v>
      </c>
      <c r="G442" cm="1">
        <f t="array" ref="G442" xml:space="preserve"> ( mc(500, 3, 4, -1, 1, "EXP(x * sin(y))") ) - 7.39981</f>
        <v>-0.30166111653280048</v>
      </c>
      <c r="H442" cm="1">
        <f t="array" ref="H442" xml:space="preserve"> ( mc(1000, 3, 4, -1, 1, "EXP(x * sin(y))") ) - 7.39981</f>
        <v>0.54361089184879496</v>
      </c>
      <c r="J442" cm="1">
        <f t="array" ref="J442" xml:space="preserve"> mc(100, -PI()/2,0,-1, 1, "ln(EXP(x * y))")</f>
        <v>-0.25513473741348619</v>
      </c>
      <c r="K442" cm="1">
        <f t="array" ref="K442" xml:space="preserve"> mc(500, -PI()/2,0,-1, 1, "ln(EXP(x * y))")</f>
        <v>-0.1138089018889873</v>
      </c>
      <c r="L442" cm="1">
        <f t="array" ref="L442" xml:space="preserve"> mc(1000, -PI()/2,0,-1, 1, "ln(EXP(x * y))")</f>
        <v>2.439781205349538E-2</v>
      </c>
      <c r="N442" cm="1">
        <f t="array" ref="N442" xml:space="preserve"> mc(100, -PI()/2,PI()/2, 0, 1, "sin(cos(x + y))")-1.48235</f>
        <v>5.1405852867659529E-2</v>
      </c>
      <c r="O442" cm="1">
        <f t="array" ref="O442" xml:space="preserve"> mc(500, -PI()/2,PI()/2, 0, 1, "sin(cos(x + y))")-1.48235</f>
        <v>1.0297483800481455E-2</v>
      </c>
      <c r="P442" cm="1">
        <f t="array" ref="P442" xml:space="preserve"> mc(1000, -PI()/2,PI()/2, 0, 1, "sin(cos(x + y))")-1.48235</f>
        <v>3.1075707620995763E-2</v>
      </c>
    </row>
    <row r="443" spans="1:16" x14ac:dyDescent="0.3">
      <c r="A443">
        <v>413</v>
      </c>
      <c r="B443" cm="1">
        <f t="array" ref="B443" xml:space="preserve"> mc(100, 0, 4, 1, 2, "x^2+y^2")-92/3</f>
        <v>1.5258906246436617</v>
      </c>
      <c r="C443" cm="1">
        <f t="array" ref="C443" xml:space="preserve"> mc(500, 0, 4, 1, 2, "x^2+y^2")-92/3</f>
        <v>-0.67655718008089138</v>
      </c>
      <c r="D443" cm="1">
        <f t="array" ref="D443" xml:space="preserve"> mc(1000, 0, 4, 1, 2, "x^2+y^2")-92/3</f>
        <v>-0.37838225684055971</v>
      </c>
      <c r="F443" cm="1">
        <f t="array" ref="F443" xml:space="preserve"> ( mc(100, 3, 4, -1, 1, "EXP(x * sin(y))") ) - 7.39981</f>
        <v>-0.79482798913017305</v>
      </c>
      <c r="G443" cm="1">
        <f t="array" ref="G443" xml:space="preserve"> ( mc(500, 3, 4, -1, 1, "EXP(x * sin(y))") ) - 7.39981</f>
        <v>0.15475122256550566</v>
      </c>
      <c r="H443" cm="1">
        <f t="array" ref="H443" xml:space="preserve"> ( mc(1000, 3, 4, -1, 1, "EXP(x * sin(y))") ) - 7.39981</f>
        <v>-5.2215586676795489E-2</v>
      </c>
      <c r="J443" cm="1">
        <f t="array" ref="J443" xml:space="preserve"> mc(100, -PI()/2,0,-1, 1, "ln(EXP(x * y))")</f>
        <v>-0.182256955516124</v>
      </c>
      <c r="K443" cm="1">
        <f t="array" ref="K443" xml:space="preserve"> mc(500, -PI()/2,0,-1, 1, "ln(EXP(x * y))")</f>
        <v>5.0894987878853607E-3</v>
      </c>
      <c r="L443" cm="1">
        <f t="array" ref="L443" xml:space="preserve"> mc(1000, -PI()/2,0,-1, 1, "ln(EXP(x * y))")</f>
        <v>-7.5125378528990511E-2</v>
      </c>
      <c r="N443" cm="1">
        <f t="array" ref="N443" xml:space="preserve"> mc(100, -PI()/2,PI()/2, 0, 1, "sin(cos(x + y))")-1.48235</f>
        <v>0.10714148298373094</v>
      </c>
      <c r="O443" cm="1">
        <f t="array" ref="O443" xml:space="preserve"> mc(500, -PI()/2,PI()/2, 0, 1, "sin(cos(x + y))")-1.48235</f>
        <v>-8.3317488079370561E-2</v>
      </c>
      <c r="P443" cm="1">
        <f t="array" ref="P443" xml:space="preserve"> mc(1000, -PI()/2,PI()/2, 0, 1, "sin(cos(x + y))")-1.48235</f>
        <v>-6.4582566670274844E-3</v>
      </c>
    </row>
    <row r="444" spans="1:16" x14ac:dyDescent="0.3">
      <c r="A444">
        <v>414</v>
      </c>
      <c r="B444" cm="1">
        <f t="array" ref="B444" xml:space="preserve"> mc(100, 0, 4, 1, 2, "x^2+y^2")-92/3</f>
        <v>0.11638427704869514</v>
      </c>
      <c r="C444" cm="1">
        <f t="array" ref="C444" xml:space="preserve"> mc(500, 0, 4, 1, 2, "x^2+y^2")-92/3</f>
        <v>0.21204610625917297</v>
      </c>
      <c r="D444" cm="1">
        <f t="array" ref="D444" xml:space="preserve"> mc(1000, 0, 4, 1, 2, "x^2+y^2")-92/3</f>
        <v>-0.42601908618125961</v>
      </c>
      <c r="F444" cm="1">
        <f t="array" ref="F444" xml:space="preserve"> ( mc(100, 3, 4, -1, 1, "EXP(x * sin(y))") ) - 7.39981</f>
        <v>1.5690672170052657</v>
      </c>
      <c r="G444" cm="1">
        <f t="array" ref="G444" xml:space="preserve"> ( mc(500, 3, 4, -1, 1, "EXP(x * sin(y))") ) - 7.39981</f>
        <v>0.58062768905674123</v>
      </c>
      <c r="H444" cm="1">
        <f t="array" ref="H444" xml:space="preserve"> ( mc(1000, 3, 4, -1, 1, "EXP(x * sin(y))") ) - 7.39981</f>
        <v>0.11723084803226147</v>
      </c>
      <c r="J444" cm="1">
        <f t="array" ref="J444" xml:space="preserve"> mc(100, -PI()/2,0,-1, 1, "ln(EXP(x * y))")</f>
        <v>0.18941198152679131</v>
      </c>
      <c r="K444" cm="1">
        <f t="array" ref="K444" xml:space="preserve"> mc(500, -PI()/2,0,-1, 1, "ln(EXP(x * y))")</f>
        <v>-6.095340039170994E-2</v>
      </c>
      <c r="L444" cm="1">
        <f t="array" ref="L444" xml:space="preserve"> mc(1000, -PI()/2,0,-1, 1, "ln(EXP(x * y))")</f>
        <v>-1.8141859988389117E-2</v>
      </c>
      <c r="N444" cm="1">
        <f t="array" ref="N444" xml:space="preserve"> mc(100, -PI()/2,PI()/2, 0, 1, "sin(cos(x + y))")-1.48235</f>
        <v>-0.2244089778210665</v>
      </c>
      <c r="O444" cm="1">
        <f t="array" ref="O444" xml:space="preserve"> mc(500, -PI()/2,PI()/2, 0, 1, "sin(cos(x + y))")-1.48235</f>
        <v>5.1317145083352722E-2</v>
      </c>
      <c r="P444" cm="1">
        <f t="array" ref="P444" xml:space="preserve"> mc(1000, -PI()/2,PI()/2, 0, 1, "sin(cos(x + y))")-1.48235</f>
        <v>-9.0136163581393536E-3</v>
      </c>
    </row>
    <row r="445" spans="1:16" x14ac:dyDescent="0.3">
      <c r="A445">
        <v>415</v>
      </c>
      <c r="B445" cm="1">
        <f t="array" ref="B445" xml:space="preserve"> mc(100, 0, 4, 1, 2, "x^2+y^2")-92/3</f>
        <v>0.86074720134431004</v>
      </c>
      <c r="C445" cm="1">
        <f t="array" ref="C445" xml:space="preserve"> mc(500, 0, 4, 1, 2, "x^2+y^2")-92/3</f>
        <v>-0.22306971314930024</v>
      </c>
      <c r="D445" cm="1">
        <f t="array" ref="D445" xml:space="preserve"> mc(1000, 0, 4, 1, 2, "x^2+y^2")-92/3</f>
        <v>0.99220652593415082</v>
      </c>
      <c r="F445" cm="1">
        <f t="array" ref="F445" xml:space="preserve"> ( mc(100, 3, 4, -1, 1, "EXP(x * sin(y))") ) - 7.39981</f>
        <v>-0.23096599728007572</v>
      </c>
      <c r="G445" cm="1">
        <f t="array" ref="G445" xml:space="preserve"> ( mc(500, 3, 4, -1, 1, "EXP(x * sin(y))") ) - 7.39981</f>
        <v>-0.5662643255566211</v>
      </c>
      <c r="H445" cm="1">
        <f t="array" ref="H445" xml:space="preserve"> ( mc(1000, 3, 4, -1, 1, "EXP(x * sin(y))") ) - 7.39981</f>
        <v>-0.58212698344973735</v>
      </c>
      <c r="J445" cm="1">
        <f t="array" ref="J445" xml:space="preserve"> mc(100, -PI()/2,0,-1, 1, "ln(EXP(x * y))")</f>
        <v>0.19448969055856669</v>
      </c>
      <c r="K445" cm="1">
        <f t="array" ref="K445" xml:space="preserve"> mc(500, -PI()/2,0,-1, 1, "ln(EXP(x * y))")</f>
        <v>0.18287432922586769</v>
      </c>
      <c r="L445" cm="1">
        <f t="array" ref="L445" xml:space="preserve"> mc(1000, -PI()/2,0,-1, 1, "ln(EXP(x * y))")</f>
        <v>-9.2122886839636195E-2</v>
      </c>
      <c r="N445" cm="1">
        <f t="array" ref="N445" xml:space="preserve"> mc(100, -PI()/2,PI()/2, 0, 1, "sin(cos(x + y))")-1.48235</f>
        <v>0.1734876928181408</v>
      </c>
      <c r="O445" cm="1">
        <f t="array" ref="O445" xml:space="preserve"> mc(500, -PI()/2,PI()/2, 0, 1, "sin(cos(x + y))")-1.48235</f>
        <v>3.8002854006037978E-2</v>
      </c>
      <c r="P445" cm="1">
        <f t="array" ref="P445" xml:space="preserve"> mc(1000, -PI()/2,PI()/2, 0, 1, "sin(cos(x + y))")-1.48235</f>
        <v>2.3147006923235569E-2</v>
      </c>
    </row>
    <row r="446" spans="1:16" x14ac:dyDescent="0.3">
      <c r="A446">
        <v>416</v>
      </c>
      <c r="B446" cm="1">
        <f t="array" ref="B446" xml:space="preserve"> mc(100, 0, 4, 1, 2, "x^2+y^2")-92/3</f>
        <v>0.48053941913367737</v>
      </c>
      <c r="C446" cm="1">
        <f t="array" ref="C446" xml:space="preserve"> mc(500, 0, 4, 1, 2, "x^2+y^2")-92/3</f>
        <v>-0.93474486209947116</v>
      </c>
      <c r="D446" cm="1">
        <f t="array" ref="D446" xml:space="preserve"> mc(1000, 0, 4, 1, 2, "x^2+y^2")-92/3</f>
        <v>-0.32862481818243339</v>
      </c>
      <c r="F446" cm="1">
        <f t="array" ref="F446" xml:space="preserve"> ( mc(100, 3, 4, -1, 1, "EXP(x * sin(y))") ) - 7.39981</f>
        <v>-0.53037774382960734</v>
      </c>
      <c r="G446" cm="1">
        <f t="array" ref="G446" xml:space="preserve"> ( mc(500, 3, 4, -1, 1, "EXP(x * sin(y))") ) - 7.39981</f>
        <v>9.5836764725256707E-2</v>
      </c>
      <c r="H446" cm="1">
        <f t="array" ref="H446" xml:space="preserve"> ( mc(1000, 3, 4, -1, 1, "EXP(x * sin(y))") ) - 7.39981</f>
        <v>-0.22176571107684317</v>
      </c>
      <c r="J446" cm="1">
        <f t="array" ref="J446" xml:space="preserve"> mc(100, -PI()/2,0,-1, 1, "ln(EXP(x * y))")</f>
        <v>-2.2796413352081241E-2</v>
      </c>
      <c r="K446" cm="1">
        <f t="array" ref="K446" xml:space="preserve"> mc(500, -PI()/2,0,-1, 1, "ln(EXP(x * y))")</f>
        <v>2.5963702121634485E-2</v>
      </c>
      <c r="L446" cm="1">
        <f t="array" ref="L446" xml:space="preserve"> mc(1000, -PI()/2,0,-1, 1, "ln(EXP(x * y))")</f>
        <v>2.8952600258559929E-2</v>
      </c>
      <c r="N446" cm="1">
        <f t="array" ref="N446" xml:space="preserve"> mc(100, -PI()/2,PI()/2, 0, 1, "sin(cos(x + y))")-1.48235</f>
        <v>2.6465390734836225E-2</v>
      </c>
      <c r="O446" cm="1">
        <f t="array" ref="O446" xml:space="preserve"> mc(500, -PI()/2,PI()/2, 0, 1, "sin(cos(x + y))")-1.48235</f>
        <v>3.6171410869934917E-2</v>
      </c>
      <c r="P446" cm="1">
        <f t="array" ref="P446" xml:space="preserve"> mc(1000, -PI()/2,PI()/2, 0, 1, "sin(cos(x + y))")-1.48235</f>
        <v>2.632323779830581E-2</v>
      </c>
    </row>
    <row r="447" spans="1:16" x14ac:dyDescent="0.3">
      <c r="A447">
        <v>417</v>
      </c>
      <c r="B447" cm="1">
        <f t="array" ref="B447" xml:space="preserve"> mc(100, 0, 4, 1, 2, "x^2+y^2")-92/3</f>
        <v>-3.2767487471135119</v>
      </c>
      <c r="C447" cm="1">
        <f t="array" ref="C447" xml:space="preserve"> mc(500, 0, 4, 1, 2, "x^2+y^2")-92/3</f>
        <v>-2.5824876925049978E-2</v>
      </c>
      <c r="D447" cm="1">
        <f t="array" ref="D447" xml:space="preserve"> mc(1000, 0, 4, 1, 2, "x^2+y^2")-92/3</f>
        <v>0.32633992339838613</v>
      </c>
      <c r="F447" cm="1">
        <f t="array" ref="F447" xml:space="preserve"> ( mc(100, 3, 4, -1, 1, "EXP(x * sin(y))") ) - 7.39981</f>
        <v>1.6680655888786369</v>
      </c>
      <c r="G447" cm="1">
        <f t="array" ref="G447" xml:space="preserve"> ( mc(500, 3, 4, -1, 1, "EXP(x * sin(y))") ) - 7.39981</f>
        <v>-0.10715742813186147</v>
      </c>
      <c r="H447" cm="1">
        <f t="array" ref="H447" xml:space="preserve"> ( mc(1000, 3, 4, -1, 1, "EXP(x * sin(y))") ) - 7.39981</f>
        <v>-0.16096867756386857</v>
      </c>
      <c r="J447" cm="1">
        <f t="array" ref="J447" xml:space="preserve"> mc(100, -PI()/2,0,-1, 1, "ln(EXP(x * y))")</f>
        <v>-0.18890339631596931</v>
      </c>
      <c r="K447" cm="1">
        <f t="array" ref="K447" xml:space="preserve"> mc(500, -PI()/2,0,-1, 1, "ln(EXP(x * y))")</f>
        <v>-8.0615949281159338E-2</v>
      </c>
      <c r="L447" cm="1">
        <f t="array" ref="L447" xml:space="preserve"> mc(1000, -PI()/2,0,-1, 1, "ln(EXP(x * y))")</f>
        <v>9.8225169972050566E-2</v>
      </c>
      <c r="N447" cm="1">
        <f t="array" ref="N447" xml:space="preserve"> mc(100, -PI()/2,PI()/2, 0, 1, "sin(cos(x + y))")-1.48235</f>
        <v>3.9733190096030047E-2</v>
      </c>
      <c r="O447" cm="1">
        <f t="array" ref="O447" xml:space="preserve"> mc(500, -PI()/2,PI()/2, 0, 1, "sin(cos(x + y))")-1.48235</f>
        <v>-8.1178006706882133E-2</v>
      </c>
      <c r="P447" cm="1">
        <f t="array" ref="P447" xml:space="preserve"> mc(1000, -PI()/2,PI()/2, 0, 1, "sin(cos(x + y))")-1.48235</f>
        <v>-1.421335257035472E-2</v>
      </c>
    </row>
    <row r="448" spans="1:16" x14ac:dyDescent="0.3">
      <c r="A448">
        <v>418</v>
      </c>
      <c r="B448" cm="1">
        <f t="array" ref="B448" xml:space="preserve"> mc(100, 0, 4, 1, 2, "x^2+y^2")-92/3</f>
        <v>0.1408444757180547</v>
      </c>
      <c r="C448" cm="1">
        <f t="array" ref="C448" xml:space="preserve"> mc(500, 0, 4, 1, 2, "x^2+y^2")-92/3</f>
        <v>-0.48569924120811692</v>
      </c>
      <c r="D448" cm="1">
        <f t="array" ref="D448" xml:space="preserve"> mc(1000, 0, 4, 1, 2, "x^2+y^2")-92/3</f>
        <v>-0.30417205121529634</v>
      </c>
      <c r="F448" cm="1">
        <f t="array" ref="F448" xml:space="preserve"> ( mc(100, 3, 4, -1, 1, "EXP(x * sin(y))") ) - 7.39981</f>
        <v>0.36220201532766794</v>
      </c>
      <c r="G448" cm="1">
        <f t="array" ref="G448" xml:space="preserve"> ( mc(500, 3, 4, -1, 1, "EXP(x * sin(y))") ) - 7.39981</f>
        <v>0.28073628874899992</v>
      </c>
      <c r="H448" cm="1">
        <f t="array" ref="H448" xml:space="preserve"> ( mc(1000, 3, 4, -1, 1, "EXP(x * sin(y))") ) - 7.39981</f>
        <v>-0.51106373418526818</v>
      </c>
      <c r="J448" cm="1">
        <f t="array" ref="J448" xml:space="preserve"> mc(100, -PI()/2,0,-1, 1, "ln(EXP(x * y))")</f>
        <v>-8.6114742802314362E-2</v>
      </c>
      <c r="K448" cm="1">
        <f t="array" ref="K448" xml:space="preserve"> mc(500, -PI()/2,0,-1, 1, "ln(EXP(x * y))")</f>
        <v>-9.4725881003948301E-3</v>
      </c>
      <c r="L448" cm="1">
        <f t="array" ref="L448" xml:space="preserve"> mc(1000, -PI()/2,0,-1, 1, "ln(EXP(x * y))")</f>
        <v>2.7286529924501646E-2</v>
      </c>
      <c r="N448" cm="1">
        <f t="array" ref="N448" xml:space="preserve"> mc(100, -PI()/2,PI()/2, 0, 1, "sin(cos(x + y))")-1.48235</f>
        <v>-0.23022441045692577</v>
      </c>
      <c r="O448" cm="1">
        <f t="array" ref="O448" xml:space="preserve"> mc(500, -PI()/2,PI()/2, 0, 1, "sin(cos(x + y))")-1.48235</f>
        <v>6.1401245188341891E-2</v>
      </c>
      <c r="P448" cm="1">
        <f t="array" ref="P448" xml:space="preserve"> mc(1000, -PI()/2,PI()/2, 0, 1, "sin(cos(x + y))")-1.48235</f>
        <v>-3.4798479177186259E-2</v>
      </c>
    </row>
    <row r="449" spans="1:16" x14ac:dyDescent="0.3">
      <c r="A449">
        <v>419</v>
      </c>
      <c r="B449" cm="1">
        <f t="array" ref="B449" xml:space="preserve"> mc(100, 0, 4, 1, 2, "x^2+y^2")-92/3</f>
        <v>0.4259258312685148</v>
      </c>
      <c r="C449" cm="1">
        <f t="array" ref="C449" xml:space="preserve"> mc(500, 0, 4, 1, 2, "x^2+y^2")-92/3</f>
        <v>1.0730253684666984</v>
      </c>
      <c r="D449" cm="1">
        <f t="array" ref="D449" xml:space="preserve"> mc(1000, 0, 4, 1, 2, "x^2+y^2")-92/3</f>
        <v>-0.42325070185650304</v>
      </c>
      <c r="F449" cm="1">
        <f t="array" ref="F449" xml:space="preserve"> ( mc(100, 3, 4, -1, 1, "EXP(x * sin(y))") ) - 7.39981</f>
        <v>-0.14986611156731922</v>
      </c>
      <c r="G449" cm="1">
        <f t="array" ref="G449" xml:space="preserve"> ( mc(500, 3, 4, -1, 1, "EXP(x * sin(y))") ) - 7.39981</f>
        <v>-7.5112481768295325E-2</v>
      </c>
      <c r="H449" cm="1">
        <f t="array" ref="H449" xml:space="preserve"> ( mc(1000, 3, 4, -1, 1, "EXP(x * sin(y))") ) - 7.39981</f>
        <v>0.31497740342781899</v>
      </c>
      <c r="J449" cm="1">
        <f t="array" ref="J449" xml:space="preserve"> mc(100, -PI()/2,0,-1, 1, "ln(EXP(x * y))")</f>
        <v>-0.1236954358124424</v>
      </c>
      <c r="K449" cm="1">
        <f t="array" ref="K449" xml:space="preserve"> mc(500, -PI()/2,0,-1, 1, "ln(EXP(x * y))")</f>
        <v>0.15484627824394473</v>
      </c>
      <c r="L449" cm="1">
        <f t="array" ref="L449" xml:space="preserve"> mc(1000, -PI()/2,0,-1, 1, "ln(EXP(x * y))")</f>
        <v>7.774714422190121E-2</v>
      </c>
      <c r="N449" cm="1">
        <f t="array" ref="N449" xml:space="preserve"> mc(100, -PI()/2,PI()/2, 0, 1, "sin(cos(x + y))")-1.48235</f>
        <v>-0.18681418632187552</v>
      </c>
      <c r="O449" cm="1">
        <f t="array" ref="O449" xml:space="preserve"> mc(500, -PI()/2,PI()/2, 0, 1, "sin(cos(x + y))")-1.48235</f>
        <v>0.1279821598869082</v>
      </c>
      <c r="P449" cm="1">
        <f t="array" ref="P449" xml:space="preserve"> mc(1000, -PI()/2,PI()/2, 0, 1, "sin(cos(x + y))")-1.48235</f>
        <v>1.783212247694177E-3</v>
      </c>
    </row>
    <row r="450" spans="1:16" x14ac:dyDescent="0.3">
      <c r="A450">
        <v>420</v>
      </c>
      <c r="B450" cm="1">
        <f t="array" ref="B450" xml:space="preserve"> mc(100, 0, 4, 1, 2, "x^2+y^2")-92/3</f>
        <v>0.87338828323741069</v>
      </c>
      <c r="C450" cm="1">
        <f t="array" ref="C450" xml:space="preserve"> mc(500, 0, 4, 1, 2, "x^2+y^2")-92/3</f>
        <v>-0.90874747144648893</v>
      </c>
      <c r="D450" cm="1">
        <f t="array" ref="D450" xml:space="preserve"> mc(1000, 0, 4, 1, 2, "x^2+y^2")-92/3</f>
        <v>-0.55317570458772636</v>
      </c>
      <c r="F450" cm="1">
        <f t="array" ref="F450" xml:space="preserve"> ( mc(100, 3, 4, -1, 1, "EXP(x * sin(y))") ) - 7.39981</f>
        <v>1.0054747360026557</v>
      </c>
      <c r="G450" cm="1">
        <f t="array" ref="G450" xml:space="preserve"> ( mc(500, 3, 4, -1, 1, "EXP(x * sin(y))") ) - 7.39981</f>
        <v>-0.1220096065433971</v>
      </c>
      <c r="H450" cm="1">
        <f t="array" ref="H450" xml:space="preserve"> ( mc(1000, 3, 4, -1, 1, "EXP(x * sin(y))") ) - 7.39981</f>
        <v>0.55454070980607462</v>
      </c>
      <c r="J450" cm="1">
        <f t="array" ref="J450" xml:space="preserve"> mc(100, -PI()/2,0,-1, 1, "ln(EXP(x * y))")</f>
        <v>0.10040829535468429</v>
      </c>
      <c r="K450" cm="1">
        <f t="array" ref="K450" xml:space="preserve"> mc(500, -PI()/2,0,-1, 1, "ln(EXP(x * y))")</f>
        <v>8.9480291451776148E-2</v>
      </c>
      <c r="L450" cm="1">
        <f t="array" ref="L450" xml:space="preserve"> mc(1000, -PI()/2,0,-1, 1, "ln(EXP(x * y))")</f>
        <v>3.0005255964200703E-2</v>
      </c>
      <c r="N450" cm="1">
        <f t="array" ref="N450" xml:space="preserve"> mc(100, -PI()/2,PI()/2, 0, 1, "sin(cos(x + y))")-1.48235</f>
        <v>-0.12811454153104673</v>
      </c>
      <c r="O450" cm="1">
        <f t="array" ref="O450" xml:space="preserve"> mc(500, -PI()/2,PI()/2, 0, 1, "sin(cos(x + y))")-1.48235</f>
        <v>6.1047053225385728E-2</v>
      </c>
      <c r="P450" cm="1">
        <f t="array" ref="P450" xml:space="preserve"> mc(1000, -PI()/2,PI()/2, 0, 1, "sin(cos(x + y))")-1.48235</f>
        <v>2.05984034448492E-2</v>
      </c>
    </row>
    <row r="451" spans="1:16" x14ac:dyDescent="0.3">
      <c r="A451">
        <v>421</v>
      </c>
      <c r="B451" cm="1">
        <f t="array" ref="B451" xml:space="preserve"> mc(100, 0, 4, 1, 2, "x^2+y^2")-92/3</f>
        <v>-0.54355186283629209</v>
      </c>
      <c r="C451" cm="1">
        <f t="array" ref="C451" xml:space="preserve"> mc(500, 0, 4, 1, 2, "x^2+y^2")-92/3</f>
        <v>-1.4775784453198959</v>
      </c>
      <c r="D451" cm="1">
        <f t="array" ref="D451" xml:space="preserve"> mc(1000, 0, 4, 1, 2, "x^2+y^2")-92/3</f>
        <v>-0.68924241071029968</v>
      </c>
      <c r="F451" cm="1">
        <f t="array" ref="F451" xml:space="preserve"> ( mc(100, 3, 4, -1, 1, "EXP(x * sin(y))") ) - 7.39981</f>
        <v>-1.044131906453643</v>
      </c>
      <c r="G451" cm="1">
        <f t="array" ref="G451" xml:space="preserve"> ( mc(500, 3, 4, -1, 1, "EXP(x * sin(y))") ) - 7.39981</f>
        <v>0.71967095184670526</v>
      </c>
      <c r="H451" cm="1">
        <f t="array" ref="H451" xml:space="preserve"> ( mc(1000, 3, 4, -1, 1, "EXP(x * sin(y))") ) - 7.39981</f>
        <v>-0.42559915792896774</v>
      </c>
      <c r="J451" cm="1">
        <f t="array" ref="J451" xml:space="preserve"> mc(100, -PI()/2,0,-1, 1, "ln(EXP(x * y))")</f>
        <v>-0.18993078642762512</v>
      </c>
      <c r="K451" cm="1">
        <f t="array" ref="K451" xml:space="preserve"> mc(500, -PI()/2,0,-1, 1, "ln(EXP(x * y))")</f>
        <v>0.10917293031607307</v>
      </c>
      <c r="L451" cm="1">
        <f t="array" ref="L451" xml:space="preserve"> mc(1000, -PI()/2,0,-1, 1, "ln(EXP(x * y))")</f>
        <v>1.6796144340932344E-2</v>
      </c>
      <c r="N451" cm="1">
        <f t="array" ref="N451" xml:space="preserve"> mc(100, -PI()/2,PI()/2, 0, 1, "sin(cos(x + y))")-1.48235</f>
        <v>0.18047190548112013</v>
      </c>
      <c r="O451" cm="1">
        <f t="array" ref="O451" xml:space="preserve"> mc(500, -PI()/2,PI()/2, 0, 1, "sin(cos(x + y))")-1.48235</f>
        <v>6.8289330492505185E-2</v>
      </c>
      <c r="P451" cm="1">
        <f t="array" ref="P451" xml:space="preserve"> mc(1000, -PI()/2,PI()/2, 0, 1, "sin(cos(x + y))")-1.48235</f>
        <v>-0.10663538048460564</v>
      </c>
    </row>
    <row r="452" spans="1:16" x14ac:dyDescent="0.3">
      <c r="A452">
        <v>422</v>
      </c>
      <c r="B452" cm="1">
        <f t="array" ref="B452" xml:space="preserve"> mc(100, 0, 4, 1, 2, "x^2+y^2")-92/3</f>
        <v>-1.0086397675754384</v>
      </c>
      <c r="C452" cm="1">
        <f t="array" ref="C452" xml:space="preserve"> mc(500, 0, 4, 1, 2, "x^2+y^2")-92/3</f>
        <v>-1.3060209207447571</v>
      </c>
      <c r="D452" cm="1">
        <f t="array" ref="D452" xml:space="preserve"> mc(1000, 0, 4, 1, 2, "x^2+y^2")-92/3</f>
        <v>-0.95404036404697479</v>
      </c>
      <c r="F452" cm="1">
        <f t="array" ref="F452" xml:space="preserve"> ( mc(100, 3, 4, -1, 1, "EXP(x * sin(y))") ) - 7.39981</f>
        <v>-0.39521044260000071</v>
      </c>
      <c r="G452" cm="1">
        <f t="array" ref="G452" xml:space="preserve"> ( mc(500, 3, 4, -1, 1, "EXP(x * sin(y))") ) - 7.39981</f>
        <v>-0.18616318071676563</v>
      </c>
      <c r="H452" cm="1">
        <f t="array" ref="H452" xml:space="preserve"> ( mc(1000, 3, 4, -1, 1, "EXP(x * sin(y))") ) - 7.39981</f>
        <v>0.20783060808259268</v>
      </c>
      <c r="J452" cm="1">
        <f t="array" ref="J452" xml:space="preserve"> mc(100, -PI()/2,0,-1, 1, "ln(EXP(x * y))")</f>
        <v>0.30720755028171831</v>
      </c>
      <c r="K452" cm="1">
        <f t="array" ref="K452" xml:space="preserve"> mc(500, -PI()/2,0,-1, 1, "ln(EXP(x * y))")</f>
        <v>3.2652420688102632E-2</v>
      </c>
      <c r="L452" cm="1">
        <f t="array" ref="L452" xml:space="preserve"> mc(1000, -PI()/2,0,-1, 1, "ln(EXP(x * y))")</f>
        <v>4.5803612762008387E-2</v>
      </c>
      <c r="N452" cm="1">
        <f t="array" ref="N452" xml:space="preserve"> mc(100, -PI()/2,PI()/2, 0, 1, "sin(cos(x + y))")-1.48235</f>
        <v>0.32510201789653181</v>
      </c>
      <c r="O452" cm="1">
        <f t="array" ref="O452" xml:space="preserve"> mc(500, -PI()/2,PI()/2, 0, 1, "sin(cos(x + y))")-1.48235</f>
        <v>-0.11980417823665568</v>
      </c>
      <c r="P452" cm="1">
        <f t="array" ref="P452" xml:space="preserve"> mc(1000, -PI()/2,PI()/2, 0, 1, "sin(cos(x + y))")-1.48235</f>
        <v>-2.0277838333806475E-3</v>
      </c>
    </row>
    <row r="453" spans="1:16" x14ac:dyDescent="0.3">
      <c r="A453">
        <v>423</v>
      </c>
      <c r="B453" cm="1">
        <f t="array" ref="B453" xml:space="preserve"> mc(100, 0, 4, 1, 2, "x^2+y^2")-92/3</f>
        <v>-2.5221987198154494</v>
      </c>
      <c r="C453" cm="1">
        <f t="array" ref="C453" xml:space="preserve"> mc(500, 0, 4, 1, 2, "x^2+y^2")-92/3</f>
        <v>2.8842303451431412</v>
      </c>
      <c r="D453" cm="1">
        <f t="array" ref="D453" xml:space="preserve"> mc(1000, 0, 4, 1, 2, "x^2+y^2")-92/3</f>
        <v>0.28450074620779375</v>
      </c>
      <c r="F453" cm="1">
        <f t="array" ref="F453" xml:space="preserve"> ( mc(100, 3, 4, -1, 1, "EXP(x * sin(y))") ) - 7.39981</f>
        <v>-0.16818705827849456</v>
      </c>
      <c r="G453" cm="1">
        <f t="array" ref="G453" xml:space="preserve"> ( mc(500, 3, 4, -1, 1, "EXP(x * sin(y))") ) - 7.39981</f>
        <v>-0.12779635436857806</v>
      </c>
      <c r="H453" cm="1">
        <f t="array" ref="H453" xml:space="preserve"> ( mc(1000, 3, 4, -1, 1, "EXP(x * sin(y))") ) - 7.39981</f>
        <v>-9.3863052652911172E-2</v>
      </c>
      <c r="J453" cm="1">
        <f t="array" ref="J453" xml:space="preserve"> mc(100, -PI()/2,0,-1, 1, "ln(EXP(x * y))")</f>
        <v>0.28415827752500716</v>
      </c>
      <c r="K453" cm="1">
        <f t="array" ref="K453" xml:space="preserve"> mc(500, -PI()/2,0,-1, 1, "ln(EXP(x * y))")</f>
        <v>0.17178037133375901</v>
      </c>
      <c r="L453" cm="1">
        <f t="array" ref="L453" xml:space="preserve"> mc(1000, -PI()/2,0,-1, 1, "ln(EXP(x * y))")</f>
        <v>8.3106573644603055E-2</v>
      </c>
      <c r="N453" cm="1">
        <f t="array" ref="N453" xml:space="preserve"> mc(100, -PI()/2,PI()/2, 0, 1, "sin(cos(x + y))")-1.48235</f>
        <v>-9.6992513742119923E-2</v>
      </c>
      <c r="O453" cm="1">
        <f t="array" ref="O453" xml:space="preserve"> mc(500, -PI()/2,PI()/2, 0, 1, "sin(cos(x + y))")-1.48235</f>
        <v>-1.8162568888636876E-2</v>
      </c>
      <c r="P453" cm="1">
        <f t="array" ref="P453" xml:space="preserve"> mc(1000, -PI()/2,PI()/2, 0, 1, "sin(cos(x + y))")-1.48235</f>
        <v>-4.8994759137566346E-2</v>
      </c>
    </row>
    <row r="454" spans="1:16" x14ac:dyDescent="0.3">
      <c r="A454">
        <v>424</v>
      </c>
      <c r="B454" cm="1">
        <f t="array" ref="B454" xml:space="preserve"> mc(100, 0, 4, 1, 2, "x^2+y^2")-92/3</f>
        <v>1.7126903576568786</v>
      </c>
      <c r="C454" cm="1">
        <f t="array" ref="C454" xml:space="preserve"> mc(500, 0, 4, 1, 2, "x^2+y^2")-92/3</f>
        <v>0.97028616882369789</v>
      </c>
      <c r="D454" cm="1">
        <f t="array" ref="D454" xml:space="preserve"> mc(1000, 0, 4, 1, 2, "x^2+y^2")-92/3</f>
        <v>0.41667670289805869</v>
      </c>
      <c r="F454" cm="1">
        <f t="array" ref="F454" xml:space="preserve"> ( mc(100, 3, 4, -1, 1, "EXP(x * sin(y))") ) - 7.39981</f>
        <v>1.5359100785334565</v>
      </c>
      <c r="G454" cm="1">
        <f t="array" ref="G454" xml:space="preserve"> ( mc(500, 3, 4, -1, 1, "EXP(x * sin(y))") ) - 7.39981</f>
        <v>-1.1958864970298313</v>
      </c>
      <c r="H454" cm="1">
        <f t="array" ref="H454" xml:space="preserve"> ( mc(1000, 3, 4, -1, 1, "EXP(x * sin(y))") ) - 7.39981</f>
        <v>8.7493797444511578E-2</v>
      </c>
      <c r="J454" cm="1">
        <f t="array" ref="J454" xml:space="preserve"> mc(100, -PI()/2,0,-1, 1, "ln(EXP(x * y))")</f>
        <v>-0.23161260512193826</v>
      </c>
      <c r="K454" cm="1">
        <f t="array" ref="K454" xml:space="preserve"> mc(500, -PI()/2,0,-1, 1, "ln(EXP(x * y))")</f>
        <v>-1.1708614483489817E-2</v>
      </c>
      <c r="L454" cm="1">
        <f t="array" ref="L454" xml:space="preserve"> mc(1000, -PI()/2,0,-1, 1, "ln(EXP(x * y))")</f>
        <v>-3.4807960259261523E-3</v>
      </c>
      <c r="N454" cm="1">
        <f t="array" ref="N454" xml:space="preserve"> mc(100, -PI()/2,PI()/2, 0, 1, "sin(cos(x + y))")-1.48235</f>
        <v>4.9685998936828568E-2</v>
      </c>
      <c r="O454" cm="1">
        <f t="array" ref="O454" xml:space="preserve"> mc(500, -PI()/2,PI()/2, 0, 1, "sin(cos(x + y))")-1.48235</f>
        <v>8.8020601936306786E-2</v>
      </c>
      <c r="P454" cm="1">
        <f t="array" ref="P454" xml:space="preserve"> mc(1000, -PI()/2,PI()/2, 0, 1, "sin(cos(x + y))")-1.48235</f>
        <v>-1.7765734189952642E-2</v>
      </c>
    </row>
    <row r="455" spans="1:16" x14ac:dyDescent="0.3">
      <c r="A455">
        <v>425</v>
      </c>
      <c r="B455" cm="1">
        <f t="array" ref="B455" xml:space="preserve"> mc(100, 0, 4, 1, 2, "x^2+y^2")-92/3</f>
        <v>0.41406352664896318</v>
      </c>
      <c r="C455" cm="1">
        <f t="array" ref="C455" xml:space="preserve"> mc(500, 0, 4, 1, 2, "x^2+y^2")-92/3</f>
        <v>1.5174203325424749</v>
      </c>
      <c r="D455" cm="1">
        <f t="array" ref="D455" xml:space="preserve"> mc(1000, 0, 4, 1, 2, "x^2+y^2")-92/3</f>
        <v>0.66595274479314526</v>
      </c>
      <c r="F455" cm="1">
        <f t="array" ref="F455" xml:space="preserve"> ( mc(100, 3, 4, -1, 1, "EXP(x * sin(y))") ) - 7.39981</f>
        <v>0.88506171357368579</v>
      </c>
      <c r="G455" cm="1">
        <f t="array" ref="G455" xml:space="preserve"> ( mc(500, 3, 4, -1, 1, "EXP(x * sin(y))") ) - 7.39981</f>
        <v>0.30890456399066135</v>
      </c>
      <c r="H455" cm="1">
        <f t="array" ref="H455" xml:space="preserve"> ( mc(1000, 3, 4, -1, 1, "EXP(x * sin(y))") ) - 7.39981</f>
        <v>0.51250024995972776</v>
      </c>
      <c r="J455" cm="1">
        <f t="array" ref="J455" xml:space="preserve"> mc(100, -PI()/2,0,-1, 1, "ln(EXP(x * y))")</f>
        <v>-0.10095215740269305</v>
      </c>
      <c r="K455" cm="1">
        <f t="array" ref="K455" xml:space="preserve"> mc(500, -PI()/2,0,-1, 1, "ln(EXP(x * y))")</f>
        <v>2.5482531821269441E-2</v>
      </c>
      <c r="L455" cm="1">
        <f t="array" ref="L455" xml:space="preserve"> mc(1000, -PI()/2,0,-1, 1, "ln(EXP(x * y))")</f>
        <v>1.4458612206585635E-2</v>
      </c>
      <c r="N455" cm="1">
        <f t="array" ref="N455" xml:space="preserve"> mc(100, -PI()/2,PI()/2, 0, 1, "sin(cos(x + y))")-1.48235</f>
        <v>-5.4749850131825983E-2</v>
      </c>
      <c r="O455" cm="1">
        <f t="array" ref="O455" xml:space="preserve"> mc(500, -PI()/2,PI()/2, 0, 1, "sin(cos(x + y))")-1.48235</f>
        <v>-2.0611202269040119E-2</v>
      </c>
      <c r="P455" cm="1">
        <f t="array" ref="P455" xml:space="preserve"> mc(1000, -PI()/2,PI()/2, 0, 1, "sin(cos(x + y))")-1.48235</f>
        <v>8.843234916939835E-3</v>
      </c>
    </row>
    <row r="456" spans="1:16" x14ac:dyDescent="0.3">
      <c r="A456">
        <v>426</v>
      </c>
      <c r="B456" cm="1">
        <f t="array" ref="B456" xml:space="preserve"> mc(100, 0, 4, 1, 2, "x^2+y^2")-92/3</f>
        <v>0.10123185961449366</v>
      </c>
      <c r="C456" cm="1">
        <f t="array" ref="C456" xml:space="preserve"> mc(500, 0, 4, 1, 2, "x^2+y^2")-92/3</f>
        <v>-0.25397047772598214</v>
      </c>
      <c r="D456" cm="1">
        <f t="array" ref="D456" xml:space="preserve"> mc(1000, 0, 4, 1, 2, "x^2+y^2")-92/3</f>
        <v>0.670549548950369</v>
      </c>
      <c r="F456" cm="1">
        <f t="array" ref="F456" xml:space="preserve"> ( mc(100, 3, 4, -1, 1, "EXP(x * sin(y))") ) - 7.39981</f>
        <v>0.15776153567686979</v>
      </c>
      <c r="G456" cm="1">
        <f t="array" ref="G456" xml:space="preserve"> ( mc(500, 3, 4, -1, 1, "EXP(x * sin(y))") ) - 7.39981</f>
        <v>-0.22784751972776363</v>
      </c>
      <c r="H456" cm="1">
        <f t="array" ref="H456" xml:space="preserve"> ( mc(1000, 3, 4, -1, 1, "EXP(x * sin(y))") ) - 7.39981</f>
        <v>-3.4374724261277301E-2</v>
      </c>
      <c r="J456" cm="1">
        <f t="array" ref="J456" xml:space="preserve"> mc(100, -PI()/2,0,-1, 1, "ln(EXP(x * y))")</f>
        <v>0.13108502588180337</v>
      </c>
      <c r="K456" cm="1">
        <f t="array" ref="K456" xml:space="preserve"> mc(500, -PI()/2,0,-1, 1, "ln(EXP(x * y))")</f>
        <v>-1.8125081774638185E-2</v>
      </c>
      <c r="L456" cm="1">
        <f t="array" ref="L456" xml:space="preserve"> mc(1000, -PI()/2,0,-1, 1, "ln(EXP(x * y))")</f>
        <v>9.2957970603188486E-2</v>
      </c>
      <c r="N456" cm="1">
        <f t="array" ref="N456" xml:space="preserve"> mc(100, -PI()/2,PI()/2, 0, 1, "sin(cos(x + y))")-1.48235</f>
        <v>-2.0425195973018395E-2</v>
      </c>
      <c r="O456" cm="1">
        <f t="array" ref="O456" xml:space="preserve"> mc(500, -PI()/2,PI()/2, 0, 1, "sin(cos(x + y))")-1.48235</f>
        <v>6.2656109962801132E-2</v>
      </c>
      <c r="P456" cm="1">
        <f t="array" ref="P456" xml:space="preserve"> mc(1000, -PI()/2,PI()/2, 0, 1, "sin(cos(x + y))")-1.48235</f>
        <v>-2.0990159453068369E-2</v>
      </c>
    </row>
    <row r="457" spans="1:16" x14ac:dyDescent="0.3">
      <c r="A457">
        <v>427</v>
      </c>
      <c r="B457" cm="1">
        <f t="array" ref="B457" xml:space="preserve"> mc(100, 0, 4, 1, 2, "x^2+y^2")-92/3</f>
        <v>-1.1992322939220621</v>
      </c>
      <c r="C457" cm="1">
        <f t="array" ref="C457" xml:space="preserve"> mc(500, 0, 4, 1, 2, "x^2+y^2")-92/3</f>
        <v>-0.48338385785256222</v>
      </c>
      <c r="D457" cm="1">
        <f t="array" ref="D457" xml:space="preserve"> mc(1000, 0, 4, 1, 2, "x^2+y^2")-92/3</f>
        <v>-0.10785811098583054</v>
      </c>
      <c r="F457" cm="1">
        <f t="array" ref="F457" xml:space="preserve"> ( mc(100, 3, 4, -1, 1, "EXP(x * sin(y))") ) - 7.39981</f>
        <v>1.0844875002288905</v>
      </c>
      <c r="G457" cm="1">
        <f t="array" ref="G457" xml:space="preserve"> ( mc(500, 3, 4, -1, 1, "EXP(x * sin(y))") ) - 7.39981</f>
        <v>0.28106606893344033</v>
      </c>
      <c r="H457" cm="1">
        <f t="array" ref="H457" xml:space="preserve"> ( mc(1000, 3, 4, -1, 1, "EXP(x * sin(y))") ) - 7.39981</f>
        <v>-7.96173200613568E-2</v>
      </c>
      <c r="J457" cm="1">
        <f t="array" ref="J457" xml:space="preserve"> mc(100, -PI()/2,0,-1, 1, "ln(EXP(x * y))")</f>
        <v>0.10990186669549892</v>
      </c>
      <c r="K457" cm="1">
        <f t="array" ref="K457" xml:space="preserve"> mc(500, -PI()/2,0,-1, 1, "ln(EXP(x * y))")</f>
        <v>6.1890008613572634E-2</v>
      </c>
      <c r="L457" cm="1">
        <f t="array" ref="L457" xml:space="preserve"> mc(1000, -PI()/2,0,-1, 1, "ln(EXP(x * y))")</f>
        <v>2.2474018463329248E-2</v>
      </c>
      <c r="N457" cm="1">
        <f t="array" ref="N457" xml:space="preserve"> mc(100, -PI()/2,PI()/2, 0, 1, "sin(cos(x + y))")-1.48235</f>
        <v>-0.24196788567489991</v>
      </c>
      <c r="O457" cm="1">
        <f t="array" ref="O457" xml:space="preserve"> mc(500, -PI()/2,PI()/2, 0, 1, "sin(cos(x + y))")-1.48235</f>
        <v>-2.4093268338327256E-2</v>
      </c>
      <c r="P457" cm="1">
        <f t="array" ref="P457" xml:space="preserve"> mc(1000, -PI()/2,PI()/2, 0, 1, "sin(cos(x + y))")-1.48235</f>
        <v>-8.8836766745819196E-2</v>
      </c>
    </row>
    <row r="458" spans="1:16" x14ac:dyDescent="0.3">
      <c r="A458">
        <v>428</v>
      </c>
      <c r="B458" cm="1">
        <f t="array" ref="B458" xml:space="preserve"> mc(100, 0, 4, 1, 2, "x^2+y^2")-92/3</f>
        <v>-4.8049528484675754</v>
      </c>
      <c r="C458" cm="1">
        <f t="array" ref="C458" xml:space="preserve"> mc(500, 0, 4, 1, 2, "x^2+y^2")-92/3</f>
        <v>-0.21272711577177006</v>
      </c>
      <c r="D458" cm="1">
        <f t="array" ref="D458" xml:space="preserve"> mc(1000, 0, 4, 1, 2, "x^2+y^2")-92/3</f>
        <v>-0.17918189121822437</v>
      </c>
      <c r="F458" cm="1">
        <f t="array" ref="F458" xml:space="preserve"> ( mc(100, 3, 4, -1, 1, "EXP(x * sin(y))") ) - 7.39981</f>
        <v>-0.96030049602613765</v>
      </c>
      <c r="G458" cm="1">
        <f t="array" ref="G458" xml:space="preserve"> ( mc(500, 3, 4, -1, 1, "EXP(x * sin(y))") ) - 7.39981</f>
        <v>0.80109644717663997</v>
      </c>
      <c r="H458" cm="1">
        <f t="array" ref="H458" xml:space="preserve"> ( mc(1000, 3, 4, -1, 1, "EXP(x * sin(y))") ) - 7.39981</f>
        <v>-0.4809880218567697</v>
      </c>
      <c r="J458" cm="1">
        <f t="array" ref="J458" xml:space="preserve"> mc(100, -PI()/2,0,-1, 1, "ln(EXP(x * y))")</f>
        <v>-2.0609229170706529E-2</v>
      </c>
      <c r="K458" cm="1">
        <f t="array" ref="K458" xml:space="preserve"> mc(500, -PI()/2,0,-1, 1, "ln(EXP(x * y))")</f>
        <v>4.5126699381838838E-2</v>
      </c>
      <c r="L458" cm="1">
        <f t="array" ref="L458" xml:space="preserve"> mc(1000, -PI()/2,0,-1, 1, "ln(EXP(x * y))")</f>
        <v>-6.1714146378860626E-3</v>
      </c>
      <c r="N458" cm="1">
        <f t="array" ref="N458" xml:space="preserve"> mc(100, -PI()/2,PI()/2, 0, 1, "sin(cos(x + y))")-1.48235</f>
        <v>-6.2732244533078907E-2</v>
      </c>
      <c r="O458" cm="1">
        <f t="array" ref="O458" xml:space="preserve"> mc(500, -PI()/2,PI()/2, 0, 1, "sin(cos(x + y))")-1.48235</f>
        <v>-1.5596899204689318E-2</v>
      </c>
      <c r="P458" cm="1">
        <f t="array" ref="P458" xml:space="preserve"> mc(1000, -PI()/2,PI()/2, 0, 1, "sin(cos(x + y))")-1.48235</f>
        <v>-8.1315962619315396E-2</v>
      </c>
    </row>
    <row r="459" spans="1:16" x14ac:dyDescent="0.3">
      <c r="A459">
        <v>429</v>
      </c>
      <c r="B459" cm="1">
        <f t="array" ref="B459" xml:space="preserve"> mc(100, 0, 4, 1, 2, "x^2+y^2")-92/3</f>
        <v>1.276924826325331</v>
      </c>
      <c r="C459" cm="1">
        <f t="array" ref="C459" xml:space="preserve"> mc(500, 0, 4, 1, 2, "x^2+y^2")-92/3</f>
        <v>-1.1702899811888443</v>
      </c>
      <c r="D459" cm="1">
        <f t="array" ref="D459" xml:space="preserve"> mc(1000, 0, 4, 1, 2, "x^2+y^2")-92/3</f>
        <v>0.5656026683005102</v>
      </c>
      <c r="F459" cm="1">
        <f t="array" ref="F459" xml:space="preserve"> ( mc(100, 3, 4, -1, 1, "EXP(x * sin(y))") ) - 7.39981</f>
        <v>0.81631749342075466</v>
      </c>
      <c r="G459" cm="1">
        <f t="array" ref="G459" xml:space="preserve"> ( mc(500, 3, 4, -1, 1, "EXP(x * sin(y))") ) - 7.39981</f>
        <v>0.26364589657784609</v>
      </c>
      <c r="H459" cm="1">
        <f t="array" ref="H459" xml:space="preserve"> ( mc(1000, 3, 4, -1, 1, "EXP(x * sin(y))") ) - 7.39981</f>
        <v>-0.53774592112504838</v>
      </c>
      <c r="J459" cm="1">
        <f t="array" ref="J459" xml:space="preserve"> mc(100, -PI()/2,0,-1, 1, "ln(EXP(x * y))")</f>
        <v>-6.5933072189625574E-2</v>
      </c>
      <c r="K459" cm="1">
        <f t="array" ref="K459" xml:space="preserve"> mc(500, -PI()/2,0,-1, 1, "ln(EXP(x * y))")</f>
        <v>1.539818594447411E-2</v>
      </c>
      <c r="L459" cm="1">
        <f t="array" ref="L459" xml:space="preserve"> mc(1000, -PI()/2,0,-1, 1, "ln(EXP(x * y))")</f>
        <v>-3.4450201000946414E-3</v>
      </c>
      <c r="N459" cm="1">
        <f t="array" ref="N459" xml:space="preserve"> mc(100, -PI()/2,PI()/2, 0, 1, "sin(cos(x + y))")-1.48235</f>
        <v>0.20160294416894264</v>
      </c>
      <c r="O459" cm="1">
        <f t="array" ref="O459" xml:space="preserve"> mc(500, -PI()/2,PI()/2, 0, 1, "sin(cos(x + y))")-1.48235</f>
        <v>-3.0397445617527108E-3</v>
      </c>
      <c r="P459" cm="1">
        <f t="array" ref="P459" xml:space="preserve"> mc(1000, -PI()/2,PI()/2, 0, 1, "sin(cos(x + y))")-1.48235</f>
        <v>-3.9548850022154136E-2</v>
      </c>
    </row>
    <row r="460" spans="1:16" x14ac:dyDescent="0.3">
      <c r="A460">
        <v>430</v>
      </c>
      <c r="B460" cm="1">
        <f t="array" ref="B460" xml:space="preserve"> mc(100, 0, 4, 1, 2, "x^2+y^2")-92/3</f>
        <v>2.6771138212262748</v>
      </c>
      <c r="C460" cm="1">
        <f t="array" ref="C460" xml:space="preserve"> mc(500, 0, 4, 1, 2, "x^2+y^2")-92/3</f>
        <v>1.1956136778215161</v>
      </c>
      <c r="D460" cm="1">
        <f t="array" ref="D460" xml:space="preserve"> mc(1000, 0, 4, 1, 2, "x^2+y^2")-92/3</f>
        <v>-0.24535253387997358</v>
      </c>
      <c r="F460" cm="1">
        <f t="array" ref="F460" xml:space="preserve"> ( mc(100, 3, 4, -1, 1, "EXP(x * sin(y))") ) - 7.39981</f>
        <v>-1.4166117598851411</v>
      </c>
      <c r="G460" cm="1">
        <f t="array" ref="G460" xml:space="preserve"> ( mc(500, 3, 4, -1, 1, "EXP(x * sin(y))") ) - 7.39981</f>
        <v>0.40035225037184485</v>
      </c>
      <c r="H460" cm="1">
        <f t="array" ref="H460" xml:space="preserve"> ( mc(1000, 3, 4, -1, 1, "EXP(x * sin(y))") ) - 7.39981</f>
        <v>-0.21537126041423171</v>
      </c>
      <c r="J460" cm="1">
        <f t="array" ref="J460" xml:space="preserve"> mc(100, -PI()/2,0,-1, 1, "ln(EXP(x * y))")</f>
        <v>0.19395084455523878</v>
      </c>
      <c r="K460" cm="1">
        <f t="array" ref="K460" xml:space="preserve"> mc(500, -PI()/2,0,-1, 1, "ln(EXP(x * y))")</f>
        <v>-3.3120898964493016E-2</v>
      </c>
      <c r="L460" cm="1">
        <f t="array" ref="L460" xml:space="preserve"> mc(1000, -PI()/2,0,-1, 1, "ln(EXP(x * y))")</f>
        <v>-6.6701368826803404E-3</v>
      </c>
      <c r="N460" cm="1">
        <f t="array" ref="N460" xml:space="preserve"> mc(100, -PI()/2,PI()/2, 0, 1, "sin(cos(x + y))")-1.48235</f>
        <v>0.16304124232461992</v>
      </c>
      <c r="O460" cm="1">
        <f t="array" ref="O460" xml:space="preserve"> mc(500, -PI()/2,PI()/2, 0, 1, "sin(cos(x + y))")-1.48235</f>
        <v>-6.3541240097067853E-2</v>
      </c>
      <c r="P460" cm="1">
        <f t="array" ref="P460" xml:space="preserve"> mc(1000, -PI()/2,PI()/2, 0, 1, "sin(cos(x + y))")-1.48235</f>
        <v>-3.6558909377317761E-3</v>
      </c>
    </row>
    <row r="461" spans="1:16" x14ac:dyDescent="0.3">
      <c r="A461">
        <v>431</v>
      </c>
      <c r="B461" cm="1">
        <f t="array" ref="B461" xml:space="preserve"> mc(100, 0, 4, 1, 2, "x^2+y^2")-92/3</f>
        <v>-1.2313309993001234</v>
      </c>
      <c r="C461" cm="1">
        <f t="array" ref="C461" xml:space="preserve"> mc(500, 0, 4, 1, 2, "x^2+y^2")-92/3</f>
        <v>0.18322387397687834</v>
      </c>
      <c r="D461" cm="1">
        <f t="array" ref="D461" xml:space="preserve"> mc(1000, 0, 4, 1, 2, "x^2+y^2")-92/3</f>
        <v>-0.62855935844077848</v>
      </c>
      <c r="F461" cm="1">
        <f t="array" ref="F461" xml:space="preserve"> ( mc(100, 3, 4, -1, 1, "EXP(x * sin(y))") ) - 7.39981</f>
        <v>-1.0445692046081314</v>
      </c>
      <c r="G461" cm="1">
        <f t="array" ref="G461" xml:space="preserve"> ( mc(500, 3, 4, -1, 1, "EXP(x * sin(y))") ) - 7.39981</f>
        <v>-0.74090902471327968</v>
      </c>
      <c r="H461" cm="1">
        <f t="array" ref="H461" xml:space="preserve"> ( mc(1000, 3, 4, -1, 1, "EXP(x * sin(y))") ) - 7.39981</f>
        <v>-0.19646576779515801</v>
      </c>
      <c r="J461" cm="1">
        <f t="array" ref="J461" xml:space="preserve"> mc(100, -PI()/2,0,-1, 1, "ln(EXP(x * y))")</f>
        <v>0.11209569904382373</v>
      </c>
      <c r="K461" cm="1">
        <f t="array" ref="K461" xml:space="preserve"> mc(500, -PI()/2,0,-1, 1, "ln(EXP(x * y))")</f>
        <v>-0.18290042461366185</v>
      </c>
      <c r="L461" cm="1">
        <f t="array" ref="L461" xml:space="preserve"> mc(1000, -PI()/2,0,-1, 1, "ln(EXP(x * y))")</f>
        <v>-2.6270258137718116E-2</v>
      </c>
      <c r="N461" cm="1">
        <f t="array" ref="N461" xml:space="preserve"> mc(100, -PI()/2,PI()/2, 0, 1, "sin(cos(x + y))")-1.48235</f>
        <v>-0.1093422814503946</v>
      </c>
      <c r="O461" cm="1">
        <f t="array" ref="O461" xml:space="preserve"> mc(500, -PI()/2,PI()/2, 0, 1, "sin(cos(x + y))")-1.48235</f>
        <v>-5.9374562839840772E-2</v>
      </c>
      <c r="P461" cm="1">
        <f t="array" ref="P461" xml:space="preserve"> mc(1000, -PI()/2,PI()/2, 0, 1, "sin(cos(x + y))")-1.48235</f>
        <v>-5.3462247079033576E-2</v>
      </c>
    </row>
    <row r="462" spans="1:16" x14ac:dyDescent="0.3">
      <c r="A462">
        <v>432</v>
      </c>
      <c r="B462" cm="1">
        <f t="array" ref="B462" xml:space="preserve"> mc(100, 0, 4, 1, 2, "x^2+y^2")-92/3</f>
        <v>4.6775714467724576</v>
      </c>
      <c r="C462" cm="1">
        <f t="array" ref="C462" xml:space="preserve"> mc(500, 0, 4, 1, 2, "x^2+y^2")-92/3</f>
        <v>1.5762715678827739</v>
      </c>
      <c r="D462" cm="1">
        <f t="array" ref="D462" xml:space="preserve"> mc(1000, 0, 4, 1, 2, "x^2+y^2")-92/3</f>
        <v>-8.0369535472698317E-2</v>
      </c>
      <c r="F462" cm="1">
        <f t="array" ref="F462" xml:space="preserve"> ( mc(100, 3, 4, -1, 1, "EXP(x * sin(y))") ) - 7.39981</f>
        <v>-0.22449458535522293</v>
      </c>
      <c r="G462" cm="1">
        <f t="array" ref="G462" xml:space="preserve"> ( mc(500, 3, 4, -1, 1, "EXP(x * sin(y))") ) - 7.39981</f>
        <v>-0.33906509859531475</v>
      </c>
      <c r="H462" cm="1">
        <f t="array" ref="H462" xml:space="preserve"> ( mc(1000, 3, 4, -1, 1, "EXP(x * sin(y))") ) - 7.39981</f>
        <v>-0.32251619625487482</v>
      </c>
      <c r="J462" cm="1">
        <f t="array" ref="J462" xml:space="preserve"> mc(100, -PI()/2,0,-1, 1, "ln(EXP(x * y))")</f>
        <v>-0.1770924148008958</v>
      </c>
      <c r="K462" cm="1">
        <f t="array" ref="K462" xml:space="preserve"> mc(500, -PI()/2,0,-1, 1, "ln(EXP(x * y))")</f>
        <v>-5.7632090704205621E-2</v>
      </c>
      <c r="L462" cm="1">
        <f t="array" ref="L462" xml:space="preserve"> mc(1000, -PI()/2,0,-1, 1, "ln(EXP(x * y))")</f>
        <v>-1.9002773431460642E-2</v>
      </c>
      <c r="N462" cm="1">
        <f t="array" ref="N462" xml:space="preserve"> mc(100, -PI()/2,PI()/2, 0, 1, "sin(cos(x + y))")-1.48235</f>
        <v>-0.15999632672983122</v>
      </c>
      <c r="O462" cm="1">
        <f t="array" ref="O462" xml:space="preserve"> mc(500, -PI()/2,PI()/2, 0, 1, "sin(cos(x + y))")-1.48235</f>
        <v>-2.4289161109056545E-2</v>
      </c>
      <c r="P462" cm="1">
        <f t="array" ref="P462" xml:space="preserve"> mc(1000, -PI()/2,PI()/2, 0, 1, "sin(cos(x + y))")-1.48235</f>
        <v>6.8117600801063771E-2</v>
      </c>
    </row>
    <row r="463" spans="1:16" x14ac:dyDescent="0.3">
      <c r="A463">
        <v>433</v>
      </c>
      <c r="B463" cm="1">
        <f t="array" ref="B463" xml:space="preserve"> mc(100, 0, 4, 1, 2, "x^2+y^2")-92/3</f>
        <v>1.9431015084616625</v>
      </c>
      <c r="C463" cm="1">
        <f t="array" ref="C463" xml:space="preserve"> mc(500, 0, 4, 1, 2, "x^2+y^2")-92/3</f>
        <v>-0.32569915874177013</v>
      </c>
      <c r="D463" cm="1">
        <f t="array" ref="D463" xml:space="preserve"> mc(1000, 0, 4, 1, 2, "x^2+y^2")-92/3</f>
        <v>-0.23364452738550412</v>
      </c>
      <c r="F463" cm="1">
        <f t="array" ref="F463" xml:space="preserve"> ( mc(100, 3, 4, -1, 1, "EXP(x * sin(y))") ) - 7.39981</f>
        <v>-0.11699985810526314</v>
      </c>
      <c r="G463" cm="1">
        <f t="array" ref="G463" xml:space="preserve"> ( mc(500, 3, 4, -1, 1, "EXP(x * sin(y))") ) - 7.39981</f>
        <v>9.2683322037032667E-3</v>
      </c>
      <c r="H463" cm="1">
        <f t="array" ref="H463" xml:space="preserve"> ( mc(1000, 3, 4, -1, 1, "EXP(x * sin(y))") ) - 7.39981</f>
        <v>-0.40856961122984803</v>
      </c>
      <c r="J463" cm="1">
        <f t="array" ref="J463" xml:space="preserve"> mc(100, -PI()/2,0,-1, 1, "ln(EXP(x * y))")</f>
        <v>0.21769070522013367</v>
      </c>
      <c r="K463" cm="1">
        <f t="array" ref="K463" xml:space="preserve"> mc(500, -PI()/2,0,-1, 1, "ln(EXP(x * y))")</f>
        <v>2.6995247866760434E-2</v>
      </c>
      <c r="L463" cm="1">
        <f t="array" ref="L463" xml:space="preserve"> mc(1000, -PI()/2,0,-1, 1, "ln(EXP(x * y))")</f>
        <v>-8.6145904775211932E-2</v>
      </c>
      <c r="N463" cm="1">
        <f t="array" ref="N463" xml:space="preserve"> mc(100, -PI()/2,PI()/2, 0, 1, "sin(cos(x + y))")-1.48235</f>
        <v>5.2587102400447616E-2</v>
      </c>
      <c r="O463" cm="1">
        <f t="array" ref="O463" xml:space="preserve"> mc(500, -PI()/2,PI()/2, 0, 1, "sin(cos(x + y))")-1.48235</f>
        <v>6.3391798898716711E-2</v>
      </c>
      <c r="P463" cm="1">
        <f t="array" ref="P463" xml:space="preserve"> mc(1000, -PI()/2,PI()/2, 0, 1, "sin(cos(x + y))")-1.48235</f>
        <v>-2.456626042789245E-2</v>
      </c>
    </row>
    <row r="464" spans="1:16" x14ac:dyDescent="0.3">
      <c r="A464">
        <v>434</v>
      </c>
      <c r="B464" cm="1">
        <f t="array" ref="B464" xml:space="preserve"> mc(100, 0, 4, 1, 2, "x^2+y^2")-92/3</f>
        <v>-1.4166432962142963</v>
      </c>
      <c r="C464" cm="1">
        <f t="array" ref="C464" xml:space="preserve"> mc(500, 0, 4, 1, 2, "x^2+y^2")-92/3</f>
        <v>0.37257444088903569</v>
      </c>
      <c r="D464" cm="1">
        <f t="array" ref="D464" xml:space="preserve"> mc(1000, 0, 4, 1, 2, "x^2+y^2")-92/3</f>
        <v>0.17736954999374532</v>
      </c>
      <c r="F464" cm="1">
        <f t="array" ref="F464" xml:space="preserve"> ( mc(100, 3, 4, -1, 1, "EXP(x * sin(y))") ) - 7.39981</f>
        <v>0.13011118636141727</v>
      </c>
      <c r="G464" cm="1">
        <f t="array" ref="G464" xml:space="preserve"> ( mc(500, 3, 4, -1, 1, "EXP(x * sin(y))") ) - 7.39981</f>
        <v>-0.27713060929577349</v>
      </c>
      <c r="H464" cm="1">
        <f t="array" ref="H464" xml:space="preserve"> ( mc(1000, 3, 4, -1, 1, "EXP(x * sin(y))") ) - 7.39981</f>
        <v>-0.18595766950302117</v>
      </c>
      <c r="J464" cm="1">
        <f t="array" ref="J464" xml:space="preserve"> mc(100, -PI()/2,0,-1, 1, "ln(EXP(x * y))")</f>
        <v>-0.23287927367904163</v>
      </c>
      <c r="K464" cm="1">
        <f t="array" ref="K464" xml:space="preserve"> mc(500, -PI()/2,0,-1, 1, "ln(EXP(x * y))")</f>
        <v>2.7058125307204271E-2</v>
      </c>
      <c r="L464" cm="1">
        <f t="array" ref="L464" xml:space="preserve"> mc(1000, -PI()/2,0,-1, 1, "ln(EXP(x * y))")</f>
        <v>-7.2641295604560965E-2</v>
      </c>
      <c r="N464" cm="1">
        <f t="array" ref="N464" xml:space="preserve"> mc(100, -PI()/2,PI()/2, 0, 1, "sin(cos(x + y))")-1.48235</f>
        <v>0.10974534046073692</v>
      </c>
      <c r="O464" cm="1">
        <f t="array" ref="O464" xml:space="preserve"> mc(500, -PI()/2,PI()/2, 0, 1, "sin(cos(x + y))")-1.48235</f>
        <v>6.933580502692438E-3</v>
      </c>
      <c r="P464" cm="1">
        <f t="array" ref="P464" xml:space="preserve"> mc(1000, -PI()/2,PI()/2, 0, 1, "sin(cos(x + y))")-1.48235</f>
        <v>6.2312269066922665E-2</v>
      </c>
    </row>
    <row r="465" spans="1:16" x14ac:dyDescent="0.3">
      <c r="A465">
        <v>435</v>
      </c>
      <c r="B465" cm="1">
        <f t="array" ref="B465" xml:space="preserve"> mc(100, 0, 4, 1, 2, "x^2+y^2")-92/3</f>
        <v>0.37230357649719892</v>
      </c>
      <c r="C465" cm="1">
        <f t="array" ref="C465" xml:space="preserve"> mc(500, 0, 4, 1, 2, "x^2+y^2")-92/3</f>
        <v>5.459070986248804E-2</v>
      </c>
      <c r="D465" cm="1">
        <f t="array" ref="D465" xml:space="preserve"> mc(1000, 0, 4, 1, 2, "x^2+y^2")-92/3</f>
        <v>-1.0927099929202697</v>
      </c>
      <c r="F465" cm="1">
        <f t="array" ref="F465" xml:space="preserve"> ( mc(100, 3, 4, -1, 1, "EXP(x * sin(y))") ) - 7.39981</f>
        <v>0.6464295823225541</v>
      </c>
      <c r="G465" cm="1">
        <f t="array" ref="G465" xml:space="preserve"> ( mc(500, 3, 4, -1, 1, "EXP(x * sin(y))") ) - 7.39981</f>
        <v>-0.19330016564256436</v>
      </c>
      <c r="H465" cm="1">
        <f t="array" ref="H465" xml:space="preserve"> ( mc(1000, 3, 4, -1, 1, "EXP(x * sin(y))") ) - 7.39981</f>
        <v>-3.4851945128125728E-2</v>
      </c>
      <c r="J465" cm="1">
        <f t="array" ref="J465" xml:space="preserve"> mc(100, -PI()/2,0,-1, 1, "ln(EXP(x * y))")</f>
        <v>0.21744192390460493</v>
      </c>
      <c r="K465" cm="1">
        <f t="array" ref="K465" xml:space="preserve"> mc(500, -PI()/2,0,-1, 1, "ln(EXP(x * y))")</f>
        <v>-0.1562646001026568</v>
      </c>
      <c r="L465" cm="1">
        <f t="array" ref="L465" xml:space="preserve"> mc(1000, -PI()/2,0,-1, 1, "ln(EXP(x * y))")</f>
        <v>8.2145144995800293E-2</v>
      </c>
      <c r="N465" cm="1">
        <f t="array" ref="N465" xml:space="preserve"> mc(100, -PI()/2,PI()/2, 0, 1, "sin(cos(x + y))")-1.48235</f>
        <v>0.23973900920775426</v>
      </c>
      <c r="O465" cm="1">
        <f t="array" ref="O465" xml:space="preserve"> mc(500, -PI()/2,PI()/2, 0, 1, "sin(cos(x + y))")-1.48235</f>
        <v>0.12577793840176965</v>
      </c>
      <c r="P465" cm="1">
        <f t="array" ref="P465" xml:space="preserve"> mc(1000, -PI()/2,PI()/2, 0, 1, "sin(cos(x + y))")-1.48235</f>
        <v>1.0859484857617119E-3</v>
      </c>
    </row>
    <row r="466" spans="1:16" x14ac:dyDescent="0.3">
      <c r="A466">
        <v>436</v>
      </c>
      <c r="B466" cm="1">
        <f t="array" ref="B466" xml:space="preserve"> mc(100, 0, 4, 1, 2, "x^2+y^2")-92/3</f>
        <v>0.33859311980848261</v>
      </c>
      <c r="C466" cm="1">
        <f t="array" ref="C466" xml:space="preserve"> mc(500, 0, 4, 1, 2, "x^2+y^2")-92/3</f>
        <v>1.0987942627451339</v>
      </c>
      <c r="D466" cm="1">
        <f t="array" ref="D466" xml:space="preserve"> mc(1000, 0, 4, 1, 2, "x^2+y^2")-92/3</f>
        <v>0.39521799849956452</v>
      </c>
      <c r="F466" cm="1">
        <f t="array" ref="F466" xml:space="preserve"> ( mc(100, 3, 4, -1, 1, "EXP(x * sin(y))") ) - 7.39981</f>
        <v>1.5768658758027208</v>
      </c>
      <c r="G466" cm="1">
        <f t="array" ref="G466" xml:space="preserve"> ( mc(500, 3, 4, -1, 1, "EXP(x * sin(y))") ) - 7.39981</f>
        <v>-0.34351523483216795</v>
      </c>
      <c r="H466" cm="1">
        <f t="array" ref="H466" xml:space="preserve"> ( mc(1000, 3, 4, -1, 1, "EXP(x * sin(y))") ) - 7.39981</f>
        <v>0.26675237960717268</v>
      </c>
      <c r="J466" cm="1">
        <f t="array" ref="J466" xml:space="preserve"> mc(100, -PI()/2,0,-1, 1, "ln(EXP(x * y))")</f>
        <v>7.4703870408648274E-2</v>
      </c>
      <c r="K466" cm="1">
        <f t="array" ref="K466" xml:space="preserve"> mc(500, -PI()/2,0,-1, 1, "ln(EXP(x * y))")</f>
        <v>-1.9214100456404135E-2</v>
      </c>
      <c r="L466" cm="1">
        <f t="array" ref="L466" xml:space="preserve"> mc(1000, -PI()/2,0,-1, 1, "ln(EXP(x * y))")</f>
        <v>7.0709720662794684E-2</v>
      </c>
      <c r="N466" cm="1">
        <f t="array" ref="N466" xml:space="preserve"> mc(100, -PI()/2,PI()/2, 0, 1, "sin(cos(x + y))")-1.48235</f>
        <v>0.24322939120680886</v>
      </c>
      <c r="O466" cm="1">
        <f t="array" ref="O466" xml:space="preserve"> mc(500, -PI()/2,PI()/2, 0, 1, "sin(cos(x + y))")-1.48235</f>
        <v>6.1957343283714605E-2</v>
      </c>
      <c r="P466" cm="1">
        <f t="array" ref="P466" xml:space="preserve"> mc(1000, -PI()/2,PI()/2, 0, 1, "sin(cos(x + y))")-1.48235</f>
        <v>1.6349744712286451E-2</v>
      </c>
    </row>
    <row r="467" spans="1:16" x14ac:dyDescent="0.3">
      <c r="A467">
        <v>437</v>
      </c>
      <c r="B467" cm="1">
        <f t="array" ref="B467" xml:space="preserve"> mc(100, 0, 4, 1, 2, "x^2+y^2")-92/3</f>
        <v>0.48942816858611238</v>
      </c>
      <c r="C467" cm="1">
        <f t="array" ref="C467" xml:space="preserve"> mc(500, 0, 4, 1, 2, "x^2+y^2")-92/3</f>
        <v>-1.073772273372434</v>
      </c>
      <c r="D467" cm="1">
        <f t="array" ref="D467" xml:space="preserve"> mc(1000, 0, 4, 1, 2, "x^2+y^2")-92/3</f>
        <v>-0.3071780428790305</v>
      </c>
      <c r="F467" cm="1">
        <f t="array" ref="F467" xml:space="preserve"> ( mc(100, 3, 4, -1, 1, "EXP(x * sin(y))") ) - 7.39981</f>
        <v>2.2833805475995081</v>
      </c>
      <c r="G467" cm="1">
        <f t="array" ref="G467" xml:space="preserve"> ( mc(500, 3, 4, -1, 1, "EXP(x * sin(y))") ) - 7.39981</f>
        <v>0.40285052068758365</v>
      </c>
      <c r="H467" cm="1">
        <f t="array" ref="H467" xml:space="preserve"> ( mc(1000, 3, 4, -1, 1, "EXP(x * sin(y))") ) - 7.39981</f>
        <v>-0.17194622276163329</v>
      </c>
      <c r="J467" cm="1">
        <f t="array" ref="J467" xml:space="preserve"> mc(100, -PI()/2,0,-1, 1, "ln(EXP(x * y))")</f>
        <v>0.18236199672758252</v>
      </c>
      <c r="K467" cm="1">
        <f t="array" ref="K467" xml:space="preserve"> mc(500, -PI()/2,0,-1, 1, "ln(EXP(x * y))")</f>
        <v>3.8388143130709963E-2</v>
      </c>
      <c r="L467" cm="1">
        <f t="array" ref="L467" xml:space="preserve"> mc(1000, -PI()/2,0,-1, 1, "ln(EXP(x * y))")</f>
        <v>7.2557121723803839E-2</v>
      </c>
      <c r="N467" cm="1">
        <f t="array" ref="N467" xml:space="preserve"> mc(100, -PI()/2,PI()/2, 0, 1, "sin(cos(x + y))")-1.48235</f>
        <v>-4.8519614787811971E-3</v>
      </c>
      <c r="O467" cm="1">
        <f t="array" ref="O467" xml:space="preserve"> mc(500, -PI()/2,PI()/2, 0, 1, "sin(cos(x + y))")-1.48235</f>
        <v>-4.3820868356773568E-2</v>
      </c>
      <c r="P467" cm="1">
        <f t="array" ref="P467" xml:space="preserve"> mc(1000, -PI()/2,PI()/2, 0, 1, "sin(cos(x + y))")-1.48235</f>
        <v>3.0835026880882133E-2</v>
      </c>
    </row>
    <row r="468" spans="1:16" x14ac:dyDescent="0.3">
      <c r="A468">
        <v>438</v>
      </c>
      <c r="B468" cm="1">
        <f t="array" ref="B468" xml:space="preserve"> mc(100, 0, 4, 1, 2, "x^2+y^2")-92/3</f>
        <v>0.56468696962470588</v>
      </c>
      <c r="C468" cm="1">
        <f t="array" ref="C468" xml:space="preserve"> mc(500, 0, 4, 1, 2, "x^2+y^2")-92/3</f>
        <v>-0.56966292746538016</v>
      </c>
      <c r="D468" cm="1">
        <f t="array" ref="D468" xml:space="preserve"> mc(1000, 0, 4, 1, 2, "x^2+y^2")-92/3</f>
        <v>-6.9724638165080677E-2</v>
      </c>
      <c r="F468" cm="1">
        <f t="array" ref="F468" xml:space="preserve"> ( mc(100, 3, 4, -1, 1, "EXP(x * sin(y))") ) - 7.39981</f>
        <v>7.718866428181137E-2</v>
      </c>
      <c r="G468" cm="1">
        <f t="array" ref="G468" xml:space="preserve"> ( mc(500, 3, 4, -1, 1, "EXP(x * sin(y))") ) - 7.39981</f>
        <v>0.38013491407774591</v>
      </c>
      <c r="H468" cm="1">
        <f t="array" ref="H468" xml:space="preserve"> ( mc(1000, 3, 4, -1, 1, "EXP(x * sin(y))") ) - 7.39981</f>
        <v>-0.10126306128607876</v>
      </c>
      <c r="J468" cm="1">
        <f t="array" ref="J468" xml:space="preserve"> mc(100, -PI()/2,0,-1, 1, "ln(EXP(x * y))")</f>
        <v>-0.1763746247852391</v>
      </c>
      <c r="K468" cm="1">
        <f t="array" ref="K468" xml:space="preserve"> mc(500, -PI()/2,0,-1, 1, "ln(EXP(x * y))")</f>
        <v>-9.0584366188126195E-2</v>
      </c>
      <c r="L468" cm="1">
        <f t="array" ref="L468" xml:space="preserve"> mc(1000, -PI()/2,0,-1, 1, "ln(EXP(x * y))")</f>
        <v>1.839697655439658E-2</v>
      </c>
      <c r="N468" cm="1">
        <f t="array" ref="N468" xml:space="preserve"> mc(100, -PI()/2,PI()/2, 0, 1, "sin(cos(x + y))")-1.48235</f>
        <v>1.9656667442292219E-2</v>
      </c>
      <c r="O468" cm="1">
        <f t="array" ref="O468" xml:space="preserve"> mc(500, -PI()/2,PI()/2, 0, 1, "sin(cos(x + y))")-1.48235</f>
        <v>-8.6118734414071696E-2</v>
      </c>
      <c r="P468" cm="1">
        <f t="array" ref="P468" xml:space="preserve"> mc(1000, -PI()/2,PI()/2, 0, 1, "sin(cos(x + y))")-1.48235</f>
        <v>3.5923429924974659E-2</v>
      </c>
    </row>
    <row r="469" spans="1:16" x14ac:dyDescent="0.3">
      <c r="A469">
        <v>439</v>
      </c>
      <c r="B469" cm="1">
        <f t="array" ref="B469" xml:space="preserve"> mc(100, 0, 4, 1, 2, "x^2+y^2")-92/3</f>
        <v>0.25372629012692727</v>
      </c>
      <c r="C469" cm="1">
        <f t="array" ref="C469" xml:space="preserve"> mc(500, 0, 4, 1, 2, "x^2+y^2")-92/3</f>
        <v>-0.64460590402243056</v>
      </c>
      <c r="D469" cm="1">
        <f t="array" ref="D469" xml:space="preserve"> mc(1000, 0, 4, 1, 2, "x^2+y^2")-92/3</f>
        <v>-0.89114715015462309</v>
      </c>
      <c r="F469" cm="1">
        <f t="array" ref="F469" xml:space="preserve"> ( mc(100, 3, 4, -1, 1, "EXP(x * sin(y))") ) - 7.39981</f>
        <v>-1.5007827735003474</v>
      </c>
      <c r="G469" cm="1">
        <f t="array" ref="G469" xml:space="preserve"> ( mc(500, 3, 4, -1, 1, "EXP(x * sin(y))") ) - 7.39981</f>
        <v>0.83177879738028793</v>
      </c>
      <c r="H469" cm="1">
        <f t="array" ref="H469" xml:space="preserve"> ( mc(1000, 3, 4, -1, 1, "EXP(x * sin(y))") ) - 7.39981</f>
        <v>-0.58866889539384815</v>
      </c>
      <c r="J469" cm="1">
        <f t="array" ref="J469" xml:space="preserve"> mc(100, -PI()/2,0,-1, 1, "ln(EXP(x * y))")</f>
        <v>-0.14639827391540489</v>
      </c>
      <c r="K469" cm="1">
        <f t="array" ref="K469" xml:space="preserve"> mc(500, -PI()/2,0,-1, 1, "ln(EXP(x * y))")</f>
        <v>1.8323583849159077E-2</v>
      </c>
      <c r="L469" cm="1">
        <f t="array" ref="L469" xml:space="preserve"> mc(1000, -PI()/2,0,-1, 1, "ln(EXP(x * y))")</f>
        <v>-3.1979766478953543E-2</v>
      </c>
      <c r="N469" cm="1">
        <f t="array" ref="N469" xml:space="preserve"> mc(100, -PI()/2,PI()/2, 0, 1, "sin(cos(x + y))")-1.48235</f>
        <v>2.3637787838551194E-2</v>
      </c>
      <c r="O469" cm="1">
        <f t="array" ref="O469" xml:space="preserve"> mc(500, -PI()/2,PI()/2, 0, 1, "sin(cos(x + y))")-1.48235</f>
        <v>-6.9093589015937873E-2</v>
      </c>
      <c r="P469" cm="1">
        <f t="array" ref="P469" xml:space="preserve"> mc(1000, -PI()/2,PI()/2, 0, 1, "sin(cos(x + y))")-1.48235</f>
        <v>-0.13804397637060095</v>
      </c>
    </row>
    <row r="470" spans="1:16" x14ac:dyDescent="0.3">
      <c r="A470">
        <v>440</v>
      </c>
      <c r="B470" cm="1">
        <f t="array" ref="B470" xml:space="preserve"> mc(100, 0, 4, 1, 2, "x^2+y^2")-92/3</f>
        <v>-0.52037777332911261</v>
      </c>
      <c r="C470" cm="1">
        <f t="array" ref="C470" xml:space="preserve"> mc(500, 0, 4, 1, 2, "x^2+y^2")-92/3</f>
        <v>-2.4901300212821553E-2</v>
      </c>
      <c r="D470" cm="1">
        <f t="array" ref="D470" xml:space="preserve"> mc(1000, 0, 4, 1, 2, "x^2+y^2")-92/3</f>
        <v>-1.1128206199294191</v>
      </c>
      <c r="F470" cm="1">
        <f t="array" ref="F470" xml:space="preserve"> ( mc(100, 3, 4, -1, 1, "EXP(x * sin(y))") ) - 7.39981</f>
        <v>0.91056280546400004</v>
      </c>
      <c r="G470" cm="1">
        <f t="array" ref="G470" xml:space="preserve"> ( mc(500, 3, 4, -1, 1, "EXP(x * sin(y))") ) - 7.39981</f>
        <v>-3.3025736144471018E-2</v>
      </c>
      <c r="H470" cm="1">
        <f t="array" ref="H470" xml:space="preserve"> ( mc(1000, 3, 4, -1, 1, "EXP(x * sin(y))") ) - 7.39981</f>
        <v>1.4714701020380971E-2</v>
      </c>
      <c r="J470" cm="1">
        <f t="array" ref="J470" xml:space="preserve"> mc(100, -PI()/2,0,-1, 1, "ln(EXP(x * y))")</f>
        <v>-6.448172780775259E-2</v>
      </c>
      <c r="K470" cm="1">
        <f t="array" ref="K470" xml:space="preserve"> mc(500, -PI()/2,0,-1, 1, "ln(EXP(x * y))")</f>
        <v>8.8477739766296665E-2</v>
      </c>
      <c r="L470" cm="1">
        <f t="array" ref="L470" xml:space="preserve"> mc(1000, -PI()/2,0,-1, 1, "ln(EXP(x * y))")</f>
        <v>3.4120283527066878E-2</v>
      </c>
      <c r="N470" cm="1">
        <f t="array" ref="N470" xml:space="preserve"> mc(100, -PI()/2,PI()/2, 0, 1, "sin(cos(x + y))")-1.48235</f>
        <v>-0.26927179249892141</v>
      </c>
      <c r="O470" cm="1">
        <f t="array" ref="O470" xml:space="preserve"> mc(500, -PI()/2,PI()/2, 0, 1, "sin(cos(x + y))")-1.48235</f>
        <v>-1.3086038006832723E-2</v>
      </c>
      <c r="P470" cm="1">
        <f t="array" ref="P470" xml:space="preserve"> mc(1000, -PI()/2,PI()/2, 0, 1, "sin(cos(x + y))")-1.48235</f>
        <v>-4.3722832398623623E-2</v>
      </c>
    </row>
    <row r="471" spans="1:16" x14ac:dyDescent="0.3">
      <c r="A471">
        <v>441</v>
      </c>
      <c r="B471" cm="1">
        <f t="array" ref="B471" xml:space="preserve"> mc(100, 0, 4, 1, 2, "x^2+y^2")-92/3</f>
        <v>3.2888831778465466</v>
      </c>
      <c r="C471" cm="1">
        <f t="array" ref="C471" xml:space="preserve"> mc(500, 0, 4, 1, 2, "x^2+y^2")-92/3</f>
        <v>-0.59292191484576406</v>
      </c>
      <c r="D471" cm="1">
        <f t="array" ref="D471" xml:space="preserve"> mc(1000, 0, 4, 1, 2, "x^2+y^2")-92/3</f>
        <v>0.38176902243490929</v>
      </c>
      <c r="F471" cm="1">
        <f t="array" ref="F471" xml:space="preserve"> ( mc(100, 3, 4, -1, 1, "EXP(x * sin(y))") ) - 7.39981</f>
        <v>1.3582930478464643</v>
      </c>
      <c r="G471" cm="1">
        <f t="array" ref="G471" xml:space="preserve"> ( mc(500, 3, 4, -1, 1, "EXP(x * sin(y))") ) - 7.39981</f>
        <v>-0.20521878031008267</v>
      </c>
      <c r="H471" cm="1">
        <f t="array" ref="H471" xml:space="preserve"> ( mc(1000, 3, 4, -1, 1, "EXP(x * sin(y))") ) - 7.39981</f>
        <v>-0.28615392762024516</v>
      </c>
      <c r="J471" cm="1">
        <f t="array" ref="J471" xml:space="preserve"> mc(100, -PI()/2,0,-1, 1, "ln(EXP(x * y))")</f>
        <v>-0.24813782516036348</v>
      </c>
      <c r="K471" cm="1">
        <f t="array" ref="K471" xml:space="preserve"> mc(500, -PI()/2,0,-1, 1, "ln(EXP(x * y))")</f>
        <v>0.14394846211334042</v>
      </c>
      <c r="L471" cm="1">
        <f t="array" ref="L471" xml:space="preserve"> mc(1000, -PI()/2,0,-1, 1, "ln(EXP(x * y))")</f>
        <v>0.10779747941631632</v>
      </c>
      <c r="N471" cm="1">
        <f t="array" ref="N471" xml:space="preserve"> mc(100, -PI()/2,PI()/2, 0, 1, "sin(cos(x + y))")-1.48235</f>
        <v>9.8601151505173235E-5</v>
      </c>
      <c r="O471" cm="1">
        <f t="array" ref="O471" xml:space="preserve"> mc(500, -PI()/2,PI()/2, 0, 1, "sin(cos(x + y))")-1.48235</f>
        <v>-6.7070570040443922E-2</v>
      </c>
      <c r="P471" cm="1">
        <f t="array" ref="P471" xml:space="preserve"> mc(1000, -PI()/2,PI()/2, 0, 1, "sin(cos(x + y))")-1.48235</f>
        <v>-1.2991707999183699E-2</v>
      </c>
    </row>
    <row r="472" spans="1:16" x14ac:dyDescent="0.3">
      <c r="A472">
        <v>442</v>
      </c>
      <c r="B472" cm="1">
        <f t="array" ref="B472" xml:space="preserve"> mc(100, 0, 4, 1, 2, "x^2+y^2")-92/3</f>
        <v>-1.4829904671331491</v>
      </c>
      <c r="C472" cm="1">
        <f t="array" ref="C472" xml:space="preserve"> mc(500, 0, 4, 1, 2, "x^2+y^2")-92/3</f>
        <v>-0.1696228448368835</v>
      </c>
      <c r="D472" cm="1">
        <f t="array" ref="D472" xml:space="preserve"> mc(1000, 0, 4, 1, 2, "x^2+y^2")-92/3</f>
        <v>-0.28060158362854182</v>
      </c>
      <c r="F472" cm="1">
        <f t="array" ref="F472" xml:space="preserve"> ( mc(100, 3, 4, -1, 1, "EXP(x * sin(y))") ) - 7.39981</f>
        <v>1.0167547670389379</v>
      </c>
      <c r="G472" cm="1">
        <f t="array" ref="G472" xml:space="preserve"> ( mc(500, 3, 4, -1, 1, "EXP(x * sin(y))") ) - 7.39981</f>
        <v>3.5800630316050075E-2</v>
      </c>
      <c r="H472" cm="1">
        <f t="array" ref="H472" xml:space="preserve"> ( mc(1000, 3, 4, -1, 1, "EXP(x * sin(y))") ) - 7.39981</f>
        <v>-0.13408539657216068</v>
      </c>
      <c r="J472" cm="1">
        <f t="array" ref="J472" xml:space="preserve"> mc(100, -PI()/2,0,-1, 1, "ln(EXP(x * y))")</f>
        <v>4.6921465686334124E-2</v>
      </c>
      <c r="K472" cm="1">
        <f t="array" ref="K472" xml:space="preserve"> mc(500, -PI()/2,0,-1, 1, "ln(EXP(x * y))")</f>
        <v>-3.775948823283197E-2</v>
      </c>
      <c r="L472" cm="1">
        <f t="array" ref="L472" xml:space="preserve"> mc(1000, -PI()/2,0,-1, 1, "ln(EXP(x * y))")</f>
        <v>3.4935972495675857E-2</v>
      </c>
      <c r="N472" cm="1">
        <f t="array" ref="N472" xml:space="preserve"> mc(100, -PI()/2,PI()/2, 0, 1, "sin(cos(x + y))")-1.48235</f>
        <v>0.12037278969669418</v>
      </c>
      <c r="O472" cm="1">
        <f t="array" ref="O472" xml:space="preserve"> mc(500, -PI()/2,PI()/2, 0, 1, "sin(cos(x + y))")-1.48235</f>
        <v>-4.4824000659157148E-2</v>
      </c>
      <c r="P472" cm="1">
        <f t="array" ref="P472" xml:space="preserve"> mc(1000, -PI()/2,PI()/2, 0, 1, "sin(cos(x + y))")-1.48235</f>
        <v>-5.4142148851040961E-2</v>
      </c>
    </row>
    <row r="473" spans="1:16" x14ac:dyDescent="0.3">
      <c r="A473">
        <v>443</v>
      </c>
      <c r="B473" cm="1">
        <f t="array" ref="B473" xml:space="preserve"> mc(100, 0, 4, 1, 2, "x^2+y^2")-92/3</f>
        <v>-0.37254476689172122</v>
      </c>
      <c r="C473" cm="1">
        <f t="array" ref="C473" xml:space="preserve"> mc(500, 0, 4, 1, 2, "x^2+y^2")-92/3</f>
        <v>-1.4605438757807292</v>
      </c>
      <c r="D473" cm="1">
        <f t="array" ref="D473" xml:space="preserve"> mc(1000, 0, 4, 1, 2, "x^2+y^2")-92/3</f>
        <v>0.17909309127693263</v>
      </c>
      <c r="F473" cm="1">
        <f t="array" ref="F473" xml:space="preserve"> ( mc(100, 3, 4, -1, 1, "EXP(x * sin(y))") ) - 7.39981</f>
        <v>-0.44176534238268861</v>
      </c>
      <c r="G473" cm="1">
        <f t="array" ref="G473" xml:space="preserve"> ( mc(500, 3, 4, -1, 1, "EXP(x * sin(y))") ) - 7.39981</f>
        <v>0.33114423558766504</v>
      </c>
      <c r="H473" cm="1">
        <f t="array" ref="H473" xml:space="preserve"> ( mc(1000, 3, 4, -1, 1, "EXP(x * sin(y))") ) - 7.39981</f>
        <v>0.14715993271361505</v>
      </c>
      <c r="J473" cm="1">
        <f t="array" ref="J473" xml:space="preserve"> mc(100, -PI()/2,0,-1, 1, "ln(EXP(x * y))")</f>
        <v>-0.27865616194876974</v>
      </c>
      <c r="K473" cm="1">
        <f t="array" ref="K473" xml:space="preserve"> mc(500, -PI()/2,0,-1, 1, "ln(EXP(x * y))")</f>
        <v>-0.12499781213080642</v>
      </c>
      <c r="L473" cm="1">
        <f t="array" ref="L473" xml:space="preserve"> mc(1000, -PI()/2,0,-1, 1, "ln(EXP(x * y))")</f>
        <v>-4.2037031463688639E-2</v>
      </c>
      <c r="N473" cm="1">
        <f t="array" ref="N473" xml:space="preserve"> mc(100, -PI()/2,PI()/2, 0, 1, "sin(cos(x + y))")-1.48235</f>
        <v>0.18863872544912419</v>
      </c>
      <c r="O473" cm="1">
        <f t="array" ref="O473" xml:space="preserve"> mc(500, -PI()/2,PI()/2, 0, 1, "sin(cos(x + y))")-1.48235</f>
        <v>4.7077177652308233E-2</v>
      </c>
      <c r="P473" cm="1">
        <f t="array" ref="P473" xml:space="preserve"> mc(1000, -PI()/2,PI()/2, 0, 1, "sin(cos(x + y))")-1.48235</f>
        <v>3.3490843959197658E-2</v>
      </c>
    </row>
    <row r="474" spans="1:16" x14ac:dyDescent="0.3">
      <c r="A474">
        <v>444</v>
      </c>
      <c r="B474" cm="1">
        <f t="array" ref="B474" xml:space="preserve"> mc(100, 0, 4, 1, 2, "x^2+y^2")-92/3</f>
        <v>2.2389598045124721</v>
      </c>
      <c r="C474" cm="1">
        <f t="array" ref="C474" xml:space="preserve"> mc(500, 0, 4, 1, 2, "x^2+y^2")-92/3</f>
        <v>1.4272960153263377</v>
      </c>
      <c r="D474" cm="1">
        <f t="array" ref="D474" xml:space="preserve"> mc(1000, 0, 4, 1, 2, "x^2+y^2")-92/3</f>
        <v>0.82896833603315301</v>
      </c>
      <c r="F474" cm="1">
        <f t="array" ref="F474" xml:space="preserve"> ( mc(100, 3, 4, -1, 1, "EXP(x * sin(y))") ) - 7.39981</f>
        <v>1.7950730164828315</v>
      </c>
      <c r="G474" cm="1">
        <f t="array" ref="G474" xml:space="preserve"> ( mc(500, 3, 4, -1, 1, "EXP(x * sin(y))") ) - 7.39981</f>
        <v>0.11191353984828378</v>
      </c>
      <c r="H474" cm="1">
        <f t="array" ref="H474" xml:space="preserve"> ( mc(1000, 3, 4, -1, 1, "EXP(x * sin(y))") ) - 7.39981</f>
        <v>3.8620866029444478E-2</v>
      </c>
      <c r="J474" cm="1">
        <f t="array" ref="J474" xml:space="preserve"> mc(100, -PI()/2,0,-1, 1, "ln(EXP(x * y))")</f>
        <v>1.3431681481095884E-2</v>
      </c>
      <c r="K474" cm="1">
        <f t="array" ref="K474" xml:space="preserve"> mc(500, -PI()/2,0,-1, 1, "ln(EXP(x * y))")</f>
        <v>-0.10234744294404603</v>
      </c>
      <c r="L474" cm="1">
        <f t="array" ref="L474" xml:space="preserve"> mc(1000, -PI()/2,0,-1, 1, "ln(EXP(x * y))")</f>
        <v>-2.0355728233157643E-2</v>
      </c>
      <c r="N474" cm="1">
        <f t="array" ref="N474" xml:space="preserve"> mc(100, -PI()/2,PI()/2, 0, 1, "sin(cos(x + y))")-1.48235</f>
        <v>-0.15405961392293155</v>
      </c>
      <c r="O474" cm="1">
        <f t="array" ref="O474" xml:space="preserve"> mc(500, -PI()/2,PI()/2, 0, 1, "sin(cos(x + y))")-1.48235</f>
        <v>2.4123465013780709E-2</v>
      </c>
      <c r="P474" cm="1">
        <f t="array" ref="P474" xml:space="preserve"> mc(1000, -PI()/2,PI()/2, 0, 1, "sin(cos(x + y))")-1.48235</f>
        <v>7.1182533400380166E-2</v>
      </c>
    </row>
    <row r="475" spans="1:16" x14ac:dyDescent="0.3">
      <c r="A475">
        <v>445</v>
      </c>
      <c r="B475" cm="1">
        <f t="array" ref="B475" xml:space="preserve"> mc(100, 0, 4, 1, 2, "x^2+y^2")-92/3</f>
        <v>-1.9117987246010024</v>
      </c>
      <c r="C475" cm="1">
        <f t="array" ref="C475" xml:space="preserve"> mc(500, 0, 4, 1, 2, "x^2+y^2")-92/3</f>
        <v>0.35793075210051128</v>
      </c>
      <c r="D475" cm="1">
        <f t="array" ref="D475" xml:space="preserve"> mc(1000, 0, 4, 1, 2, "x^2+y^2")-92/3</f>
        <v>1.3929884739122507</v>
      </c>
      <c r="F475" cm="1">
        <f t="array" ref="F475" xml:space="preserve"> ( mc(100, 3, 4, -1, 1, "EXP(x * sin(y))") ) - 7.39981</f>
        <v>-1.6920839931596507</v>
      </c>
      <c r="G475" cm="1">
        <f t="array" ref="G475" xml:space="preserve"> ( mc(500, 3, 4, -1, 1, "EXP(x * sin(y))") ) - 7.39981</f>
        <v>-4.3403742399997114E-2</v>
      </c>
      <c r="H475" cm="1">
        <f t="array" ref="H475" xml:space="preserve"> ( mc(1000, 3, 4, -1, 1, "EXP(x * sin(y))") ) - 7.39981</f>
        <v>0.26729736053022091</v>
      </c>
      <c r="J475" cm="1">
        <f t="array" ref="J475" xml:space="preserve"> mc(100, -PI()/2,0,-1, 1, "ln(EXP(x * y))")</f>
        <v>2.0622275493482247E-2</v>
      </c>
      <c r="K475" cm="1">
        <f t="array" ref="K475" xml:space="preserve"> mc(500, -PI()/2,0,-1, 1, "ln(EXP(x * y))")</f>
        <v>7.0825016552609601E-2</v>
      </c>
      <c r="L475" cm="1">
        <f t="array" ref="L475" xml:space="preserve"> mc(1000, -PI()/2,0,-1, 1, "ln(EXP(x * y))")</f>
        <v>-1.1438948773845188E-2</v>
      </c>
      <c r="N475" cm="1">
        <f t="array" ref="N475" xml:space="preserve"> mc(100, -PI()/2,PI()/2, 0, 1, "sin(cos(x + y))")-1.48235</f>
        <v>-9.8529651054564793E-2</v>
      </c>
      <c r="O475" cm="1">
        <f t="array" ref="O475" xml:space="preserve"> mc(500, -PI()/2,PI()/2, 0, 1, "sin(cos(x + y))")-1.48235</f>
        <v>1.4919925619442331E-2</v>
      </c>
      <c r="P475" cm="1">
        <f t="array" ref="P475" xml:space="preserve"> mc(1000, -PI()/2,PI()/2, 0, 1, "sin(cos(x + y))")-1.48235</f>
        <v>4.1338945187748388E-2</v>
      </c>
    </row>
    <row r="476" spans="1:16" x14ac:dyDescent="0.3">
      <c r="A476">
        <v>446</v>
      </c>
      <c r="B476" cm="1">
        <f t="array" ref="B476" xml:space="preserve"> mc(100, 0, 4, 1, 2, "x^2+y^2")-92/3</f>
        <v>-0.72529932818632403</v>
      </c>
      <c r="C476" cm="1">
        <f t="array" ref="C476" xml:space="preserve"> mc(500, 0, 4, 1, 2, "x^2+y^2")-92/3</f>
        <v>-0.53294099610042878</v>
      </c>
      <c r="D476" cm="1">
        <f t="array" ref="D476" xml:space="preserve"> mc(1000, 0, 4, 1, 2, "x^2+y^2")-92/3</f>
        <v>0.44346414051659977</v>
      </c>
      <c r="F476" cm="1">
        <f t="array" ref="F476" xml:space="preserve"> ( mc(100, 3, 4, -1, 1, "EXP(x * sin(y))") ) - 7.39981</f>
        <v>1.0608338406004609</v>
      </c>
      <c r="G476" cm="1">
        <f t="array" ref="G476" xml:space="preserve"> ( mc(500, 3, 4, -1, 1, "EXP(x * sin(y))") ) - 7.39981</f>
        <v>-0.62845030689134873</v>
      </c>
      <c r="H476" cm="1">
        <f t="array" ref="H476" xml:space="preserve"> ( mc(1000, 3, 4, -1, 1, "EXP(x * sin(y))") ) - 7.39981</f>
        <v>-0.2834021434388827</v>
      </c>
      <c r="J476" cm="1">
        <f t="array" ref="J476" xml:space="preserve"> mc(100, -PI()/2,0,-1, 1, "ln(EXP(x * y))")</f>
        <v>3.5636573702542564E-2</v>
      </c>
      <c r="K476" cm="1">
        <f t="array" ref="K476" xml:space="preserve"> mc(500, -PI()/2,0,-1, 1, "ln(EXP(x * y))")</f>
        <v>-0.10731996602703446</v>
      </c>
      <c r="L476" cm="1">
        <f t="array" ref="L476" xml:space="preserve"> mc(1000, -PI()/2,0,-1, 1, "ln(EXP(x * y))")</f>
        <v>-7.9021919891338679E-2</v>
      </c>
      <c r="N476" cm="1">
        <f t="array" ref="N476" xml:space="preserve"> mc(100, -PI()/2,PI()/2, 0, 1, "sin(cos(x + y))")-1.48235</f>
        <v>4.5696908110096857E-2</v>
      </c>
      <c r="O476" cm="1">
        <f t="array" ref="O476" xml:space="preserve"> mc(500, -PI()/2,PI()/2, 0, 1, "sin(cos(x + y))")-1.48235</f>
        <v>-7.3238342925584288E-2</v>
      </c>
      <c r="P476" cm="1">
        <f t="array" ref="P476" xml:space="preserve"> mc(1000, -PI()/2,PI()/2, 0, 1, "sin(cos(x + y))")-1.48235</f>
        <v>-2.1650059549443101E-2</v>
      </c>
    </row>
    <row r="477" spans="1:16" x14ac:dyDescent="0.3">
      <c r="A477">
        <v>447</v>
      </c>
      <c r="B477" cm="1">
        <f t="array" ref="B477" xml:space="preserve"> mc(100, 0, 4, 1, 2, "x^2+y^2")-92/3</f>
        <v>-0.76725501918569705</v>
      </c>
      <c r="C477" cm="1">
        <f t="array" ref="C477" xml:space="preserve"> mc(500, 0, 4, 1, 2, "x^2+y^2")-92/3</f>
        <v>1.6284941794779293</v>
      </c>
      <c r="D477" cm="1">
        <f t="array" ref="D477" xml:space="preserve"> mc(1000, 0, 4, 1, 2, "x^2+y^2")-92/3</f>
        <v>0.36099180235678929</v>
      </c>
      <c r="F477" cm="1">
        <f t="array" ref="F477" xml:space="preserve"> ( mc(100, 3, 4, -1, 1, "EXP(x * sin(y))") ) - 7.39981</f>
        <v>-0.29525679421775486</v>
      </c>
      <c r="G477" cm="1">
        <f t="array" ref="G477" xml:space="preserve"> ( mc(500, 3, 4, -1, 1, "EXP(x * sin(y))") ) - 7.39981</f>
        <v>0.2862900754401192</v>
      </c>
      <c r="H477" cm="1">
        <f t="array" ref="H477" xml:space="preserve"> ( mc(1000, 3, 4, -1, 1, "EXP(x * sin(y))") ) - 7.39981</f>
        <v>-0.52289909060387529</v>
      </c>
      <c r="J477" cm="1">
        <f t="array" ref="J477" xml:space="preserve"> mc(100, -PI()/2,0,-1, 1, "ln(EXP(x * y))")</f>
        <v>0.2608321490227446</v>
      </c>
      <c r="K477" cm="1">
        <f t="array" ref="K477" xml:space="preserve"> mc(500, -PI()/2,0,-1, 1, "ln(EXP(x * y))")</f>
        <v>-0.18737653994675951</v>
      </c>
      <c r="L477" cm="1">
        <f t="array" ref="L477" xml:space="preserve"> mc(1000, -PI()/2,0,-1, 1, "ln(EXP(x * y))")</f>
        <v>-8.2190552935940599E-3</v>
      </c>
      <c r="N477" cm="1">
        <f t="array" ref="N477" xml:space="preserve"> mc(100, -PI()/2,PI()/2, 0, 1, "sin(cos(x + y))")-1.48235</f>
        <v>3.8369031932691255E-2</v>
      </c>
      <c r="O477" cm="1">
        <f t="array" ref="O477" xml:space="preserve"> mc(500, -PI()/2,PI()/2, 0, 1, "sin(cos(x + y))")-1.48235</f>
        <v>5.2336796150867171E-2</v>
      </c>
      <c r="P477" cm="1">
        <f t="array" ref="P477" xml:space="preserve"> mc(1000, -PI()/2,PI()/2, 0, 1, "sin(cos(x + y))")-1.48235</f>
        <v>6.8790768793527413E-3</v>
      </c>
    </row>
    <row r="478" spans="1:16" x14ac:dyDescent="0.3">
      <c r="A478">
        <v>448</v>
      </c>
      <c r="B478" cm="1">
        <f t="array" ref="B478" xml:space="preserve"> mc(100, 0, 4, 1, 2, "x^2+y^2")-92/3</f>
        <v>-2.2318499658377924</v>
      </c>
      <c r="C478" cm="1">
        <f t="array" ref="C478" xml:space="preserve"> mc(500, 0, 4, 1, 2, "x^2+y^2")-92/3</f>
        <v>0.14351050878351757</v>
      </c>
      <c r="D478" cm="1">
        <f t="array" ref="D478" xml:space="preserve"> mc(1000, 0, 4, 1, 2, "x^2+y^2")-92/3</f>
        <v>-0.70807431800122345</v>
      </c>
      <c r="F478" cm="1">
        <f t="array" ref="F478" xml:space="preserve"> ( mc(100, 3, 4, -1, 1, "EXP(x * sin(y))") ) - 7.39981</f>
        <v>0.24545197915859518</v>
      </c>
      <c r="G478" cm="1">
        <f t="array" ref="G478" xml:space="preserve"> ( mc(500, 3, 4, -1, 1, "EXP(x * sin(y))") ) - 7.39981</f>
        <v>1.0302507907157548</v>
      </c>
      <c r="H478" cm="1">
        <f t="array" ref="H478" xml:space="preserve"> ( mc(1000, 3, 4, -1, 1, "EXP(x * sin(y))") ) - 7.39981</f>
        <v>3.7728646475697403E-2</v>
      </c>
      <c r="J478" cm="1">
        <f t="array" ref="J478" xml:space="preserve"> mc(100, -PI()/2,0,-1, 1, "ln(EXP(x * y))")</f>
        <v>0.26007397880612904</v>
      </c>
      <c r="K478" cm="1">
        <f t="array" ref="K478" xml:space="preserve"> mc(500, -PI()/2,0,-1, 1, "ln(EXP(x * y))")</f>
        <v>-5.4576830828655491E-2</v>
      </c>
      <c r="L478" cm="1">
        <f t="array" ref="L478" xml:space="preserve"> mc(1000, -PI()/2,0,-1, 1, "ln(EXP(x * y))")</f>
        <v>9.8584307767333609E-2</v>
      </c>
      <c r="N478" cm="1">
        <f t="array" ref="N478" xml:space="preserve"> mc(100, -PI()/2,PI()/2, 0, 1, "sin(cos(x + y))")-1.48235</f>
        <v>1.7746564704695933E-2</v>
      </c>
      <c r="O478" cm="1">
        <f t="array" ref="O478" xml:space="preserve"> mc(500, -PI()/2,PI()/2, 0, 1, "sin(cos(x + y))")-1.48235</f>
        <v>2.936364193156793E-2</v>
      </c>
      <c r="P478" cm="1">
        <f t="array" ref="P478" xml:space="preserve"> mc(1000, -PI()/2,PI()/2, 0, 1, "sin(cos(x + y))")-1.48235</f>
        <v>3.9094251374986344E-2</v>
      </c>
    </row>
    <row r="479" spans="1:16" x14ac:dyDescent="0.3">
      <c r="A479">
        <v>449</v>
      </c>
      <c r="B479" cm="1">
        <f t="array" ref="B479" xml:space="preserve"> mc(100, 0, 4, 1, 2, "x^2+y^2")-92/3</f>
        <v>-0.40457239008306445</v>
      </c>
      <c r="C479" cm="1">
        <f t="array" ref="C479" xml:space="preserve"> mc(500, 0, 4, 1, 2, "x^2+y^2")-92/3</f>
        <v>1.3145695417475523</v>
      </c>
      <c r="D479" cm="1">
        <f t="array" ref="D479" xml:space="preserve"> mc(1000, 0, 4, 1, 2, "x^2+y^2")-92/3</f>
        <v>0.50920924817989288</v>
      </c>
      <c r="F479" cm="1">
        <f t="array" ref="F479" xml:space="preserve"> ( mc(100, 3, 4, -1, 1, "EXP(x * sin(y))") ) - 7.39981</f>
        <v>0.12400835192032034</v>
      </c>
      <c r="G479" cm="1">
        <f t="array" ref="G479" xml:space="preserve"> ( mc(500, 3, 4, -1, 1, "EXP(x * sin(y))") ) - 7.39981</f>
        <v>0.5113271163247024</v>
      </c>
      <c r="H479" cm="1">
        <f t="array" ref="H479" xml:space="preserve"> ( mc(1000, 3, 4, -1, 1, "EXP(x * sin(y))") ) - 7.39981</f>
        <v>0.52004205279382543</v>
      </c>
      <c r="J479" cm="1">
        <f t="array" ref="J479" xml:space="preserve"> mc(100, -PI()/2,0,-1, 1, "ln(EXP(x * y))")</f>
        <v>4.6733086435805746E-2</v>
      </c>
      <c r="K479" cm="1">
        <f t="array" ref="K479" xml:space="preserve"> mc(500, -PI()/2,0,-1, 1, "ln(EXP(x * y))")</f>
        <v>2.8554881849822172E-2</v>
      </c>
      <c r="L479" cm="1">
        <f t="array" ref="L479" xml:space="preserve"> mc(1000, -PI()/2,0,-1, 1, "ln(EXP(x * y))")</f>
        <v>-5.6435635065064965E-2</v>
      </c>
      <c r="N479" cm="1">
        <f t="array" ref="N479" xml:space="preserve"> mc(100, -PI()/2,PI()/2, 0, 1, "sin(cos(x + y))")-1.48235</f>
        <v>3.8670605050162177E-2</v>
      </c>
      <c r="O479" cm="1">
        <f t="array" ref="O479" xml:space="preserve"> mc(500, -PI()/2,PI()/2, 0, 1, "sin(cos(x + y))")-1.48235</f>
        <v>-8.5080820769506627E-2</v>
      </c>
      <c r="P479" cm="1">
        <f t="array" ref="P479" xml:space="preserve"> mc(1000, -PI()/2,PI()/2, 0, 1, "sin(cos(x + y))")-1.48235</f>
        <v>-8.9909192318029518E-3</v>
      </c>
    </row>
    <row r="480" spans="1:16" x14ac:dyDescent="0.3">
      <c r="A480">
        <v>450</v>
      </c>
      <c r="B480" cm="1">
        <f t="array" ref="B480" xml:space="preserve"> mc(100, 0, 4, 1, 2, "x^2+y^2")-92/3</f>
        <v>1.9653968652560145</v>
      </c>
      <c r="C480" cm="1">
        <f t="array" ref="C480" xml:space="preserve"> mc(500, 0, 4, 1, 2, "x^2+y^2")-92/3</f>
        <v>1.8511140918939013</v>
      </c>
      <c r="D480" cm="1">
        <f t="array" ref="D480" xml:space="preserve"> mc(1000, 0, 4, 1, 2, "x^2+y^2")-92/3</f>
        <v>-0.65089419045505181</v>
      </c>
      <c r="F480" cm="1">
        <f t="array" ref="F480" xml:space="preserve"> ( mc(100, 3, 4, -1, 1, "EXP(x * sin(y))") ) - 7.39981</f>
        <v>-1.1021541212699528</v>
      </c>
      <c r="G480" cm="1">
        <f t="array" ref="G480" xml:space="preserve"> ( mc(500, 3, 4, -1, 1, "EXP(x * sin(y))") ) - 7.39981</f>
        <v>0.25556207230970429</v>
      </c>
      <c r="H480" cm="1">
        <f t="array" ref="H480" xml:space="preserve"> ( mc(1000, 3, 4, -1, 1, "EXP(x * sin(y))") ) - 7.39981</f>
        <v>0.57616774594056963</v>
      </c>
      <c r="J480" cm="1">
        <f t="array" ref="J480" xml:space="preserve"> mc(100, -PI()/2,0,-1, 1, "ln(EXP(x * y))")</f>
        <v>-4.2519071836545741E-2</v>
      </c>
      <c r="K480" cm="1">
        <f t="array" ref="K480" xml:space="preserve"> mc(500, -PI()/2,0,-1, 1, "ln(EXP(x * y))")</f>
        <v>1.5631461844300663E-2</v>
      </c>
      <c r="L480" cm="1">
        <f t="array" ref="L480" xml:space="preserve"> mc(1000, -PI()/2,0,-1, 1, "ln(EXP(x * y))")</f>
        <v>3.9444591517638815E-2</v>
      </c>
      <c r="N480" cm="1">
        <f t="array" ref="N480" xml:space="preserve"> mc(100, -PI()/2,PI()/2, 0, 1, "sin(cos(x + y))")-1.48235</f>
        <v>-3.1817599918152917E-2</v>
      </c>
      <c r="O480" cm="1">
        <f t="array" ref="O480" xml:space="preserve"> mc(500, -PI()/2,PI()/2, 0, 1, "sin(cos(x + y))")-1.48235</f>
        <v>-2.1683581479842617E-2</v>
      </c>
      <c r="P480" cm="1">
        <f t="array" ref="P480" xml:space="preserve"> mc(1000, -PI()/2,PI()/2, 0, 1, "sin(cos(x + y))")-1.48235</f>
        <v>2.5076297832224315E-2</v>
      </c>
    </row>
    <row r="481" spans="1:16" x14ac:dyDescent="0.3">
      <c r="A481">
        <v>451</v>
      </c>
      <c r="B481" cm="1">
        <f t="array" ref="B481" xml:space="preserve"> mc(100, 0, 4, 1, 2, "x^2+y^2")-92/3</f>
        <v>1.0575336126602686</v>
      </c>
      <c r="C481" cm="1">
        <f t="array" ref="C481" xml:space="preserve"> mc(500, 0, 4, 1, 2, "x^2+y^2")-92/3</f>
        <v>-0.82040932333121219</v>
      </c>
      <c r="D481" cm="1">
        <f t="array" ref="D481" xml:space="preserve"> mc(1000, 0, 4, 1, 2, "x^2+y^2")-92/3</f>
        <v>-4.4840028478212446E-3</v>
      </c>
      <c r="F481" cm="1">
        <f t="array" ref="F481" xml:space="preserve"> ( mc(100, 3, 4, -1, 1, "EXP(x * sin(y))") ) - 7.39981</f>
        <v>1.7989379084869963</v>
      </c>
      <c r="G481" cm="1">
        <f t="array" ref="G481" xml:space="preserve"> ( mc(500, 3, 4, -1, 1, "EXP(x * sin(y))") ) - 7.39981</f>
        <v>-0.25840112204891774</v>
      </c>
      <c r="H481" cm="1">
        <f t="array" ref="H481" xml:space="preserve"> ( mc(1000, 3, 4, -1, 1, "EXP(x * sin(y))") ) - 7.39981</f>
        <v>-0.49827121196608015</v>
      </c>
      <c r="J481" cm="1">
        <f t="array" ref="J481" xml:space="preserve"> mc(100, -PI()/2,0,-1, 1, "ln(EXP(x * y))")</f>
        <v>0.26502379398541387</v>
      </c>
      <c r="K481" cm="1">
        <f t="array" ref="K481" xml:space="preserve"> mc(500, -PI()/2,0,-1, 1, "ln(EXP(x * y))")</f>
        <v>-1.996504436339849E-5</v>
      </c>
      <c r="L481" cm="1">
        <f t="array" ref="L481" xml:space="preserve"> mc(1000, -PI()/2,0,-1, 1, "ln(EXP(x * y))")</f>
        <v>-4.6338290302765969E-2</v>
      </c>
      <c r="N481" cm="1">
        <f t="array" ref="N481" xml:space="preserve"> mc(100, -PI()/2,PI()/2, 0, 1, "sin(cos(x + y))")-1.48235</f>
        <v>-0.10966440587133852</v>
      </c>
      <c r="O481" cm="1">
        <f t="array" ref="O481" xml:space="preserve"> mc(500, -PI()/2,PI()/2, 0, 1, "sin(cos(x + y))")-1.48235</f>
        <v>-2.5983966999347796E-2</v>
      </c>
      <c r="P481" cm="1">
        <f t="array" ref="P481" xml:space="preserve"> mc(1000, -PI()/2,PI()/2, 0, 1, "sin(cos(x + y))")-1.48235</f>
        <v>-1.7975236150794771E-2</v>
      </c>
    </row>
    <row r="482" spans="1:16" x14ac:dyDescent="0.3">
      <c r="A482">
        <v>452</v>
      </c>
      <c r="B482" cm="1">
        <f t="array" ref="B482" xml:space="preserve"> mc(100, 0, 4, 1, 2, "x^2+y^2")-92/3</f>
        <v>2.7433267871011928</v>
      </c>
      <c r="C482" cm="1">
        <f t="array" ref="C482" xml:space="preserve"> mc(500, 0, 4, 1, 2, "x^2+y^2")-92/3</f>
        <v>0.90639680573608317</v>
      </c>
      <c r="D482" cm="1">
        <f t="array" ref="D482" xml:space="preserve"> mc(1000, 0, 4, 1, 2, "x^2+y^2")-92/3</f>
        <v>0.56077743325097629</v>
      </c>
      <c r="F482" cm="1">
        <f t="array" ref="F482" xml:space="preserve"> ( mc(100, 3, 4, -1, 1, "EXP(x * sin(y))") ) - 7.39981</f>
        <v>-0.27405708160248743</v>
      </c>
      <c r="G482" cm="1">
        <f t="array" ref="G482" xml:space="preserve"> ( mc(500, 3, 4, -1, 1, "EXP(x * sin(y))") ) - 7.39981</f>
        <v>-0.27427526148482784</v>
      </c>
      <c r="H482" cm="1">
        <f t="array" ref="H482" xml:space="preserve"> ( mc(1000, 3, 4, -1, 1, "EXP(x * sin(y))") ) - 7.39981</f>
        <v>-0.26894284738856644</v>
      </c>
      <c r="J482" cm="1">
        <f t="array" ref="J482" xml:space="preserve"> mc(100, -PI()/2,0,-1, 1, "ln(EXP(x * y))")</f>
        <v>-4.8197305489310539E-2</v>
      </c>
      <c r="K482" cm="1">
        <f t="array" ref="K482" xml:space="preserve"> mc(500, -PI()/2,0,-1, 1, "ln(EXP(x * y))")</f>
        <v>-5.2776856616663419E-2</v>
      </c>
      <c r="L482" cm="1">
        <f t="array" ref="L482" xml:space="preserve"> mc(1000, -PI()/2,0,-1, 1, "ln(EXP(x * y))")</f>
        <v>7.6170478896617939E-3</v>
      </c>
      <c r="N482" cm="1">
        <f t="array" ref="N482" xml:space="preserve"> mc(100, -PI()/2,PI()/2, 0, 1, "sin(cos(x + y))")-1.48235</f>
        <v>-3.5790268962142102E-2</v>
      </c>
      <c r="O482" cm="1">
        <f t="array" ref="O482" xml:space="preserve"> mc(500, -PI()/2,PI()/2, 0, 1, "sin(cos(x + y))")-1.48235</f>
        <v>-6.384790449534794E-2</v>
      </c>
      <c r="P482" cm="1">
        <f t="array" ref="P482" xml:space="preserve"> mc(1000, -PI()/2,PI()/2, 0, 1, "sin(cos(x + y))")-1.48235</f>
        <v>6.3481600259320814E-3</v>
      </c>
    </row>
    <row r="483" spans="1:16" x14ac:dyDescent="0.3">
      <c r="A483">
        <v>453</v>
      </c>
      <c r="B483" cm="1">
        <f t="array" ref="B483" xml:space="preserve"> mc(100, 0, 4, 1, 2, "x^2+y^2")-92/3</f>
        <v>-1.5009814078158179</v>
      </c>
      <c r="C483" cm="1">
        <f t="array" ref="C483" xml:space="preserve"> mc(500, 0, 4, 1, 2, "x^2+y^2")-92/3</f>
        <v>1.6285390594312332E-2</v>
      </c>
      <c r="D483" cm="1">
        <f t="array" ref="D483" xml:space="preserve"> mc(1000, 0, 4, 1, 2, "x^2+y^2")-92/3</f>
        <v>0.98496636140603044</v>
      </c>
      <c r="F483" cm="1">
        <f t="array" ref="F483" xml:space="preserve"> ( mc(100, 3, 4, -1, 1, "EXP(x * sin(y))") ) - 7.39981</f>
        <v>-0.64057678053751044</v>
      </c>
      <c r="G483" cm="1">
        <f t="array" ref="G483" xml:space="preserve"> ( mc(500, 3, 4, -1, 1, "EXP(x * sin(y))") ) - 7.39981</f>
        <v>-7.7938170950582197E-2</v>
      </c>
      <c r="H483" cm="1">
        <f t="array" ref="H483" xml:space="preserve"> ( mc(1000, 3, 4, -1, 1, "EXP(x * sin(y))") ) - 7.39981</f>
        <v>-2.3150011222654143E-2</v>
      </c>
      <c r="J483" cm="1">
        <f t="array" ref="J483" xml:space="preserve"> mc(100, -PI()/2,0,-1, 1, "ln(EXP(x * y))")</f>
        <v>-0.11260649296730928</v>
      </c>
      <c r="K483" cm="1">
        <f t="array" ref="K483" xml:space="preserve"> mc(500, -PI()/2,0,-1, 1, "ln(EXP(x * y))")</f>
        <v>-5.8026678686708764E-2</v>
      </c>
      <c r="L483" cm="1">
        <f t="array" ref="L483" xml:space="preserve"> mc(1000, -PI()/2,0,-1, 1, "ln(EXP(x * y))")</f>
        <v>2.2495768358395042E-2</v>
      </c>
      <c r="N483" cm="1">
        <f t="array" ref="N483" xml:space="preserve"> mc(100, -PI()/2,PI()/2, 0, 1, "sin(cos(x + y))")-1.48235</f>
        <v>0.15146492266918221</v>
      </c>
      <c r="O483" cm="1">
        <f t="array" ref="O483" xml:space="preserve"> mc(500, -PI()/2,PI()/2, 0, 1, "sin(cos(x + y))")-1.48235</f>
        <v>2.9783017188789174E-2</v>
      </c>
      <c r="P483" cm="1">
        <f t="array" ref="P483" xml:space="preserve"> mc(1000, -PI()/2,PI()/2, 0, 1, "sin(cos(x + y))")-1.48235</f>
        <v>-1.0068111041059424E-2</v>
      </c>
    </row>
    <row r="484" spans="1:16" x14ac:dyDescent="0.3">
      <c r="A484">
        <v>454</v>
      </c>
      <c r="B484" cm="1">
        <f t="array" ref="B484" xml:space="preserve"> mc(100, 0, 4, 1, 2, "x^2+y^2")-92/3</f>
        <v>-1.4113069913348291</v>
      </c>
      <c r="C484" cm="1">
        <f t="array" ref="C484" xml:space="preserve"> mc(500, 0, 4, 1, 2, "x^2+y^2")-92/3</f>
        <v>-2.1906262776361132</v>
      </c>
      <c r="D484" cm="1">
        <f t="array" ref="D484" xml:space="preserve"> mc(1000, 0, 4, 1, 2, "x^2+y^2")-92/3</f>
        <v>-0.34460037710986668</v>
      </c>
      <c r="F484" cm="1">
        <f t="array" ref="F484" xml:space="preserve"> ( mc(100, 3, 4, -1, 1, "EXP(x * sin(y))") ) - 7.39981</f>
        <v>0.4190406230819983</v>
      </c>
      <c r="G484" cm="1">
        <f t="array" ref="G484" xml:space="preserve"> ( mc(500, 3, 4, -1, 1, "EXP(x * sin(y))") ) - 7.39981</f>
        <v>0.40902112158167192</v>
      </c>
      <c r="H484" cm="1">
        <f t="array" ref="H484" xml:space="preserve"> ( mc(1000, 3, 4, -1, 1, "EXP(x * sin(y))") ) - 7.39981</f>
        <v>0.11969942867258965</v>
      </c>
      <c r="J484" cm="1">
        <f t="array" ref="J484" xml:space="preserve"> mc(100, -PI()/2,0,-1, 1, "ln(EXP(x * y))")</f>
        <v>-0.25331578601058635</v>
      </c>
      <c r="K484" cm="1">
        <f t="array" ref="K484" xml:space="preserve"> mc(500, -PI()/2,0,-1, 1, "ln(EXP(x * y))")</f>
        <v>-2.2369323846764998E-2</v>
      </c>
      <c r="L484" cm="1">
        <f t="array" ref="L484" xml:space="preserve"> mc(1000, -PI()/2,0,-1, 1, "ln(EXP(x * y))")</f>
        <v>7.2078132990367749E-2</v>
      </c>
      <c r="N484" cm="1">
        <f t="array" ref="N484" xml:space="preserve"> mc(100, -PI()/2,PI()/2, 0, 1, "sin(cos(x + y))")-1.48235</f>
        <v>0.13813532335907364</v>
      </c>
      <c r="O484" cm="1">
        <f t="array" ref="O484" xml:space="preserve"> mc(500, -PI()/2,PI()/2, 0, 1, "sin(cos(x + y))")-1.48235</f>
        <v>4.5207729557320775E-2</v>
      </c>
      <c r="P484" cm="1">
        <f t="array" ref="P484" xml:space="preserve"> mc(1000, -PI()/2,PI()/2, 0, 1, "sin(cos(x + y))")-1.48235</f>
        <v>-7.9444067263569895E-3</v>
      </c>
    </row>
    <row r="485" spans="1:16" x14ac:dyDescent="0.3">
      <c r="A485">
        <v>455</v>
      </c>
      <c r="B485" cm="1">
        <f t="array" ref="B485" xml:space="preserve"> mc(100, 0, 4, 1, 2, "x^2+y^2")-92/3</f>
        <v>1.3640384308316449</v>
      </c>
      <c r="C485" cm="1">
        <f t="array" ref="C485" xml:space="preserve"> mc(500, 0, 4, 1, 2, "x^2+y^2")-92/3</f>
        <v>0.39608457608501269</v>
      </c>
      <c r="D485" cm="1">
        <f t="array" ref="D485" xml:space="preserve"> mc(1000, 0, 4, 1, 2, "x^2+y^2")-92/3</f>
        <v>-0.18740678582454962</v>
      </c>
      <c r="F485" cm="1">
        <f t="array" ref="F485" xml:space="preserve"> ( mc(100, 3, 4, -1, 1, "EXP(x * sin(y))") ) - 7.39981</f>
        <v>-1.0248583333771526</v>
      </c>
      <c r="G485" cm="1">
        <f t="array" ref="G485" xml:space="preserve"> ( mc(500, 3, 4, -1, 1, "EXP(x * sin(y))") ) - 7.39981</f>
        <v>0.85081873646005057</v>
      </c>
      <c r="H485" cm="1">
        <f t="array" ref="H485" xml:space="preserve"> ( mc(1000, 3, 4, -1, 1, "EXP(x * sin(y))") ) - 7.39981</f>
        <v>0.33957574752910258</v>
      </c>
      <c r="J485" cm="1">
        <f t="array" ref="J485" xml:space="preserve"> mc(100, -PI()/2,0,-1, 1, "ln(EXP(x * y))")</f>
        <v>-0.15298294715621355</v>
      </c>
      <c r="K485" cm="1">
        <f t="array" ref="K485" xml:space="preserve"> mc(500, -PI()/2,0,-1, 1, "ln(EXP(x * y))")</f>
        <v>-6.1878586735011161E-3</v>
      </c>
      <c r="L485" cm="1">
        <f t="array" ref="L485" xml:space="preserve"> mc(1000, -PI()/2,0,-1, 1, "ln(EXP(x * y))")</f>
        <v>7.6066096758242024E-2</v>
      </c>
      <c r="N485" cm="1">
        <f t="array" ref="N485" xml:space="preserve"> mc(100, -PI()/2,PI()/2, 0, 1, "sin(cos(x + y))")-1.48235</f>
        <v>-0.15759664118115624</v>
      </c>
      <c r="O485" cm="1">
        <f t="array" ref="O485" xml:space="preserve"> mc(500, -PI()/2,PI()/2, 0, 1, "sin(cos(x + y))")-1.48235</f>
        <v>-2.9359420245700374E-3</v>
      </c>
      <c r="P485" cm="1">
        <f t="array" ref="P485" xml:space="preserve"> mc(1000, -PI()/2,PI()/2, 0, 1, "sin(cos(x + y))")-1.48235</f>
        <v>5.9154735657408253E-2</v>
      </c>
    </row>
    <row r="486" spans="1:16" x14ac:dyDescent="0.3">
      <c r="A486">
        <v>456</v>
      </c>
      <c r="B486" cm="1">
        <f t="array" ref="B486" xml:space="preserve"> mc(100, 0, 4, 1, 2, "x^2+y^2")-92/3</f>
        <v>-1.2955648023148036</v>
      </c>
      <c r="C486" cm="1">
        <f t="array" ref="C486" xml:space="preserve"> mc(500, 0, 4, 1, 2, "x^2+y^2")-92/3</f>
        <v>-0.27161376344540145</v>
      </c>
      <c r="D486" cm="1">
        <f t="array" ref="D486" xml:space="preserve"> mc(1000, 0, 4, 1, 2, "x^2+y^2")-92/3</f>
        <v>-0.62629959725216722</v>
      </c>
      <c r="F486" cm="1">
        <f t="array" ref="F486" xml:space="preserve"> ( mc(100, 3, 4, -1, 1, "EXP(x * sin(y))") ) - 7.39981</f>
        <v>0.52359781552325302</v>
      </c>
      <c r="G486" cm="1">
        <f t="array" ref="G486" xml:space="preserve"> ( mc(500, 3, 4, -1, 1, "EXP(x * sin(y))") ) - 7.39981</f>
        <v>2.9395452780967446E-2</v>
      </c>
      <c r="H486" cm="1">
        <f t="array" ref="H486" xml:space="preserve"> ( mc(1000, 3, 4, -1, 1, "EXP(x * sin(y))") ) - 7.39981</f>
        <v>-0.2779150671141819</v>
      </c>
      <c r="J486" cm="1">
        <f t="array" ref="J486" xml:space="preserve"> mc(100, -PI()/2,0,-1, 1, "ln(EXP(x * y))")</f>
        <v>0.27154660164224736</v>
      </c>
      <c r="K486" cm="1">
        <f t="array" ref="K486" xml:space="preserve"> mc(500, -PI()/2,0,-1, 1, "ln(EXP(x * y))")</f>
        <v>-0.10967984962557667</v>
      </c>
      <c r="L486" cm="1">
        <f t="array" ref="L486" xml:space="preserve"> mc(1000, -PI()/2,0,-1, 1, "ln(EXP(x * y))")</f>
        <v>-0.11098106588849048</v>
      </c>
      <c r="N486" cm="1">
        <f t="array" ref="N486" xml:space="preserve"> mc(100, -PI()/2,PI()/2, 0, 1, "sin(cos(x + y))")-1.48235</f>
        <v>0.20962311604065742</v>
      </c>
      <c r="O486" cm="1">
        <f t="array" ref="O486" xml:space="preserve"> mc(500, -PI()/2,PI()/2, 0, 1, "sin(cos(x + y))")-1.48235</f>
        <v>-4.2585432011153834E-2</v>
      </c>
      <c r="P486" cm="1">
        <f t="array" ref="P486" xml:space="preserve"> mc(1000, -PI()/2,PI()/2, 0, 1, "sin(cos(x + y))")-1.48235</f>
        <v>2.6062789498946026E-2</v>
      </c>
    </row>
    <row r="487" spans="1:16" x14ac:dyDescent="0.3">
      <c r="A487">
        <v>457</v>
      </c>
      <c r="B487" cm="1">
        <f t="array" ref="B487" xml:space="preserve"> mc(100, 0, 4, 1, 2, "x^2+y^2")-92/3</f>
        <v>0.28348444437458298</v>
      </c>
      <c r="C487" cm="1">
        <f t="array" ref="C487" xml:space="preserve"> mc(500, 0, 4, 1, 2, "x^2+y^2")-92/3</f>
        <v>0.98478227173010779</v>
      </c>
      <c r="D487" cm="1">
        <f t="array" ref="D487" xml:space="preserve"> mc(1000, 0, 4, 1, 2, "x^2+y^2")-92/3</f>
        <v>-0.46474779671235211</v>
      </c>
      <c r="F487" cm="1">
        <f t="array" ref="F487" xml:space="preserve"> ( mc(100, 3, 4, -1, 1, "EXP(x * sin(y))") ) - 7.39981</f>
        <v>0.54911849334731055</v>
      </c>
      <c r="G487" cm="1">
        <f t="array" ref="G487" xml:space="preserve"> ( mc(500, 3, 4, -1, 1, "EXP(x * sin(y))") ) - 7.39981</f>
        <v>-0.50960430106305754</v>
      </c>
      <c r="H487" cm="1">
        <f t="array" ref="H487" xml:space="preserve"> ( mc(1000, 3, 4, -1, 1, "EXP(x * sin(y))") ) - 7.39981</f>
        <v>0.276858099346315</v>
      </c>
      <c r="J487" cm="1">
        <f t="array" ref="J487" xml:space="preserve"> mc(100, -PI()/2,0,-1, 1, "ln(EXP(x * y))")</f>
        <v>9.5205843795886438E-2</v>
      </c>
      <c r="K487" cm="1">
        <f t="array" ref="K487" xml:space="preserve"> mc(500, -PI()/2,0,-1, 1, "ln(EXP(x * y))")</f>
        <v>5.2042359517665275E-2</v>
      </c>
      <c r="L487" cm="1">
        <f t="array" ref="L487" xml:space="preserve"> mc(1000, -PI()/2,0,-1, 1, "ln(EXP(x * y))")</f>
        <v>2.9535454857524658E-2</v>
      </c>
      <c r="N487" cm="1">
        <f t="array" ref="N487" xml:space="preserve"> mc(100, -PI()/2,PI()/2, 0, 1, "sin(cos(x + y))")-1.48235</f>
        <v>-2.1110719161040237E-2</v>
      </c>
      <c r="O487" cm="1">
        <f t="array" ref="O487" xml:space="preserve"> mc(500, -PI()/2,PI()/2, 0, 1, "sin(cos(x + y))")-1.48235</f>
        <v>-6.7946632664601214E-2</v>
      </c>
      <c r="P487" cm="1">
        <f t="array" ref="P487" xml:space="preserve"> mc(1000, -PI()/2,PI()/2, 0, 1, "sin(cos(x + y))")-1.48235</f>
        <v>8.7129875343494589E-4</v>
      </c>
    </row>
    <row r="488" spans="1:16" x14ac:dyDescent="0.3">
      <c r="A488">
        <v>458</v>
      </c>
      <c r="B488" cm="1">
        <f t="array" ref="B488" xml:space="preserve"> mc(100, 0, 4, 1, 2, "x^2+y^2")-92/3</f>
        <v>-1.0287183985539237</v>
      </c>
      <c r="C488" cm="1">
        <f t="array" ref="C488" xml:space="preserve"> mc(500, 0, 4, 1, 2, "x^2+y^2")-92/3</f>
        <v>-0.97816077575499705</v>
      </c>
      <c r="D488" cm="1">
        <f t="array" ref="D488" xml:space="preserve"> mc(1000, 0, 4, 1, 2, "x^2+y^2")-92/3</f>
        <v>0.81457559541619773</v>
      </c>
      <c r="F488" cm="1">
        <f t="array" ref="F488" xml:space="preserve"> ( mc(100, 3, 4, -1, 1, "EXP(x * sin(y))") ) - 7.39981</f>
        <v>-9.8669608022818878E-2</v>
      </c>
      <c r="G488" cm="1">
        <f t="array" ref="G488" xml:space="preserve"> ( mc(500, 3, 4, -1, 1, "EXP(x * sin(y))") ) - 7.39981</f>
        <v>-0.22441132032199462</v>
      </c>
      <c r="H488" cm="1">
        <f t="array" ref="H488" xml:space="preserve"> ( mc(1000, 3, 4, -1, 1, "EXP(x * sin(y))") ) - 7.39981</f>
        <v>-0.31775141461281109</v>
      </c>
      <c r="J488" cm="1">
        <f t="array" ref="J488" xml:space="preserve"> mc(100, -PI()/2,0,-1, 1, "ln(EXP(x * y))")</f>
        <v>9.3065173149568303E-2</v>
      </c>
      <c r="K488" cm="1">
        <f t="array" ref="K488" xml:space="preserve"> mc(500, -PI()/2,0,-1, 1, "ln(EXP(x * y))")</f>
        <v>2.3174801019505326E-2</v>
      </c>
      <c r="L488" cm="1">
        <f t="array" ref="L488" xml:space="preserve"> mc(1000, -PI()/2,0,-1, 1, "ln(EXP(x * y))")</f>
        <v>7.6758522789414432E-2</v>
      </c>
      <c r="N488" cm="1">
        <f t="array" ref="N488" xml:space="preserve"> mc(100, -PI()/2,PI()/2, 0, 1, "sin(cos(x + y))")-1.48235</f>
        <v>7.0781885943216327E-3</v>
      </c>
      <c r="O488" cm="1">
        <f t="array" ref="O488" xml:space="preserve"> mc(500, -PI()/2,PI()/2, 0, 1, "sin(cos(x + y))")-1.48235</f>
        <v>4.9525174783451975E-2</v>
      </c>
      <c r="P488" cm="1">
        <f t="array" ref="P488" xml:space="preserve"> mc(1000, -PI()/2,PI()/2, 0, 1, "sin(cos(x + y))")-1.48235</f>
        <v>-4.4450386937342934E-2</v>
      </c>
    </row>
    <row r="489" spans="1:16" x14ac:dyDescent="0.3">
      <c r="A489">
        <v>459</v>
      </c>
      <c r="B489" cm="1">
        <f t="array" ref="B489" xml:space="preserve"> mc(100, 0, 4, 1, 2, "x^2+y^2")-92/3</f>
        <v>-0.30423064722881676</v>
      </c>
      <c r="C489" cm="1">
        <f t="array" ref="C489" xml:space="preserve"> mc(500, 0, 4, 1, 2, "x^2+y^2")-92/3</f>
        <v>0.5476606897540961</v>
      </c>
      <c r="D489" cm="1">
        <f t="array" ref="D489" xml:space="preserve"> mc(1000, 0, 4, 1, 2, "x^2+y^2")-92/3</f>
        <v>0.66229718423656792</v>
      </c>
      <c r="F489" cm="1">
        <f t="array" ref="F489" xml:space="preserve"> ( mc(100, 3, 4, -1, 1, "EXP(x * sin(y))") ) - 7.39981</f>
        <v>1.2147195366344619</v>
      </c>
      <c r="G489" cm="1">
        <f t="array" ref="G489" xml:space="preserve"> ( mc(500, 3, 4, -1, 1, "EXP(x * sin(y))") ) - 7.39981</f>
        <v>-0.33977089394616034</v>
      </c>
      <c r="H489" cm="1">
        <f t="array" ref="H489" xml:space="preserve"> ( mc(1000, 3, 4, -1, 1, "EXP(x * sin(y))") ) - 7.39981</f>
        <v>0.16221979381975604</v>
      </c>
      <c r="J489" cm="1">
        <f t="array" ref="J489" xml:space="preserve"> mc(100, -PI()/2,0,-1, 1, "ln(EXP(x * y))")</f>
        <v>7.1078367358132083E-2</v>
      </c>
      <c r="K489" cm="1">
        <f t="array" ref="K489" xml:space="preserve"> mc(500, -PI()/2,0,-1, 1, "ln(EXP(x * y))")</f>
        <v>7.6072425656597747E-2</v>
      </c>
      <c r="L489" cm="1">
        <f t="array" ref="L489" xml:space="preserve"> mc(1000, -PI()/2,0,-1, 1, "ln(EXP(x * y))")</f>
        <v>-4.4244382287240529E-3</v>
      </c>
      <c r="N489" cm="1">
        <f t="array" ref="N489" xml:space="preserve"> mc(100, -PI()/2,PI()/2, 0, 1, "sin(cos(x + y))")-1.48235</f>
        <v>-7.9434251679513235E-2</v>
      </c>
      <c r="O489" cm="1">
        <f t="array" ref="O489" xml:space="preserve"> mc(500, -PI()/2,PI()/2, 0, 1, "sin(cos(x + y))")-1.48235</f>
        <v>0.11931133322265275</v>
      </c>
      <c r="P489" cm="1">
        <f t="array" ref="P489" xml:space="preserve"> mc(1000, -PI()/2,PI()/2, 0, 1, "sin(cos(x + y))")-1.48235</f>
        <v>3.5635971791901033E-2</v>
      </c>
    </row>
    <row r="490" spans="1:16" x14ac:dyDescent="0.3">
      <c r="A490">
        <v>460</v>
      </c>
      <c r="B490" cm="1">
        <f t="array" ref="B490" xml:space="preserve"> mc(100, 0, 4, 1, 2, "x^2+y^2")-92/3</f>
        <v>-6.9629562858228411E-2</v>
      </c>
      <c r="C490" cm="1">
        <f t="array" ref="C490" xml:space="preserve"> mc(500, 0, 4, 1, 2, "x^2+y^2")-92/3</f>
        <v>-0.94023178162467858</v>
      </c>
      <c r="D490" cm="1">
        <f t="array" ref="D490" xml:space="preserve"> mc(1000, 0, 4, 1, 2, "x^2+y^2")-92/3</f>
        <v>0.36054447780075094</v>
      </c>
      <c r="F490" cm="1">
        <f t="array" ref="F490" xml:space="preserve"> ( mc(100, 3, 4, -1, 1, "EXP(x * sin(y))") ) - 7.39981</f>
        <v>1.6073893266891535</v>
      </c>
      <c r="G490" cm="1">
        <f t="array" ref="G490" xml:space="preserve"> ( mc(500, 3, 4, -1, 1, "EXP(x * sin(y))") ) - 7.39981</f>
        <v>-0.43118703349695053</v>
      </c>
      <c r="H490" cm="1">
        <f t="array" ref="H490" xml:space="preserve"> ( mc(1000, 3, 4, -1, 1, "EXP(x * sin(y))") ) - 7.39981</f>
        <v>-5.3728919556534471E-2</v>
      </c>
      <c r="J490" cm="1">
        <f t="array" ref="J490" xml:space="preserve"> mc(100, -PI()/2,0,-1, 1, "ln(EXP(x * y))")</f>
        <v>-0.2703249696866753</v>
      </c>
      <c r="K490" cm="1">
        <f t="array" ref="K490" xml:space="preserve"> mc(500, -PI()/2,0,-1, 1, "ln(EXP(x * y))")</f>
        <v>-4.0982844206442895E-2</v>
      </c>
      <c r="L490" cm="1">
        <f t="array" ref="L490" xml:space="preserve"> mc(1000, -PI()/2,0,-1, 1, "ln(EXP(x * y))")</f>
        <v>-5.4756435751880571E-2</v>
      </c>
      <c r="N490" cm="1">
        <f t="array" ref="N490" xml:space="preserve"> mc(100, -PI()/2,PI()/2, 0, 1, "sin(cos(x + y))")-1.48235</f>
        <v>5.5317049405426477E-2</v>
      </c>
      <c r="O490" cm="1">
        <f t="array" ref="O490" xml:space="preserve"> mc(500, -PI()/2,PI()/2, 0, 1, "sin(cos(x + y))")-1.48235</f>
        <v>2.4551236867017545E-2</v>
      </c>
      <c r="P490" cm="1">
        <f t="array" ref="P490" xml:space="preserve"> mc(1000, -PI()/2,PI()/2, 0, 1, "sin(cos(x + y))")-1.48235</f>
        <v>7.6650208434458911E-3</v>
      </c>
    </row>
    <row r="491" spans="1:16" x14ac:dyDescent="0.3">
      <c r="A491">
        <v>461</v>
      </c>
      <c r="B491" cm="1">
        <f t="array" ref="B491" xml:space="preserve"> mc(100, 0, 4, 1, 2, "x^2+y^2")-92/3</f>
        <v>-0.86891429851770496</v>
      </c>
      <c r="C491" cm="1">
        <f t="array" ref="C491" xml:space="preserve"> mc(500, 0, 4, 1, 2, "x^2+y^2")-92/3</f>
        <v>-0.72074297857304614</v>
      </c>
      <c r="D491" cm="1">
        <f t="array" ref="D491" xml:space="preserve"> mc(1000, 0, 4, 1, 2, "x^2+y^2")-92/3</f>
        <v>0.75437576845463994</v>
      </c>
      <c r="F491" cm="1">
        <f t="array" ref="F491" xml:space="preserve"> ( mc(100, 3, 4, -1, 1, "EXP(x * sin(y))") ) - 7.39981</f>
        <v>-1.3208742082095126</v>
      </c>
      <c r="G491" cm="1">
        <f t="array" ref="G491" xml:space="preserve"> ( mc(500, 3, 4, -1, 1, "EXP(x * sin(y))") ) - 7.39981</f>
        <v>-0.29107573028780465</v>
      </c>
      <c r="H491" cm="1">
        <f t="array" ref="H491" xml:space="preserve"> ( mc(1000, 3, 4, -1, 1, "EXP(x * sin(y))") ) - 7.39981</f>
        <v>5.0324256258533318E-2</v>
      </c>
      <c r="J491" cm="1">
        <f t="array" ref="J491" xml:space="preserve"> mc(100, -PI()/2,0,-1, 1, "ln(EXP(x * y))")</f>
        <v>-6.4494549270782034E-2</v>
      </c>
      <c r="K491" cm="1">
        <f t="array" ref="K491" xml:space="preserve"> mc(500, -PI()/2,0,-1, 1, "ln(EXP(x * y))")</f>
        <v>-2.468610582204871E-2</v>
      </c>
      <c r="L491" cm="1">
        <f t="array" ref="L491" xml:space="preserve"> mc(1000, -PI()/2,0,-1, 1, "ln(EXP(x * y))")</f>
        <v>5.1776299140150028E-2</v>
      </c>
      <c r="N491" cm="1">
        <f t="array" ref="N491" xml:space="preserve"> mc(100, -PI()/2,PI()/2, 0, 1, "sin(cos(x + y))")-1.48235</f>
        <v>-2.8032071917664991E-2</v>
      </c>
      <c r="O491" cm="1">
        <f t="array" ref="O491" xml:space="preserve"> mc(500, -PI()/2,PI()/2, 0, 1, "sin(cos(x + y))")-1.48235</f>
        <v>-0.10693386257681392</v>
      </c>
      <c r="P491" cm="1">
        <f t="array" ref="P491" xml:space="preserve"> mc(1000, -PI()/2,PI()/2, 0, 1, "sin(cos(x + y))")-1.48235</f>
        <v>3.161363291761532E-4</v>
      </c>
    </row>
    <row r="492" spans="1:16" x14ac:dyDescent="0.3">
      <c r="A492">
        <v>462</v>
      </c>
      <c r="B492" cm="1">
        <f t="array" ref="B492" xml:space="preserve"> mc(100, 0, 4, 1, 2, "x^2+y^2")-92/3</f>
        <v>0.53765414633969755</v>
      </c>
      <c r="C492" cm="1">
        <f t="array" ref="C492" xml:space="preserve"> mc(500, 0, 4, 1, 2, "x^2+y^2")-92/3</f>
        <v>-1.2480770942476873</v>
      </c>
      <c r="D492" cm="1">
        <f t="array" ref="D492" xml:space="preserve"> mc(1000, 0, 4, 1, 2, "x^2+y^2")-92/3</f>
        <v>0.46610833790598249</v>
      </c>
      <c r="F492" cm="1">
        <f t="array" ref="F492" xml:space="preserve"> ( mc(100, 3, 4, -1, 1, "EXP(x * sin(y))") ) - 7.39981</f>
        <v>0.41887144583822167</v>
      </c>
      <c r="G492" cm="1">
        <f t="array" ref="G492" xml:space="preserve"> ( mc(500, 3, 4, -1, 1, "EXP(x * sin(y))") ) - 7.39981</f>
        <v>-0.93937032811100085</v>
      </c>
      <c r="H492" cm="1">
        <f t="array" ref="H492" xml:space="preserve"> ( mc(1000, 3, 4, -1, 1, "EXP(x * sin(y))") ) - 7.39981</f>
        <v>-0.20964946507278448</v>
      </c>
      <c r="J492" cm="1">
        <f t="array" ref="J492" xml:space="preserve"> mc(100, -PI()/2,0,-1, 1, "ln(EXP(x * y))")</f>
        <v>0.13070955554840591</v>
      </c>
      <c r="K492" cm="1">
        <f t="array" ref="K492" xml:space="preserve"> mc(500, -PI()/2,0,-1, 1, "ln(EXP(x * y))")</f>
        <v>3.7965590440980558E-2</v>
      </c>
      <c r="L492" cm="1">
        <f t="array" ref="L492" xml:space="preserve"> mc(1000, -PI()/2,0,-1, 1, "ln(EXP(x * y))")</f>
        <v>-3.5913880831190778E-2</v>
      </c>
      <c r="N492" cm="1">
        <f t="array" ref="N492" xml:space="preserve"> mc(100, -PI()/2,PI()/2, 0, 1, "sin(cos(x + y))")-1.48235</f>
        <v>-2.6780200218430306E-3</v>
      </c>
      <c r="O492" cm="1">
        <f t="array" ref="O492" xml:space="preserve"> mc(500, -PI()/2,PI()/2, 0, 1, "sin(cos(x + y))")-1.48235</f>
        <v>-8.3763330838951822E-2</v>
      </c>
      <c r="P492" cm="1">
        <f t="array" ref="P492" xml:space="preserve"> mc(1000, -PI()/2,PI()/2, 0, 1, "sin(cos(x + y))")-1.48235</f>
        <v>-1.1916707529036064E-2</v>
      </c>
    </row>
    <row r="493" spans="1:16" x14ac:dyDescent="0.3">
      <c r="A493">
        <v>463</v>
      </c>
      <c r="B493" cm="1">
        <f t="array" ref="B493" xml:space="preserve"> mc(100, 0, 4, 1, 2, "x^2+y^2")-92/3</f>
        <v>2.0994960117737484</v>
      </c>
      <c r="C493" cm="1">
        <f t="array" ref="C493" xml:space="preserve"> mc(500, 0, 4, 1, 2, "x^2+y^2")-92/3</f>
        <v>1.2806732736139921</v>
      </c>
      <c r="D493" cm="1">
        <f t="array" ref="D493" xml:space="preserve"> mc(1000, 0, 4, 1, 2, "x^2+y^2")-92/3</f>
        <v>0.34379043547529164</v>
      </c>
      <c r="F493" cm="1">
        <f t="array" ref="F493" xml:space="preserve"> ( mc(100, 3, 4, -1, 1, "EXP(x * sin(y))") ) - 7.39981</f>
        <v>-0.3462936944607824</v>
      </c>
      <c r="G493" cm="1">
        <f t="array" ref="G493" xml:space="preserve"> ( mc(500, 3, 4, -1, 1, "EXP(x * sin(y))") ) - 7.39981</f>
        <v>0.64738450547797655</v>
      </c>
      <c r="H493" cm="1">
        <f t="array" ref="H493" xml:space="preserve"> ( mc(1000, 3, 4, -1, 1, "EXP(x * sin(y))") ) - 7.39981</f>
        <v>-0.35772319143545328</v>
      </c>
      <c r="J493" cm="1">
        <f t="array" ref="J493" xml:space="preserve"> mc(100, -PI()/2,0,-1, 1, "ln(EXP(x * y))")</f>
        <v>6.9681125054708498E-2</v>
      </c>
      <c r="K493" cm="1">
        <f t="array" ref="K493" xml:space="preserve"> mc(500, -PI()/2,0,-1, 1, "ln(EXP(x * y))")</f>
        <v>-8.6482009309877109E-2</v>
      </c>
      <c r="L493" cm="1">
        <f t="array" ref="L493" xml:space="preserve"> mc(1000, -PI()/2,0,-1, 1, "ln(EXP(x * y))")</f>
        <v>-2.7171376197793935E-2</v>
      </c>
      <c r="N493" cm="1">
        <f t="array" ref="N493" xml:space="preserve"> mc(100, -PI()/2,PI()/2, 0, 1, "sin(cos(x + y))")-1.48235</f>
        <v>2.2051711353537007E-2</v>
      </c>
      <c r="O493" cm="1">
        <f t="array" ref="O493" xml:space="preserve"> mc(500, -PI()/2,PI()/2, 0, 1, "sin(cos(x + y))")-1.48235</f>
        <v>-6.9576400573811981E-5</v>
      </c>
      <c r="P493" cm="1">
        <f t="array" ref="P493" xml:space="preserve"> mc(1000, -PI()/2,PI()/2, 0, 1, "sin(cos(x + y))")-1.48235</f>
        <v>-6.365743953795544E-2</v>
      </c>
    </row>
    <row r="494" spans="1:16" x14ac:dyDescent="0.3">
      <c r="A494">
        <v>464</v>
      </c>
      <c r="B494" cm="1">
        <f t="array" ref="B494" xml:space="preserve"> mc(100, 0, 4, 1, 2, "x^2+y^2")-92/3</f>
        <v>1.2592883820617367</v>
      </c>
      <c r="C494" cm="1">
        <f t="array" ref="C494" xml:space="preserve"> mc(500, 0, 4, 1, 2, "x^2+y^2")-92/3</f>
        <v>-0.26788595061955078</v>
      </c>
      <c r="D494" cm="1">
        <f t="array" ref="D494" xml:space="preserve"> mc(1000, 0, 4, 1, 2, "x^2+y^2")-92/3</f>
        <v>0.33103681498309001</v>
      </c>
      <c r="F494" cm="1">
        <f t="array" ref="F494" xml:space="preserve"> ( mc(100, 3, 4, -1, 1, "EXP(x * sin(y))") ) - 7.39981</f>
        <v>-1.9531061583104696</v>
      </c>
      <c r="G494" cm="1">
        <f t="array" ref="G494" xml:space="preserve"> ( mc(500, 3, 4, -1, 1, "EXP(x * sin(y))") ) - 7.39981</f>
        <v>0.23686634055627032</v>
      </c>
      <c r="H494" cm="1">
        <f t="array" ref="H494" xml:space="preserve"> ( mc(1000, 3, 4, -1, 1, "EXP(x * sin(y))") ) - 7.39981</f>
        <v>0.14464205508855699</v>
      </c>
      <c r="J494" cm="1">
        <f t="array" ref="J494" xml:space="preserve"> mc(100, -PI()/2,0,-1, 1, "ln(EXP(x * y))")</f>
        <v>1.8040488498458546E-2</v>
      </c>
      <c r="K494" cm="1">
        <f t="array" ref="K494" xml:space="preserve"> mc(500, -PI()/2,0,-1, 1, "ln(EXP(x * y))")</f>
        <v>8.2356697894902103E-3</v>
      </c>
      <c r="L494" cm="1">
        <f t="array" ref="L494" xml:space="preserve"> mc(1000, -PI()/2,0,-1, 1, "ln(EXP(x * y))")</f>
        <v>-5.8567837585930455E-2</v>
      </c>
      <c r="N494" cm="1">
        <f t="array" ref="N494" xml:space="preserve"> mc(100, -PI()/2,PI()/2, 0, 1, "sin(cos(x + y))")-1.48235</f>
        <v>-4.7819800425916714E-2</v>
      </c>
      <c r="O494" cm="1">
        <f t="array" ref="O494" xml:space="preserve"> mc(500, -PI()/2,PI()/2, 0, 1, "sin(cos(x + y))")-1.48235</f>
        <v>-6.1791860593378489E-2</v>
      </c>
      <c r="P494" cm="1">
        <f t="array" ref="P494" xml:space="preserve"> mc(1000, -PI()/2,PI()/2, 0, 1, "sin(cos(x + y))")-1.48235</f>
        <v>5.233521879142633E-2</v>
      </c>
    </row>
    <row r="495" spans="1:16" x14ac:dyDescent="0.3">
      <c r="A495">
        <v>465</v>
      </c>
      <c r="B495" cm="1">
        <f t="array" ref="B495" xml:space="preserve"> mc(100, 0, 4, 1, 2, "x^2+y^2")-92/3</f>
        <v>-1.4743657591401167</v>
      </c>
      <c r="C495" cm="1">
        <f t="array" ref="C495" xml:space="preserve"> mc(500, 0, 4, 1, 2, "x^2+y^2")-92/3</f>
        <v>0.20471596540210513</v>
      </c>
      <c r="D495" cm="1">
        <f t="array" ref="D495" xml:space="preserve"> mc(1000, 0, 4, 1, 2, "x^2+y^2")-92/3</f>
        <v>-0.76827918815943264</v>
      </c>
      <c r="F495" cm="1">
        <f t="array" ref="F495" xml:space="preserve"> ( mc(100, 3, 4, -1, 1, "EXP(x * sin(y))") ) - 7.39981</f>
        <v>-0.25923243490882264</v>
      </c>
      <c r="G495" cm="1">
        <f t="array" ref="G495" xml:space="preserve"> ( mc(500, 3, 4, -1, 1, "EXP(x * sin(y))") ) - 7.39981</f>
        <v>0.1514254384194107</v>
      </c>
      <c r="H495" cm="1">
        <f t="array" ref="H495" xml:space="preserve"> ( mc(1000, 3, 4, -1, 1, "EXP(x * sin(y))") ) - 7.39981</f>
        <v>0.55187612362607386</v>
      </c>
      <c r="J495" cm="1">
        <f t="array" ref="J495" xml:space="preserve"> mc(100, -PI()/2,0,-1, 1, "ln(EXP(x * y))")</f>
        <v>-9.6445956418752199E-2</v>
      </c>
      <c r="K495" cm="1">
        <f t="array" ref="K495" xml:space="preserve"> mc(500, -PI()/2,0,-1, 1, "ln(EXP(x * y))")</f>
        <v>-5.1505484681937184E-2</v>
      </c>
      <c r="L495" cm="1">
        <f t="array" ref="L495" xml:space="preserve"> mc(1000, -PI()/2,0,-1, 1, "ln(EXP(x * y))")</f>
        <v>2.3563998010931536E-2</v>
      </c>
      <c r="N495" cm="1">
        <f t="array" ref="N495" xml:space="preserve"> mc(100, -PI()/2,PI()/2, 0, 1, "sin(cos(x + y))")-1.48235</f>
        <v>2.8192791424671126E-2</v>
      </c>
      <c r="O495" cm="1">
        <f t="array" ref="O495" xml:space="preserve"> mc(500, -PI()/2,PI()/2, 0, 1, "sin(cos(x + y))")-1.48235</f>
        <v>4.2859805699889675E-2</v>
      </c>
      <c r="P495" cm="1">
        <f t="array" ref="P495" xml:space="preserve"> mc(1000, -PI()/2,PI()/2, 0, 1, "sin(cos(x + y))")-1.48235</f>
        <v>1.6045875681856003E-3</v>
      </c>
    </row>
    <row r="496" spans="1:16" x14ac:dyDescent="0.3">
      <c r="A496">
        <v>466</v>
      </c>
      <c r="B496" cm="1">
        <f t="array" ref="B496" xml:space="preserve"> mc(100, 0, 4, 1, 2, "x^2+y^2")-92/3</f>
        <v>-3.3302682835334707</v>
      </c>
      <c r="C496" cm="1">
        <f t="array" ref="C496" xml:space="preserve"> mc(500, 0, 4, 1, 2, "x^2+y^2")-92/3</f>
        <v>-1.6057714402219005</v>
      </c>
      <c r="D496" cm="1">
        <f t="array" ref="D496" xml:space="preserve"> mc(1000, 0, 4, 1, 2, "x^2+y^2")-92/3</f>
        <v>0.25305698554128497</v>
      </c>
      <c r="F496" cm="1">
        <f t="array" ref="F496" xml:space="preserve"> ( mc(100, 3, 4, -1, 1, "EXP(x * sin(y))") ) - 7.39981</f>
        <v>3.7932055487823746E-2</v>
      </c>
      <c r="G496" cm="1">
        <f t="array" ref="G496" xml:space="preserve"> ( mc(500, 3, 4, -1, 1, "EXP(x * sin(y))") ) - 7.39981</f>
        <v>0.200263498537117</v>
      </c>
      <c r="H496" cm="1">
        <f t="array" ref="H496" xml:space="preserve"> ( mc(1000, 3, 4, -1, 1, "EXP(x * sin(y))") ) - 7.39981</f>
        <v>-0.13653390891098827</v>
      </c>
      <c r="J496" cm="1">
        <f t="array" ref="J496" xml:space="preserve"> mc(100, -PI()/2,0,-1, 1, "ln(EXP(x * y))")</f>
        <v>-0.2730354522886565</v>
      </c>
      <c r="K496" cm="1">
        <f t="array" ref="K496" xml:space="preserve"> mc(500, -PI()/2,0,-1, 1, "ln(EXP(x * y))")</f>
        <v>4.6963777861658328E-3</v>
      </c>
      <c r="L496" cm="1">
        <f t="array" ref="L496" xml:space="preserve"> mc(1000, -PI()/2,0,-1, 1, "ln(EXP(x * y))")</f>
        <v>-4.2965761896619332E-2</v>
      </c>
      <c r="N496" cm="1">
        <f t="array" ref="N496" xml:space="preserve"> mc(100, -PI()/2,PI()/2, 0, 1, "sin(cos(x + y))")-1.48235</f>
        <v>2.5635906602969882E-3</v>
      </c>
      <c r="O496" cm="1">
        <f t="array" ref="O496" xml:space="preserve"> mc(500, -PI()/2,PI()/2, 0, 1, "sin(cos(x + y))")-1.48235</f>
        <v>5.3552588970601445E-2</v>
      </c>
      <c r="P496" cm="1">
        <f t="array" ref="P496" xml:space="preserve"> mc(1000, -PI()/2,PI()/2, 0, 1, "sin(cos(x + y))")-1.48235</f>
        <v>1.1917839020593402E-2</v>
      </c>
    </row>
    <row r="497" spans="1:16" x14ac:dyDescent="0.3">
      <c r="A497">
        <v>467</v>
      </c>
      <c r="B497" cm="1">
        <f t="array" ref="B497" xml:space="preserve"> mc(100, 0, 4, 1, 2, "x^2+y^2")-92/3</f>
        <v>0.76363439230322783</v>
      </c>
      <c r="C497" cm="1">
        <f t="array" ref="C497" xml:space="preserve"> mc(500, 0, 4, 1, 2, "x^2+y^2")-92/3</f>
        <v>0.6902338505668375</v>
      </c>
      <c r="D497" cm="1">
        <f t="array" ref="D497" xml:space="preserve"> mc(1000, 0, 4, 1, 2, "x^2+y^2")-92/3</f>
        <v>0.37331693372692243</v>
      </c>
      <c r="F497" cm="1">
        <f t="array" ref="F497" xml:space="preserve"> ( mc(100, 3, 4, -1, 1, "EXP(x * sin(y))") ) - 7.39981</f>
        <v>-0.48626459314213744</v>
      </c>
      <c r="G497" cm="1">
        <f t="array" ref="G497" xml:space="preserve"> ( mc(500, 3, 4, -1, 1, "EXP(x * sin(y))") ) - 7.39981</f>
        <v>-0.2687035215725917</v>
      </c>
      <c r="H497" cm="1">
        <f t="array" ref="H497" xml:space="preserve"> ( mc(1000, 3, 4, -1, 1, "EXP(x * sin(y))") ) - 7.39981</f>
        <v>0.11605723590822681</v>
      </c>
      <c r="J497" cm="1">
        <f t="array" ref="J497" xml:space="preserve"> mc(100, -PI()/2,0,-1, 1, "ln(EXP(x * y))")</f>
        <v>-0.16024091870305002</v>
      </c>
      <c r="K497" cm="1">
        <f t="array" ref="K497" xml:space="preserve"> mc(500, -PI()/2,0,-1, 1, "ln(EXP(x * y))")</f>
        <v>-9.4585227923764201E-3</v>
      </c>
      <c r="L497" cm="1">
        <f t="array" ref="L497" xml:space="preserve"> mc(1000, -PI()/2,0,-1, 1, "ln(EXP(x * y))")</f>
        <v>2.9427941671344156E-2</v>
      </c>
      <c r="N497" cm="1">
        <f t="array" ref="N497" xml:space="preserve"> mc(100, -PI()/2,PI()/2, 0, 1, "sin(cos(x + y))")-1.48235</f>
        <v>-3.3039558314096329E-2</v>
      </c>
      <c r="O497" cm="1">
        <f t="array" ref="O497" xml:space="preserve"> mc(500, -PI()/2,PI()/2, 0, 1, "sin(cos(x + y))")-1.48235</f>
        <v>1.7957167197943269E-2</v>
      </c>
      <c r="P497" cm="1">
        <f t="array" ref="P497" xml:space="preserve"> mc(1000, -PI()/2,PI()/2, 0, 1, "sin(cos(x + y))")-1.48235</f>
        <v>-3.7718834606336404E-2</v>
      </c>
    </row>
    <row r="498" spans="1:16" x14ac:dyDescent="0.3">
      <c r="A498">
        <v>468</v>
      </c>
      <c r="B498" cm="1">
        <f t="array" ref="B498" xml:space="preserve"> mc(100, 0, 4, 1, 2, "x^2+y^2")-92/3</f>
        <v>-0.75268761666286821</v>
      </c>
      <c r="C498" cm="1">
        <f t="array" ref="C498" xml:space="preserve"> mc(500, 0, 4, 1, 2, "x^2+y^2")-92/3</f>
        <v>0.98173307180475078</v>
      </c>
      <c r="D498" cm="1">
        <f t="array" ref="D498" xml:space="preserve"> mc(1000, 0, 4, 1, 2, "x^2+y^2")-92/3</f>
        <v>0.15402818430555598</v>
      </c>
      <c r="F498" cm="1">
        <f t="array" ref="F498" xml:space="preserve"> ( mc(100, 3, 4, -1, 1, "EXP(x * sin(y))") ) - 7.39981</f>
        <v>3.3915196756842292E-2</v>
      </c>
      <c r="G498" cm="1">
        <f t="array" ref="G498" xml:space="preserve"> ( mc(500, 3, 4, -1, 1, "EXP(x * sin(y))") ) - 7.39981</f>
        <v>-0.39980181416322491</v>
      </c>
      <c r="H498" cm="1">
        <f t="array" ref="H498" xml:space="preserve"> ( mc(1000, 3, 4, -1, 1, "EXP(x * sin(y))") ) - 7.39981</f>
        <v>0.21481418556416809</v>
      </c>
      <c r="J498" cm="1">
        <f t="array" ref="J498" xml:space="preserve"> mc(100, -PI()/2,0,-1, 1, "ln(EXP(x * y))")</f>
        <v>4.0858395809519436E-3</v>
      </c>
      <c r="K498" cm="1">
        <f t="array" ref="K498" xml:space="preserve"> mc(500, -PI()/2,0,-1, 1, "ln(EXP(x * y))")</f>
        <v>0.19367728905625078</v>
      </c>
      <c r="L498" cm="1">
        <f t="array" ref="L498" xml:space="preserve"> mc(1000, -PI()/2,0,-1, 1, "ln(EXP(x * y))")</f>
        <v>-0.1302675593380529</v>
      </c>
      <c r="N498" cm="1">
        <f t="array" ref="N498" xml:space="preserve"> mc(100, -PI()/2,PI()/2, 0, 1, "sin(cos(x + y))")-1.48235</f>
        <v>-8.2951155123275555E-2</v>
      </c>
      <c r="O498" cm="1">
        <f t="array" ref="O498" xml:space="preserve"> mc(500, -PI()/2,PI()/2, 0, 1, "sin(cos(x + y))")-1.48235</f>
        <v>3.506584274475455E-2</v>
      </c>
      <c r="P498" cm="1">
        <f t="array" ref="P498" xml:space="preserve"> mc(1000, -PI()/2,PI()/2, 0, 1, "sin(cos(x + y))")-1.48235</f>
        <v>-5.6166081122239309E-2</v>
      </c>
    </row>
    <row r="499" spans="1:16" x14ac:dyDescent="0.3">
      <c r="A499">
        <v>469</v>
      </c>
      <c r="B499" cm="1">
        <f t="array" ref="B499" xml:space="preserve"> mc(100, 0, 4, 1, 2, "x^2+y^2")-92/3</f>
        <v>5.5272130010123313</v>
      </c>
      <c r="C499" cm="1">
        <f t="array" ref="C499" xml:space="preserve"> mc(500, 0, 4, 1, 2, "x^2+y^2")-92/3</f>
        <v>1.3776500470421915</v>
      </c>
      <c r="D499" cm="1">
        <f t="array" ref="D499" xml:space="preserve"> mc(1000, 0, 4, 1, 2, "x^2+y^2")-92/3</f>
        <v>-0.75045563817550587</v>
      </c>
      <c r="F499" cm="1">
        <f t="array" ref="F499" xml:space="preserve"> ( mc(100, 3, 4, -1, 1, "EXP(x * sin(y))") ) - 7.39981</f>
        <v>7.9112793254946467E-2</v>
      </c>
      <c r="G499" cm="1">
        <f t="array" ref="G499" xml:space="preserve"> ( mc(500, 3, 4, -1, 1, "EXP(x * sin(y))") ) - 7.39981</f>
        <v>-0.32970236331417713</v>
      </c>
      <c r="H499" cm="1">
        <f t="array" ref="H499" xml:space="preserve"> ( mc(1000, 3, 4, -1, 1, "EXP(x * sin(y))") ) - 7.39981</f>
        <v>0.38586986687567304</v>
      </c>
      <c r="J499" cm="1">
        <f t="array" ref="J499" xml:space="preserve"> mc(100, -PI()/2,0,-1, 1, "ln(EXP(x * y))")</f>
        <v>0.10866873560823838</v>
      </c>
      <c r="K499" cm="1">
        <f t="array" ref="K499" xml:space="preserve"> mc(500, -PI()/2,0,-1, 1, "ln(EXP(x * y))")</f>
        <v>3.0239224481140217E-2</v>
      </c>
      <c r="L499" cm="1">
        <f t="array" ref="L499" xml:space="preserve"> mc(1000, -PI()/2,0,-1, 1, "ln(EXP(x * y))")</f>
        <v>-5.1338802904554254E-2</v>
      </c>
      <c r="N499" cm="1">
        <f t="array" ref="N499" xml:space="preserve"> mc(100, -PI()/2,PI()/2, 0, 1, "sin(cos(x + y))")-1.48235</f>
        <v>1.0003999835414668E-2</v>
      </c>
      <c r="O499" cm="1">
        <f t="array" ref="O499" xml:space="preserve"> mc(500, -PI()/2,PI()/2, 0, 1, "sin(cos(x + y))")-1.48235</f>
        <v>2.036820614735424E-2</v>
      </c>
      <c r="P499" cm="1">
        <f t="array" ref="P499" xml:space="preserve"> mc(1000, -PI()/2,PI()/2, 0, 1, "sin(cos(x + y))")-1.48235</f>
        <v>3.0849692341208934E-2</v>
      </c>
    </row>
    <row r="500" spans="1:16" x14ac:dyDescent="0.3">
      <c r="A500">
        <v>470</v>
      </c>
      <c r="B500" cm="1">
        <f t="array" ref="B500" xml:space="preserve"> mc(100, 0, 4, 1, 2, "x^2+y^2")-92/3</f>
        <v>0.19261514217420128</v>
      </c>
      <c r="C500" cm="1">
        <f t="array" ref="C500" xml:space="preserve"> mc(500, 0, 4, 1, 2, "x^2+y^2")-92/3</f>
        <v>1.2496771962391087</v>
      </c>
      <c r="D500" cm="1">
        <f t="array" ref="D500" xml:space="preserve"> mc(1000, 0, 4, 1, 2, "x^2+y^2")-92/3</f>
        <v>-0.1991024830379331</v>
      </c>
      <c r="F500" cm="1">
        <f t="array" ref="F500" xml:space="preserve"> ( mc(100, 3, 4, -1, 1, "EXP(x * sin(y))") ) - 7.39981</f>
        <v>-0.18305844455001452</v>
      </c>
      <c r="G500" cm="1">
        <f t="array" ref="G500" xml:space="preserve"> ( mc(500, 3, 4, -1, 1, "EXP(x * sin(y))") ) - 7.39981</f>
        <v>0.15469521308987844</v>
      </c>
      <c r="H500" cm="1">
        <f t="array" ref="H500" xml:space="preserve"> ( mc(1000, 3, 4, -1, 1, "EXP(x * sin(y))") ) - 7.39981</f>
        <v>0.76590692880848898</v>
      </c>
      <c r="J500" cm="1">
        <f t="array" ref="J500" xml:space="preserve"> mc(100, -PI()/2,0,-1, 1, "ln(EXP(x * y))")</f>
        <v>0.14306230981318038</v>
      </c>
      <c r="K500" cm="1">
        <f t="array" ref="K500" xml:space="preserve"> mc(500, -PI()/2,0,-1, 1, "ln(EXP(x * y))")</f>
        <v>-7.6225391241143192E-2</v>
      </c>
      <c r="L500" cm="1">
        <f t="array" ref="L500" xml:space="preserve"> mc(1000, -PI()/2,0,-1, 1, "ln(EXP(x * y))")</f>
        <v>2.0460636101457534E-2</v>
      </c>
      <c r="N500" cm="1">
        <f t="array" ref="N500" xml:space="preserve"> mc(100, -PI()/2,PI()/2, 0, 1, "sin(cos(x + y))")-1.48235</f>
        <v>0.16722552522088519</v>
      </c>
      <c r="O500" cm="1">
        <f t="array" ref="O500" xml:space="preserve"> mc(500, -PI()/2,PI()/2, 0, 1, "sin(cos(x + y))")-1.48235</f>
        <v>0.11232692250015974</v>
      </c>
      <c r="P500" cm="1">
        <f t="array" ref="P500" xml:space="preserve"> mc(1000, -PI()/2,PI()/2, 0, 1, "sin(cos(x + y))")-1.48235</f>
        <v>-2.1405662869208975E-2</v>
      </c>
    </row>
    <row r="501" spans="1:16" x14ac:dyDescent="0.3">
      <c r="A501">
        <v>471</v>
      </c>
      <c r="B501" cm="1">
        <f t="array" ref="B501" xml:space="preserve"> mc(100, 0, 4, 1, 2, "x^2+y^2")-92/3</f>
        <v>0.65007960496742356</v>
      </c>
      <c r="C501" cm="1">
        <f t="array" ref="C501" xml:space="preserve"> mc(500, 0, 4, 1, 2, "x^2+y^2")-92/3</f>
        <v>0.2346491943741249</v>
      </c>
      <c r="D501" cm="1">
        <f t="array" ref="D501" xml:space="preserve"> mc(1000, 0, 4, 1, 2, "x^2+y^2")-92/3</f>
        <v>-0.24734892336662639</v>
      </c>
      <c r="F501" cm="1">
        <f t="array" ref="F501" xml:space="preserve"> ( mc(100, 3, 4, -1, 1, "EXP(x * sin(y))") ) - 7.39981</f>
        <v>0.43089743168053118</v>
      </c>
      <c r="G501" cm="1">
        <f t="array" ref="G501" xml:space="preserve"> ( mc(500, 3, 4, -1, 1, "EXP(x * sin(y))") ) - 7.39981</f>
        <v>3.448050629320587E-2</v>
      </c>
      <c r="H501" cm="1">
        <f t="array" ref="H501" xml:space="preserve"> ( mc(1000, 3, 4, -1, 1, "EXP(x * sin(y))") ) - 7.39981</f>
        <v>0.73421469498127578</v>
      </c>
      <c r="J501" cm="1">
        <f t="array" ref="J501" xml:space="preserve"> mc(100, -PI()/2,0,-1, 1, "ln(EXP(x * y))")</f>
        <v>-0.10874890937458508</v>
      </c>
      <c r="K501" cm="1">
        <f t="array" ref="K501" xml:space="preserve"> mc(500, -PI()/2,0,-1, 1, "ln(EXP(x * y))")</f>
        <v>4.1042616814108777E-2</v>
      </c>
      <c r="L501" cm="1">
        <f t="array" ref="L501" xml:space="preserve"> mc(1000, -PI()/2,0,-1, 1, "ln(EXP(x * y))")</f>
        <v>-3.7174832395548335E-2</v>
      </c>
      <c r="N501" cm="1">
        <f t="array" ref="N501" xml:space="preserve"> mc(100, -PI()/2,PI()/2, 0, 1, "sin(cos(x + y))")-1.48235</f>
        <v>0.21467895340802334</v>
      </c>
      <c r="O501" cm="1">
        <f t="array" ref="O501" xml:space="preserve"> mc(500, -PI()/2,PI()/2, 0, 1, "sin(cos(x + y))")-1.48235</f>
        <v>-5.5556553998961977E-2</v>
      </c>
      <c r="P501" cm="1">
        <f t="array" ref="P501" xml:space="preserve"> mc(1000, -PI()/2,PI()/2, 0, 1, "sin(cos(x + y))")-1.48235</f>
        <v>-3.8990396525357296E-2</v>
      </c>
    </row>
    <row r="502" spans="1:16" x14ac:dyDescent="0.3">
      <c r="A502">
        <v>472</v>
      </c>
      <c r="B502" cm="1">
        <f t="array" ref="B502" xml:space="preserve"> mc(100, 0, 4, 1, 2, "x^2+y^2")-92/3</f>
        <v>1.1381710272304737</v>
      </c>
      <c r="C502" cm="1">
        <f t="array" ref="C502" xml:space="preserve"> mc(500, 0, 4, 1, 2, "x^2+y^2")-92/3</f>
        <v>0.47632668092876784</v>
      </c>
      <c r="D502" cm="1">
        <f t="array" ref="D502" xml:space="preserve"> mc(1000, 0, 4, 1, 2, "x^2+y^2")-92/3</f>
        <v>0.74794106182476483</v>
      </c>
      <c r="F502" cm="1">
        <f t="array" ref="F502" xml:space="preserve"> ( mc(100, 3, 4, -1, 1, "EXP(x * sin(y))") ) - 7.39981</f>
        <v>1.1295876888241434</v>
      </c>
      <c r="G502" cm="1">
        <f t="array" ref="G502" xml:space="preserve"> ( mc(500, 3, 4, -1, 1, "EXP(x * sin(y))") ) - 7.39981</f>
        <v>-0.34986034308129454</v>
      </c>
      <c r="H502" cm="1">
        <f t="array" ref="H502" xml:space="preserve"> ( mc(1000, 3, 4, -1, 1, "EXP(x * sin(y))") ) - 7.39981</f>
        <v>0.29204187808385473</v>
      </c>
      <c r="J502" cm="1">
        <f t="array" ref="J502" xml:space="preserve"> mc(100, -PI()/2,0,-1, 1, "ln(EXP(x * y))")</f>
        <v>-1.7124958480818072E-2</v>
      </c>
      <c r="K502" cm="1">
        <f t="array" ref="K502" xml:space="preserve"> mc(500, -PI()/2,0,-1, 1, "ln(EXP(x * y))")</f>
        <v>-4.3498035054199233E-2</v>
      </c>
      <c r="L502" cm="1">
        <f t="array" ref="L502" xml:space="preserve"> mc(1000, -PI()/2,0,-1, 1, "ln(EXP(x * y))")</f>
        <v>1.511297478705482E-2</v>
      </c>
      <c r="N502" cm="1">
        <f t="array" ref="N502" xml:space="preserve"> mc(100, -PI()/2,PI()/2, 0, 1, "sin(cos(x + y))")-1.48235</f>
        <v>2.2099408472402438E-2</v>
      </c>
      <c r="O502" cm="1">
        <f t="array" ref="O502" xml:space="preserve"> mc(500, -PI()/2,PI()/2, 0, 1, "sin(cos(x + y))")-1.48235</f>
        <v>-9.0306087609925978E-2</v>
      </c>
      <c r="P502" cm="1">
        <f t="array" ref="P502" xml:space="preserve"> mc(1000, -PI()/2,PI()/2, 0, 1, "sin(cos(x + y))")-1.48235</f>
        <v>0.10471677520480815</v>
      </c>
    </row>
    <row r="503" spans="1:16" x14ac:dyDescent="0.3">
      <c r="A503">
        <v>473</v>
      </c>
      <c r="B503" cm="1">
        <f t="array" ref="B503" xml:space="preserve"> mc(100, 0, 4, 1, 2, "x^2+y^2")-92/3</f>
        <v>1.1260918298521787</v>
      </c>
      <c r="C503" cm="1">
        <f t="array" ref="C503" xml:space="preserve"> mc(500, 0, 4, 1, 2, "x^2+y^2")-92/3</f>
        <v>-1.1555492851465239</v>
      </c>
      <c r="D503" cm="1">
        <f t="array" ref="D503" xml:space="preserve"> mc(1000, 0, 4, 1, 2, "x^2+y^2")-92/3</f>
        <v>-0.72497217816409076</v>
      </c>
      <c r="F503" cm="1">
        <f t="array" ref="F503" xml:space="preserve"> ( mc(100, 3, 4, -1, 1, "EXP(x * sin(y))") ) - 7.39981</f>
        <v>2.2031875480985494</v>
      </c>
      <c r="G503" cm="1">
        <f t="array" ref="G503" xml:space="preserve"> ( mc(500, 3, 4, -1, 1, "EXP(x * sin(y))") ) - 7.39981</f>
        <v>6.3197637121864325E-2</v>
      </c>
      <c r="H503" cm="1">
        <f t="array" ref="H503" xml:space="preserve"> ( mc(1000, 3, 4, -1, 1, "EXP(x * sin(y))") ) - 7.39981</f>
        <v>0.51264840604110429</v>
      </c>
      <c r="J503" cm="1">
        <f t="array" ref="J503" xml:space="preserve"> mc(100, -PI()/2,0,-1, 1, "ln(EXP(x * y))")</f>
        <v>-0.20343314532914439</v>
      </c>
      <c r="K503" cm="1">
        <f t="array" ref="K503" xml:space="preserve"> mc(500, -PI()/2,0,-1, 1, "ln(EXP(x * y))")</f>
        <v>5.1240548892627878E-2</v>
      </c>
      <c r="L503" cm="1">
        <f t="array" ref="L503" xml:space="preserve"> mc(1000, -PI()/2,0,-1, 1, "ln(EXP(x * y))")</f>
        <v>-1.8639741349460438E-2</v>
      </c>
      <c r="N503" cm="1">
        <f t="array" ref="N503" xml:space="preserve"> mc(100, -PI()/2,PI()/2, 0, 1, "sin(cos(x + y))")-1.48235</f>
        <v>5.7638272293799808E-2</v>
      </c>
      <c r="O503" cm="1">
        <f t="array" ref="O503" xml:space="preserve"> mc(500, -PI()/2,PI()/2, 0, 1, "sin(cos(x + y))")-1.48235</f>
        <v>6.3367519936527339E-2</v>
      </c>
      <c r="P503" cm="1">
        <f t="array" ref="P503" xml:space="preserve"> mc(1000, -PI()/2,PI()/2, 0, 1, "sin(cos(x + y))")-1.48235</f>
        <v>2.5715597034209559E-2</v>
      </c>
    </row>
    <row r="504" spans="1:16" x14ac:dyDescent="0.3">
      <c r="A504">
        <v>474</v>
      </c>
      <c r="B504" cm="1">
        <f t="array" ref="B504" xml:space="preserve"> mc(100, 0, 4, 1, 2, "x^2+y^2")-92/3</f>
        <v>-0.74738630598472255</v>
      </c>
      <c r="C504" cm="1">
        <f t="array" ref="C504" xml:space="preserve"> mc(500, 0, 4, 1, 2, "x^2+y^2")-92/3</f>
        <v>-0.77492188482384705</v>
      </c>
      <c r="D504" cm="1">
        <f t="array" ref="D504" xml:space="preserve"> mc(1000, 0, 4, 1, 2, "x^2+y^2")-92/3</f>
        <v>-0.66296161058246028</v>
      </c>
      <c r="F504" cm="1">
        <f t="array" ref="F504" xml:space="preserve"> ( mc(100, 3, 4, -1, 1, "EXP(x * sin(y))") ) - 7.39981</f>
        <v>0.13776082654196831</v>
      </c>
      <c r="G504" cm="1">
        <f t="array" ref="G504" xml:space="preserve"> ( mc(500, 3, 4, -1, 1, "EXP(x * sin(y))") ) - 7.39981</f>
        <v>-0.50781090495625314</v>
      </c>
      <c r="H504" cm="1">
        <f t="array" ref="H504" xml:space="preserve"> ( mc(1000, 3, 4, -1, 1, "EXP(x * sin(y))") ) - 7.39981</f>
        <v>0.69450179742107032</v>
      </c>
      <c r="J504" cm="1">
        <f t="array" ref="J504" xml:space="preserve"> mc(100, -PI()/2,0,-1, 1, "ln(EXP(x * y))")</f>
        <v>-0.28154153599303211</v>
      </c>
      <c r="K504" cm="1">
        <f t="array" ref="K504" xml:space="preserve"> mc(500, -PI()/2,0,-1, 1, "ln(EXP(x * y))")</f>
        <v>-6.6860283593453876E-2</v>
      </c>
      <c r="L504" cm="1">
        <f t="array" ref="L504" xml:space="preserve"> mc(1000, -PI()/2,0,-1, 1, "ln(EXP(x * y))")</f>
        <v>-6.6072193366742818E-2</v>
      </c>
      <c r="N504" cm="1">
        <f t="array" ref="N504" xml:space="preserve"> mc(100, -PI()/2,PI()/2, 0, 1, "sin(cos(x + y))")-1.48235</f>
        <v>-9.0181979291235947E-2</v>
      </c>
      <c r="O504" cm="1">
        <f t="array" ref="O504" xml:space="preserve"> mc(500, -PI()/2,PI()/2, 0, 1, "sin(cos(x + y))")-1.48235</f>
        <v>-0.10216035405720691</v>
      </c>
      <c r="P504" cm="1">
        <f t="array" ref="P504" xml:space="preserve"> mc(1000, -PI()/2,PI()/2, 0, 1, "sin(cos(x + y))")-1.48235</f>
        <v>4.3374454765860992E-3</v>
      </c>
    </row>
    <row r="505" spans="1:16" x14ac:dyDescent="0.3">
      <c r="A505">
        <v>475</v>
      </c>
      <c r="B505" cm="1">
        <f t="array" ref="B505" xml:space="preserve"> mc(100, 0, 4, 1, 2, "x^2+y^2")-92/3</f>
        <v>-1.7357447604213867</v>
      </c>
      <c r="C505" cm="1">
        <f t="array" ref="C505" xml:space="preserve"> mc(500, 0, 4, 1, 2, "x^2+y^2")-92/3</f>
        <v>0.7328443833804954</v>
      </c>
      <c r="D505" cm="1">
        <f t="array" ref="D505" xml:space="preserve"> mc(1000, 0, 4, 1, 2, "x^2+y^2")-92/3</f>
        <v>-0.77193543381369167</v>
      </c>
      <c r="F505" cm="1">
        <f t="array" ref="F505" xml:space="preserve"> ( mc(100, 3, 4, -1, 1, "EXP(x * sin(y))") ) - 7.39981</f>
        <v>1.4085167287353855</v>
      </c>
      <c r="G505" cm="1">
        <f t="array" ref="G505" xml:space="preserve"> ( mc(500, 3, 4, -1, 1, "EXP(x * sin(y))") ) - 7.39981</f>
        <v>0.3871877557603236</v>
      </c>
      <c r="H505" cm="1">
        <f t="array" ref="H505" xml:space="preserve"> ( mc(1000, 3, 4, -1, 1, "EXP(x * sin(y))") ) - 7.39981</f>
        <v>-0.50250699496499163</v>
      </c>
      <c r="J505" cm="1">
        <f t="array" ref="J505" xml:space="preserve"> mc(100, -PI()/2,0,-1, 1, "ln(EXP(x * y))")</f>
        <v>9.5821155444290929E-2</v>
      </c>
      <c r="K505" cm="1">
        <f t="array" ref="K505" xml:space="preserve"> mc(500, -PI()/2,0,-1, 1, "ln(EXP(x * y))")</f>
        <v>-4.4845731108165594E-2</v>
      </c>
      <c r="L505" cm="1">
        <f t="array" ref="L505" xml:space="preserve"> mc(1000, -PI()/2,0,-1, 1, "ln(EXP(x * y))")</f>
        <v>-2.4087685966137785E-2</v>
      </c>
      <c r="N505" cm="1">
        <f t="array" ref="N505" xml:space="preserve"> mc(100, -PI()/2,PI()/2, 0, 1, "sin(cos(x + y))")-1.48235</f>
        <v>0.26829110722784022</v>
      </c>
      <c r="O505" cm="1">
        <f t="array" ref="O505" xml:space="preserve"> mc(500, -PI()/2,PI()/2, 0, 1, "sin(cos(x + y))")-1.48235</f>
        <v>9.4307123704275631E-2</v>
      </c>
      <c r="P505" cm="1">
        <f t="array" ref="P505" xml:space="preserve"> mc(1000, -PI()/2,PI()/2, 0, 1, "sin(cos(x + y))")-1.48235</f>
        <v>1.5178124472923882E-2</v>
      </c>
    </row>
    <row r="506" spans="1:16" x14ac:dyDescent="0.3">
      <c r="A506">
        <v>476</v>
      </c>
      <c r="B506" cm="1">
        <f t="array" ref="B506" xml:space="preserve"> mc(100, 0, 4, 1, 2, "x^2+y^2")-92/3</f>
        <v>-1.3206559358644689</v>
      </c>
      <c r="C506" cm="1">
        <f t="array" ref="C506" xml:space="preserve"> mc(500, 0, 4, 1, 2, "x^2+y^2")-92/3</f>
        <v>-0.50117090416044618</v>
      </c>
      <c r="D506" cm="1">
        <f t="array" ref="D506" xml:space="preserve"> mc(1000, 0, 4, 1, 2, "x^2+y^2")-92/3</f>
        <v>-0.44170185240203708</v>
      </c>
      <c r="F506" cm="1">
        <f t="array" ref="F506" xml:space="preserve"> ( mc(100, 3, 4, -1, 1, "EXP(x * sin(y))") ) - 7.39981</f>
        <v>-0.5747648118371993</v>
      </c>
      <c r="G506" cm="1">
        <f t="array" ref="G506" xml:space="preserve"> ( mc(500, 3, 4, -1, 1, "EXP(x * sin(y))") ) - 7.39981</f>
        <v>1.1970258231804642E-2</v>
      </c>
      <c r="H506" cm="1">
        <f t="array" ref="H506" xml:space="preserve"> ( mc(1000, 3, 4, -1, 1, "EXP(x * sin(y))") ) - 7.39981</f>
        <v>-2.6601071382232E-2</v>
      </c>
      <c r="J506" cm="1">
        <f t="array" ref="J506" xml:space="preserve"> mc(100, -PI()/2,0,-1, 1, "ln(EXP(x * y))")</f>
        <v>0.10981201890765986</v>
      </c>
      <c r="K506" cm="1">
        <f t="array" ref="K506" xml:space="preserve"> mc(500, -PI()/2,0,-1, 1, "ln(EXP(x * y))")</f>
        <v>-2.2914380756769995E-2</v>
      </c>
      <c r="L506" cm="1">
        <f t="array" ref="L506" xml:space="preserve"> mc(1000, -PI()/2,0,-1, 1, "ln(EXP(x * y))")</f>
        <v>3.7860486079526025E-3</v>
      </c>
      <c r="N506" cm="1">
        <f t="array" ref="N506" xml:space="preserve"> mc(100, -PI()/2,PI()/2, 0, 1, "sin(cos(x + y))")-1.48235</f>
        <v>0.12203552896494219</v>
      </c>
      <c r="O506" cm="1">
        <f t="array" ref="O506" xml:space="preserve"> mc(500, -PI()/2,PI()/2, 0, 1, "sin(cos(x + y))")-1.48235</f>
        <v>-9.7558398799955093E-3</v>
      </c>
      <c r="P506" cm="1">
        <f t="array" ref="P506" xml:space="preserve"> mc(1000, -PI()/2,PI()/2, 0, 1, "sin(cos(x + y))")-1.48235</f>
        <v>-4.893580596444802E-2</v>
      </c>
    </row>
    <row r="507" spans="1:16" x14ac:dyDescent="0.3">
      <c r="A507">
        <v>477</v>
      </c>
      <c r="B507" cm="1">
        <f t="array" ref="B507" xml:space="preserve"> mc(100, 0, 4, 1, 2, "x^2+y^2")-92/3</f>
        <v>3.6242651215772987</v>
      </c>
      <c r="C507" cm="1">
        <f t="array" ref="C507" xml:space="preserve"> mc(500, 0, 4, 1, 2, "x^2+y^2")-92/3</f>
        <v>-1.7484927043883438</v>
      </c>
      <c r="D507" cm="1">
        <f t="array" ref="D507" xml:space="preserve"> mc(1000, 0, 4, 1, 2, "x^2+y^2")-92/3</f>
        <v>-1.9483042254732794</v>
      </c>
      <c r="F507" cm="1">
        <f t="array" ref="F507" xml:space="preserve"> ( mc(100, 3, 4, -1, 1, "EXP(x * sin(y))") ) - 7.39981</f>
        <v>-0.29203645344468132</v>
      </c>
      <c r="G507" cm="1">
        <f t="array" ref="G507" xml:space="preserve"> ( mc(500, 3, 4, -1, 1, "EXP(x * sin(y))") ) - 7.39981</f>
        <v>0.43297703576642466</v>
      </c>
      <c r="H507" cm="1">
        <f t="array" ref="H507" xml:space="preserve"> ( mc(1000, 3, 4, -1, 1, "EXP(x * sin(y))") ) - 7.39981</f>
        <v>2.7144293517071816E-3</v>
      </c>
      <c r="J507" cm="1">
        <f t="array" ref="J507" xml:space="preserve"> mc(100, -PI()/2,0,-1, 1, "ln(EXP(x * y))")</f>
        <v>0.18504358977277685</v>
      </c>
      <c r="K507" cm="1">
        <f t="array" ref="K507" xml:space="preserve"> mc(500, -PI()/2,0,-1, 1, "ln(EXP(x * y))")</f>
        <v>-7.5427614000276389E-3</v>
      </c>
      <c r="L507" cm="1">
        <f t="array" ref="L507" xml:space="preserve"> mc(1000, -PI()/2,0,-1, 1, "ln(EXP(x * y))")</f>
        <v>-4.3384079389336208E-2</v>
      </c>
      <c r="N507" cm="1">
        <f t="array" ref="N507" xml:space="preserve"> mc(100, -PI()/2,PI()/2, 0, 1, "sin(cos(x + y))")-1.48235</f>
        <v>-0.21778793925286277</v>
      </c>
      <c r="O507" cm="1">
        <f t="array" ref="O507" xml:space="preserve"> mc(500, -PI()/2,PI()/2, 0, 1, "sin(cos(x + y))")-1.48235</f>
        <v>3.1522118266340771E-2</v>
      </c>
      <c r="P507" cm="1">
        <f t="array" ref="P507" xml:space="preserve"> mc(1000, -PI()/2,PI()/2, 0, 1, "sin(cos(x + y))")-1.48235</f>
        <v>1.3953246818081411E-2</v>
      </c>
    </row>
    <row r="508" spans="1:16" x14ac:dyDescent="0.3">
      <c r="A508">
        <v>478</v>
      </c>
      <c r="B508" cm="1">
        <f t="array" ref="B508" xml:space="preserve"> mc(100, 0, 4, 1, 2, "x^2+y^2")-92/3</f>
        <v>0.69787134685255481</v>
      </c>
      <c r="C508" cm="1">
        <f t="array" ref="C508" xml:space="preserve"> mc(500, 0, 4, 1, 2, "x^2+y^2")-92/3</f>
        <v>-0.30757575241380408</v>
      </c>
      <c r="D508" cm="1">
        <f t="array" ref="D508" xml:space="preserve"> mc(1000, 0, 4, 1, 2, "x^2+y^2")-92/3</f>
        <v>0.66824617848713785</v>
      </c>
      <c r="F508" cm="1">
        <f t="array" ref="F508" xml:space="preserve"> ( mc(100, 3, 4, -1, 1, "EXP(x * sin(y))") ) - 7.39981</f>
        <v>1.5605860558322266</v>
      </c>
      <c r="G508" cm="1">
        <f t="array" ref="G508" xml:space="preserve"> ( mc(500, 3, 4, -1, 1, "EXP(x * sin(y))") ) - 7.39981</f>
        <v>0.12906995713982017</v>
      </c>
      <c r="H508" cm="1">
        <f t="array" ref="H508" xml:space="preserve"> ( mc(1000, 3, 4, -1, 1, "EXP(x * sin(y))") ) - 7.39981</f>
        <v>0.38192641895275692</v>
      </c>
      <c r="J508" cm="1">
        <f t="array" ref="J508" xml:space="preserve"> mc(100, -PI()/2,0,-1, 1, "ln(EXP(x * y))")</f>
        <v>-4.7994193573126759E-2</v>
      </c>
      <c r="K508" cm="1">
        <f t="array" ref="K508" xml:space="preserve"> mc(500, -PI()/2,0,-1, 1, "ln(EXP(x * y))")</f>
        <v>-0.13447187922782639</v>
      </c>
      <c r="L508" cm="1">
        <f t="array" ref="L508" xml:space="preserve"> mc(1000, -PI()/2,0,-1, 1, "ln(EXP(x * y))")</f>
        <v>-0.12194457823758163</v>
      </c>
      <c r="N508" cm="1">
        <f t="array" ref="N508" xml:space="preserve"> mc(100, -PI()/2,PI()/2, 0, 1, "sin(cos(x + y))")-1.48235</f>
        <v>-9.1580988277722319E-2</v>
      </c>
      <c r="O508" cm="1">
        <f t="array" ref="O508" xml:space="preserve"> mc(500, -PI()/2,PI()/2, 0, 1, "sin(cos(x + y))")-1.48235</f>
        <v>-4.9037810317678066E-3</v>
      </c>
      <c r="P508" cm="1">
        <f t="array" ref="P508" xml:space="preserve"> mc(1000, -PI()/2,PI()/2, 0, 1, "sin(cos(x + y))")-1.48235</f>
        <v>9.5500869927955812E-3</v>
      </c>
    </row>
    <row r="509" spans="1:16" x14ac:dyDescent="0.3">
      <c r="A509">
        <v>479</v>
      </c>
      <c r="B509" cm="1">
        <f t="array" ref="B509" xml:space="preserve"> mc(100, 0, 4, 1, 2, "x^2+y^2")-92/3</f>
        <v>-8.6014129153472396E-2</v>
      </c>
      <c r="C509" cm="1">
        <f t="array" ref="C509" xml:space="preserve"> mc(500, 0, 4, 1, 2, "x^2+y^2")-92/3</f>
        <v>0.10929857614167915</v>
      </c>
      <c r="D509" cm="1">
        <f t="array" ref="D509" xml:space="preserve"> mc(1000, 0, 4, 1, 2, "x^2+y^2")-92/3</f>
        <v>-5.1134837071089123E-2</v>
      </c>
      <c r="F509" cm="1">
        <f t="array" ref="F509" xml:space="preserve"> ( mc(100, 3, 4, -1, 1, "EXP(x * sin(y))") ) - 7.39981</f>
        <v>-0.44344190916883175</v>
      </c>
      <c r="G509" cm="1">
        <f t="array" ref="G509" xml:space="preserve"> ( mc(500, 3, 4, -1, 1, "EXP(x * sin(y))") ) - 7.39981</f>
        <v>-0.31053321952886126</v>
      </c>
      <c r="H509" cm="1">
        <f t="array" ref="H509" xml:space="preserve"> ( mc(1000, 3, 4, -1, 1, "EXP(x * sin(y))") ) - 7.39981</f>
        <v>-3.5850508225889754E-3</v>
      </c>
      <c r="J509" cm="1">
        <f t="array" ref="J509" xml:space="preserve"> mc(100, -PI()/2,0,-1, 1, "ln(EXP(x * y))")</f>
        <v>-1.6569144430793364E-2</v>
      </c>
      <c r="K509" cm="1">
        <f t="array" ref="K509" xml:space="preserve"> mc(500, -PI()/2,0,-1, 1, "ln(EXP(x * y))")</f>
        <v>-2.9741710577270569E-2</v>
      </c>
      <c r="L509" cm="1">
        <f t="array" ref="L509" xml:space="preserve"> mc(1000, -PI()/2,0,-1, 1, "ln(EXP(x * y))")</f>
        <v>8.2992127818733441E-2</v>
      </c>
      <c r="N509" cm="1">
        <f t="array" ref="N509" xml:space="preserve"> mc(100, -PI()/2,PI()/2, 0, 1, "sin(cos(x + y))")-1.48235</f>
        <v>0.33936163257944374</v>
      </c>
      <c r="O509" cm="1">
        <f t="array" ref="O509" xml:space="preserve"> mc(500, -PI()/2,PI()/2, 0, 1, "sin(cos(x + y))")-1.48235</f>
        <v>-4.8239586182892813E-2</v>
      </c>
      <c r="P509" cm="1">
        <f t="array" ref="P509" xml:space="preserve"> mc(1000, -PI()/2,PI()/2, 0, 1, "sin(cos(x + y))")-1.48235</f>
        <v>5.8504665859965943E-2</v>
      </c>
    </row>
    <row r="510" spans="1:16" x14ac:dyDescent="0.3">
      <c r="A510">
        <v>480</v>
      </c>
      <c r="B510" cm="1">
        <f t="array" ref="B510" xml:space="preserve"> mc(100, 0, 4, 1, 2, "x^2+y^2")-92/3</f>
        <v>0.14813424434232303</v>
      </c>
      <c r="C510" cm="1">
        <f t="array" ref="C510" xml:space="preserve"> mc(500, 0, 4, 1, 2, "x^2+y^2")-92/3</f>
        <v>-1.119178443945561</v>
      </c>
      <c r="D510" cm="1">
        <f t="array" ref="D510" xml:space="preserve"> mc(1000, 0, 4, 1, 2, "x^2+y^2")-92/3</f>
        <v>0.29939193390170971</v>
      </c>
      <c r="F510" cm="1">
        <f t="array" ref="F510" xml:space="preserve"> ( mc(100, 3, 4, -1, 1, "EXP(x * sin(y))") ) - 7.39981</f>
        <v>-1.5468171503652135</v>
      </c>
      <c r="G510" cm="1">
        <f t="array" ref="G510" xml:space="preserve"> ( mc(500, 3, 4, -1, 1, "EXP(x * sin(y))") ) - 7.39981</f>
        <v>0.25382508705114493</v>
      </c>
      <c r="H510" cm="1">
        <f t="array" ref="H510" xml:space="preserve"> ( mc(1000, 3, 4, -1, 1, "EXP(x * sin(y))") ) - 7.39981</f>
        <v>-4.3499655619996247E-2</v>
      </c>
      <c r="J510" cm="1">
        <f t="array" ref="J510" xml:space="preserve"> mc(100, -PI()/2,0,-1, 1, "ln(EXP(x * y))")</f>
        <v>-0.24678276513823399</v>
      </c>
      <c r="K510" cm="1">
        <f t="array" ref="K510" xml:space="preserve"> mc(500, -PI()/2,0,-1, 1, "ln(EXP(x * y))")</f>
        <v>0.13107751953248095</v>
      </c>
      <c r="L510" cm="1">
        <f t="array" ref="L510" xml:space="preserve"> mc(1000, -PI()/2,0,-1, 1, "ln(EXP(x * y))")</f>
        <v>-2.0284133334778943E-2</v>
      </c>
      <c r="N510" cm="1">
        <f t="array" ref="N510" xml:space="preserve"> mc(100, -PI()/2,PI()/2, 0, 1, "sin(cos(x + y))")-1.48235</f>
        <v>8.4132803143358359E-2</v>
      </c>
      <c r="O510" cm="1">
        <f t="array" ref="O510" xml:space="preserve"> mc(500, -PI()/2,PI()/2, 0, 1, "sin(cos(x + y))")-1.48235</f>
        <v>-1.5517165110487952E-3</v>
      </c>
      <c r="P510" cm="1">
        <f t="array" ref="P510" xml:space="preserve"> mc(1000, -PI()/2,PI()/2, 0, 1, "sin(cos(x + y))")-1.48235</f>
        <v>7.1483309608617596E-3</v>
      </c>
    </row>
    <row r="511" spans="1:16" x14ac:dyDescent="0.3">
      <c r="A511">
        <v>481</v>
      </c>
      <c r="B511" cm="1">
        <f t="array" ref="B511" xml:space="preserve"> mc(100, 0, 4, 1, 2, "x^2+y^2")-92/3</f>
        <v>-1.2068116403559621</v>
      </c>
      <c r="C511" cm="1">
        <f t="array" ref="C511" xml:space="preserve"> mc(500, 0, 4, 1, 2, "x^2+y^2")-92/3</f>
        <v>0.52323675520594293</v>
      </c>
      <c r="D511" cm="1">
        <f t="array" ref="D511" xml:space="preserve"> mc(1000, 0, 4, 1, 2, "x^2+y^2")-92/3</f>
        <v>1.3883651064803111</v>
      </c>
      <c r="F511" cm="1">
        <f t="array" ref="F511" xml:space="preserve"> ( mc(100, 3, 4, -1, 1, "EXP(x * sin(y))") ) - 7.39981</f>
        <v>2.7853164847350254</v>
      </c>
      <c r="G511" cm="1">
        <f t="array" ref="G511" xml:space="preserve"> ( mc(500, 3, 4, -1, 1, "EXP(x * sin(y))") ) - 7.39981</f>
        <v>-8.1436515340540971E-2</v>
      </c>
      <c r="H511" cm="1">
        <f t="array" ref="H511" xml:space="preserve"> ( mc(1000, 3, 4, -1, 1, "EXP(x * sin(y))") ) - 7.39981</f>
        <v>-0.10752869064070669</v>
      </c>
      <c r="J511" cm="1">
        <f t="array" ref="J511" xml:space="preserve"> mc(100, -PI()/2,0,-1, 1, "ln(EXP(x * y))")</f>
        <v>-8.3549866417279572E-2</v>
      </c>
      <c r="K511" cm="1">
        <f t="array" ref="K511" xml:space="preserve"> mc(500, -PI()/2,0,-1, 1, "ln(EXP(x * y))")</f>
        <v>-9.5195069743632899E-2</v>
      </c>
      <c r="L511" cm="1">
        <f t="array" ref="L511" xml:space="preserve"> mc(1000, -PI()/2,0,-1, 1, "ln(EXP(x * y))")</f>
        <v>-5.8659883001897492E-2</v>
      </c>
      <c r="N511" cm="1">
        <f t="array" ref="N511" xml:space="preserve"> mc(100, -PI()/2,PI()/2, 0, 1, "sin(cos(x + y))")-1.48235</f>
        <v>0.13970608190312062</v>
      </c>
      <c r="O511" cm="1">
        <f t="array" ref="O511" xml:space="preserve"> mc(500, -PI()/2,PI()/2, 0, 1, "sin(cos(x + y))")-1.48235</f>
        <v>-7.0140962701709109E-2</v>
      </c>
      <c r="P511" cm="1">
        <f t="array" ref="P511" xml:space="preserve"> mc(1000, -PI()/2,PI()/2, 0, 1, "sin(cos(x + y))")-1.48235</f>
        <v>3.5414989213628623E-2</v>
      </c>
    </row>
    <row r="512" spans="1:16" x14ac:dyDescent="0.3">
      <c r="A512">
        <v>482</v>
      </c>
      <c r="B512" cm="1">
        <f t="array" ref="B512" xml:space="preserve"> mc(100, 0, 4, 1, 2, "x^2+y^2")-92/3</f>
        <v>-0.10467392897223604</v>
      </c>
      <c r="C512" cm="1">
        <f t="array" ref="C512" xml:space="preserve"> mc(500, 0, 4, 1, 2, "x^2+y^2")-92/3</f>
        <v>-0.6848963143670872</v>
      </c>
      <c r="D512" cm="1">
        <f t="array" ref="D512" xml:space="preserve"> mc(1000, 0, 4, 1, 2, "x^2+y^2")-92/3</f>
        <v>0.27775029202063095</v>
      </c>
      <c r="F512" cm="1">
        <f t="array" ref="F512" xml:space="preserve"> ( mc(100, 3, 4, -1, 1, "EXP(x * sin(y))") ) - 7.39981</f>
        <v>-0.7788395939260413</v>
      </c>
      <c r="G512" cm="1">
        <f t="array" ref="G512" xml:space="preserve"> ( mc(500, 3, 4, -1, 1, "EXP(x * sin(y))") ) - 7.39981</f>
        <v>-0.3690415079803957</v>
      </c>
      <c r="H512" cm="1">
        <f t="array" ref="H512" xml:space="preserve"> ( mc(1000, 3, 4, -1, 1, "EXP(x * sin(y))") ) - 7.39981</f>
        <v>9.8343708997731483E-2</v>
      </c>
      <c r="J512" cm="1">
        <f t="array" ref="J512" xml:space="preserve"> mc(100, -PI()/2,0,-1, 1, "ln(EXP(x * y))")</f>
        <v>-4.583512205741206E-2</v>
      </c>
      <c r="K512" cm="1">
        <f t="array" ref="K512" xml:space="preserve"> mc(500, -PI()/2,0,-1, 1, "ln(EXP(x * y))")</f>
        <v>9.0954820014044022E-2</v>
      </c>
      <c r="L512" cm="1">
        <f t="array" ref="L512" xml:space="preserve"> mc(1000, -PI()/2,0,-1, 1, "ln(EXP(x * y))")</f>
        <v>7.8625020732938797E-2</v>
      </c>
      <c r="N512" cm="1">
        <f t="array" ref="N512" xml:space="preserve"> mc(100, -PI()/2,PI()/2, 0, 1, "sin(cos(x + y))")-1.48235</f>
        <v>2.1276837800271453E-2</v>
      </c>
      <c r="O512" cm="1">
        <f t="array" ref="O512" xml:space="preserve"> mc(500, -PI()/2,PI()/2, 0, 1, "sin(cos(x + y))")-1.48235</f>
        <v>-0.10828733576714433</v>
      </c>
      <c r="P512" cm="1">
        <f t="array" ref="P512" xml:space="preserve"> mc(1000, -PI()/2,PI()/2, 0, 1, "sin(cos(x + y))")-1.48235</f>
        <v>-1.2525060681595201E-2</v>
      </c>
    </row>
    <row r="513" spans="1:16" x14ac:dyDescent="0.3">
      <c r="A513">
        <v>483</v>
      </c>
      <c r="B513" cm="1">
        <f t="array" ref="B513" xml:space="preserve"> mc(100, 0, 4, 1, 2, "x^2+y^2")-92/3</f>
        <v>-2.2686140983943091</v>
      </c>
      <c r="C513" cm="1">
        <f t="array" ref="C513" xml:space="preserve"> mc(500, 0, 4, 1, 2, "x^2+y^2")-92/3</f>
        <v>0.317708839088926</v>
      </c>
      <c r="D513" cm="1">
        <f t="array" ref="D513" xml:space="preserve"> mc(1000, 0, 4, 1, 2, "x^2+y^2")-92/3</f>
        <v>0.11144356840585345</v>
      </c>
      <c r="F513" cm="1">
        <f t="array" ref="F513" xml:space="preserve"> ( mc(100, 3, 4, -1, 1, "EXP(x * sin(y))") ) - 7.39981</f>
        <v>0.16102046840628059</v>
      </c>
      <c r="G513" cm="1">
        <f t="array" ref="G513" xml:space="preserve"> ( mc(500, 3, 4, -1, 1, "EXP(x * sin(y))") ) - 7.39981</f>
        <v>-0.27387808735978059</v>
      </c>
      <c r="H513" cm="1">
        <f t="array" ref="H513" xml:space="preserve"> ( mc(1000, 3, 4, -1, 1, "EXP(x * sin(y))") ) - 7.39981</f>
        <v>-9.4867728802811691E-2</v>
      </c>
      <c r="J513" cm="1">
        <f t="array" ref="J513" xml:space="preserve"> mc(100, -PI()/2,0,-1, 1, "ln(EXP(x * y))")</f>
        <v>-0.24099725465997238</v>
      </c>
      <c r="K513" cm="1">
        <f t="array" ref="K513" xml:space="preserve"> mc(500, -PI()/2,0,-1, 1, "ln(EXP(x * y))")</f>
        <v>2.1695895760716354E-2</v>
      </c>
      <c r="L513" cm="1">
        <f t="array" ref="L513" xml:space="preserve"> mc(1000, -PI()/2,0,-1, 1, "ln(EXP(x * y))")</f>
        <v>1.1741857436539773E-2</v>
      </c>
      <c r="N513" cm="1">
        <f t="array" ref="N513" xml:space="preserve"> mc(100, -PI()/2,PI()/2, 0, 1, "sin(cos(x + y))")-1.48235</f>
        <v>5.2709212192560972E-2</v>
      </c>
      <c r="O513" cm="1">
        <f t="array" ref="O513" xml:space="preserve"> mc(500, -PI()/2,PI()/2, 0, 1, "sin(cos(x + y))")-1.48235</f>
        <v>-0.10182633093249982</v>
      </c>
      <c r="P513" cm="1">
        <f t="array" ref="P513" xml:space="preserve"> mc(1000, -PI()/2,PI()/2, 0, 1, "sin(cos(x + y))")-1.48235</f>
        <v>7.2381690719506064E-2</v>
      </c>
    </row>
    <row r="514" spans="1:16" x14ac:dyDescent="0.3">
      <c r="A514">
        <v>484</v>
      </c>
      <c r="B514" cm="1">
        <f t="array" ref="B514" xml:space="preserve"> mc(100, 0, 4, 1, 2, "x^2+y^2")-92/3</f>
        <v>3.9698934775397987E-2</v>
      </c>
      <c r="C514" cm="1">
        <f t="array" ref="C514" xml:space="preserve"> mc(500, 0, 4, 1, 2, "x^2+y^2")-92/3</f>
        <v>-0.97177612615303488</v>
      </c>
      <c r="D514" cm="1">
        <f t="array" ref="D514" xml:space="preserve"> mc(1000, 0, 4, 1, 2, "x^2+y^2")-92/3</f>
        <v>-9.8224099047470759E-2</v>
      </c>
      <c r="F514" cm="1">
        <f t="array" ref="F514" xml:space="preserve"> ( mc(100, 3, 4, -1, 1, "EXP(x * sin(y))") ) - 7.39981</f>
        <v>-0.84612905085450141</v>
      </c>
      <c r="G514" cm="1">
        <f t="array" ref="G514" xml:space="preserve"> ( mc(500, 3, 4, -1, 1, "EXP(x * sin(y))") ) - 7.39981</f>
        <v>2.8387969913022282E-2</v>
      </c>
      <c r="H514" cm="1">
        <f t="array" ref="H514" xml:space="preserve"> ( mc(1000, 3, 4, -1, 1, "EXP(x * sin(y))") ) - 7.39981</f>
        <v>-7.663415980143462E-2</v>
      </c>
      <c r="J514" cm="1">
        <f t="array" ref="J514" xml:space="preserve"> mc(100, -PI()/2,0,-1, 1, "ln(EXP(x * y))")</f>
        <v>0.23089345530240801</v>
      </c>
      <c r="K514" cm="1">
        <f t="array" ref="K514" xml:space="preserve"> mc(500, -PI()/2,0,-1, 1, "ln(EXP(x * y))")</f>
        <v>8.7590698787509316E-2</v>
      </c>
      <c r="L514" cm="1">
        <f t="array" ref="L514" xml:space="preserve"> mc(1000, -PI()/2,0,-1, 1, "ln(EXP(x * y))")</f>
        <v>-3.0385260968907486E-2</v>
      </c>
      <c r="N514" cm="1">
        <f t="array" ref="N514" xml:space="preserve"> mc(100, -PI()/2,PI()/2, 0, 1, "sin(cos(x + y))")-1.48235</f>
        <v>0.15302666048051017</v>
      </c>
      <c r="O514" cm="1">
        <f t="array" ref="O514" xml:space="preserve"> mc(500, -PI()/2,PI()/2, 0, 1, "sin(cos(x + y))")-1.48235</f>
        <v>-0.10508409348750591</v>
      </c>
      <c r="P514" cm="1">
        <f t="array" ref="P514" xml:space="preserve"> mc(1000, -PI()/2,PI()/2, 0, 1, "sin(cos(x + y))")-1.48235</f>
        <v>-4.7504227746319572E-2</v>
      </c>
    </row>
    <row r="515" spans="1:16" x14ac:dyDescent="0.3">
      <c r="A515">
        <v>485</v>
      </c>
      <c r="B515" cm="1">
        <f t="array" ref="B515" xml:space="preserve"> mc(100, 0, 4, 1, 2, "x^2+y^2")-92/3</f>
        <v>-3.0556248440920335</v>
      </c>
      <c r="C515" cm="1">
        <f t="array" ref="C515" xml:space="preserve"> mc(500, 0, 4, 1, 2, "x^2+y^2")-92/3</f>
        <v>1.3111911081882859</v>
      </c>
      <c r="D515" cm="1">
        <f t="array" ref="D515" xml:space="preserve"> mc(1000, 0, 4, 1, 2, "x^2+y^2")-92/3</f>
        <v>-0.25763948057274533</v>
      </c>
      <c r="F515" cm="1">
        <f t="array" ref="F515" xml:space="preserve"> ( mc(100, 3, 4, -1, 1, "EXP(x * sin(y))") ) - 7.39981</f>
        <v>-1.0624154006009192</v>
      </c>
      <c r="G515" cm="1">
        <f t="array" ref="G515" xml:space="preserve"> ( mc(500, 3, 4, -1, 1, "EXP(x * sin(y))") ) - 7.39981</f>
        <v>-0.68557516404985996</v>
      </c>
      <c r="H515" cm="1">
        <f t="array" ref="H515" xml:space="preserve"> ( mc(1000, 3, 4, -1, 1, "EXP(x * sin(y))") ) - 7.39981</f>
        <v>-6.6725980755600212E-2</v>
      </c>
      <c r="J515" cm="1">
        <f t="array" ref="J515" xml:space="preserve"> mc(100, -PI()/2,0,-1, 1, "ln(EXP(x * y))")</f>
        <v>0.1279879366275691</v>
      </c>
      <c r="K515" cm="1">
        <f t="array" ref="K515" xml:space="preserve"> mc(500, -PI()/2,0,-1, 1, "ln(EXP(x * y))")</f>
        <v>-4.1684811510957646E-2</v>
      </c>
      <c r="L515" cm="1">
        <f t="array" ref="L515" xml:space="preserve"> mc(1000, -PI()/2,0,-1, 1, "ln(EXP(x * y))")</f>
        <v>4.4465483785603215E-2</v>
      </c>
      <c r="N515" cm="1">
        <f t="array" ref="N515" xml:space="preserve"> mc(100, -PI()/2,PI()/2, 0, 1, "sin(cos(x + y))")-1.48235</f>
        <v>-2.6782601434879094E-2</v>
      </c>
      <c r="O515" cm="1">
        <f t="array" ref="O515" xml:space="preserve"> mc(500, -PI()/2,PI()/2, 0, 1, "sin(cos(x + y))")-1.48235</f>
        <v>2.5168966949105531E-2</v>
      </c>
      <c r="P515" cm="1">
        <f t="array" ref="P515" xml:space="preserve"> mc(1000, -PI()/2,PI()/2, 0, 1, "sin(cos(x + y))")-1.48235</f>
        <v>4.7902760102926489E-2</v>
      </c>
    </row>
    <row r="516" spans="1:16" x14ac:dyDescent="0.3">
      <c r="A516">
        <v>486</v>
      </c>
      <c r="B516" cm="1">
        <f t="array" ref="B516" xml:space="preserve"> mc(100, 0, 4, 1, 2, "x^2+y^2")-92/3</f>
        <v>-0.73426163765190822</v>
      </c>
      <c r="C516" cm="1">
        <f t="array" ref="C516" xml:space="preserve"> mc(500, 0, 4, 1, 2, "x^2+y^2")-92/3</f>
        <v>0.16818190577348702</v>
      </c>
      <c r="D516" cm="1">
        <f t="array" ref="D516" xml:space="preserve"> mc(1000, 0, 4, 1, 2, "x^2+y^2")-92/3</f>
        <v>1.0371600813691373E-2</v>
      </c>
      <c r="F516" cm="1">
        <f t="array" ref="F516" xml:space="preserve"> ( mc(100, 3, 4, -1, 1, "EXP(x * sin(y))") ) - 7.39981</f>
        <v>-0.9180117314239542</v>
      </c>
      <c r="G516" cm="1">
        <f t="array" ref="G516" xml:space="preserve"> ( mc(500, 3, 4, -1, 1, "EXP(x * sin(y))") ) - 7.39981</f>
        <v>0.12261221080693385</v>
      </c>
      <c r="H516" cm="1">
        <f t="array" ref="H516" xml:space="preserve"> ( mc(1000, 3, 4, -1, 1, "EXP(x * sin(y))") ) - 7.39981</f>
        <v>0.25490944946077043</v>
      </c>
      <c r="J516" cm="1">
        <f t="array" ref="J516" xml:space="preserve"> mc(100, -PI()/2,0,-1, 1, "ln(EXP(x * y))")</f>
        <v>-0.12679819094028638</v>
      </c>
      <c r="K516" cm="1">
        <f t="array" ref="K516" xml:space="preserve"> mc(500, -PI()/2,0,-1, 1, "ln(EXP(x * y))")</f>
        <v>-3.1327048638008066E-2</v>
      </c>
      <c r="L516" cm="1">
        <f t="array" ref="L516" xml:space="preserve"> mc(1000, -PI()/2,0,-1, 1, "ln(EXP(x * y))")</f>
        <v>-1.000617060369199E-2</v>
      </c>
      <c r="N516" cm="1">
        <f t="array" ref="N516" xml:space="preserve"> mc(100, -PI()/2,PI()/2, 0, 1, "sin(cos(x + y))")-1.48235</f>
        <v>-0.19329057172331088</v>
      </c>
      <c r="O516" cm="1">
        <f t="array" ref="O516" xml:space="preserve"> mc(500, -PI()/2,PI()/2, 0, 1, "sin(cos(x + y))")-1.48235</f>
        <v>-1.7969116598380408E-2</v>
      </c>
      <c r="P516" cm="1">
        <f t="array" ref="P516" xml:space="preserve"> mc(1000, -PI()/2,PI()/2, 0, 1, "sin(cos(x + y))")-1.48235</f>
        <v>-6.559248335513912E-2</v>
      </c>
    </row>
    <row r="517" spans="1:16" x14ac:dyDescent="0.3">
      <c r="A517">
        <v>487</v>
      </c>
      <c r="B517" cm="1">
        <f t="array" ref="B517" xml:space="preserve"> mc(100, 0, 4, 1, 2, "x^2+y^2")-92/3</f>
        <v>2.8101674633296021</v>
      </c>
      <c r="C517" cm="1">
        <f t="array" ref="C517" xml:space="preserve"> mc(500, 0, 4, 1, 2, "x^2+y^2")-92/3</f>
        <v>1.4117608919698661</v>
      </c>
      <c r="D517" cm="1">
        <f t="array" ref="D517" xml:space="preserve"> mc(1000, 0, 4, 1, 2, "x^2+y^2")-92/3</f>
        <v>0.23089807815424024</v>
      </c>
      <c r="F517" cm="1">
        <f t="array" ref="F517" xml:space="preserve"> ( mc(100, 3, 4, -1, 1, "EXP(x * sin(y))") ) - 7.39981</f>
        <v>1.8534815981207799</v>
      </c>
      <c r="G517" cm="1">
        <f t="array" ref="G517" xml:space="preserve"> ( mc(500, 3, 4, -1, 1, "EXP(x * sin(y))") ) - 7.39981</f>
        <v>0.18461767232241222</v>
      </c>
      <c r="H517" cm="1">
        <f t="array" ref="H517" xml:space="preserve"> ( mc(1000, 3, 4, -1, 1, "EXP(x * sin(y))") ) - 7.39981</f>
        <v>-0.21997992890636198</v>
      </c>
      <c r="J517" cm="1">
        <f t="array" ref="J517" xml:space="preserve"> mc(100, -PI()/2,0,-1, 1, "ln(EXP(x * y))")</f>
        <v>-0.15400417490006144</v>
      </c>
      <c r="K517" cm="1">
        <f t="array" ref="K517" xml:space="preserve"> mc(500, -PI()/2,0,-1, 1, "ln(EXP(x * y))")</f>
        <v>-6.1187069109329036E-2</v>
      </c>
      <c r="L517" cm="1">
        <f t="array" ref="L517" xml:space="preserve"> mc(1000, -PI()/2,0,-1, 1, "ln(EXP(x * y))")</f>
        <v>-3.6325461102897416E-2</v>
      </c>
      <c r="N517" cm="1">
        <f t="array" ref="N517" xml:space="preserve"> mc(100, -PI()/2,PI()/2, 0, 1, "sin(cos(x + y))")-1.48235</f>
        <v>-0.16595446782184409</v>
      </c>
      <c r="O517" cm="1">
        <f t="array" ref="O517" xml:space="preserve"> mc(500, -PI()/2,PI()/2, 0, 1, "sin(cos(x + y))")-1.48235</f>
        <v>-1.1670501934573085E-3</v>
      </c>
      <c r="P517" cm="1">
        <f t="array" ref="P517" xml:space="preserve"> mc(1000, -PI()/2,PI()/2, 0, 1, "sin(cos(x + y))")-1.48235</f>
        <v>5.7825597647068516E-2</v>
      </c>
    </row>
    <row r="518" spans="1:16" x14ac:dyDescent="0.3">
      <c r="A518">
        <v>488</v>
      </c>
      <c r="B518" cm="1">
        <f t="array" ref="B518" xml:space="preserve"> mc(100, 0, 4, 1, 2, "x^2+y^2")-92/3</f>
        <v>-0.3793588543177151</v>
      </c>
      <c r="C518" cm="1">
        <f t="array" ref="C518" xml:space="preserve"> mc(500, 0, 4, 1, 2, "x^2+y^2")-92/3</f>
        <v>0.95222879741811894</v>
      </c>
      <c r="D518" cm="1">
        <f t="array" ref="D518" xml:space="preserve"> mc(1000, 0, 4, 1, 2, "x^2+y^2")-92/3</f>
        <v>-0.19343275139300076</v>
      </c>
      <c r="F518" cm="1">
        <f t="array" ref="F518" xml:space="preserve"> ( mc(100, 3, 4, -1, 1, "EXP(x * sin(y))") ) - 7.39981</f>
        <v>-0.64462158894070143</v>
      </c>
      <c r="G518" cm="1">
        <f t="array" ref="G518" xml:space="preserve"> ( mc(500, 3, 4, -1, 1, "EXP(x * sin(y))") ) - 7.39981</f>
        <v>1.0914126074541741</v>
      </c>
      <c r="H518" cm="1">
        <f t="array" ref="H518" xml:space="preserve"> ( mc(1000, 3, 4, -1, 1, "EXP(x * sin(y))") ) - 7.39981</f>
        <v>0.38640742464439004</v>
      </c>
      <c r="J518" cm="1">
        <f t="array" ref="J518" xml:space="preserve"> mc(100, -PI()/2,0,-1, 1, "ln(EXP(x * y))")</f>
        <v>6.1744950616538848E-2</v>
      </c>
      <c r="K518" cm="1">
        <f t="array" ref="K518" xml:space="preserve"> mc(500, -PI()/2,0,-1, 1, "ln(EXP(x * y))")</f>
        <v>1.6844212301961464E-2</v>
      </c>
      <c r="L518" cm="1">
        <f t="array" ref="L518" xml:space="preserve"> mc(1000, -PI()/2,0,-1, 1, "ln(EXP(x * y))")</f>
        <v>-4.9494736657867251E-2</v>
      </c>
      <c r="N518" cm="1">
        <f t="array" ref="N518" xml:space="preserve"> mc(100, -PI()/2,PI()/2, 0, 1, "sin(cos(x + y))")-1.48235</f>
        <v>8.1185603967591335E-2</v>
      </c>
      <c r="O518" cm="1">
        <f t="array" ref="O518" xml:space="preserve"> mc(500, -PI()/2,PI()/2, 0, 1, "sin(cos(x + y))")-1.48235</f>
        <v>2.1364536629472131E-2</v>
      </c>
      <c r="P518" cm="1">
        <f t="array" ref="P518" xml:space="preserve"> mc(1000, -PI()/2,PI()/2, 0, 1, "sin(cos(x + y))")-1.48235</f>
        <v>-6.3214872844445935E-3</v>
      </c>
    </row>
    <row r="519" spans="1:16" x14ac:dyDescent="0.3">
      <c r="A519">
        <v>489</v>
      </c>
      <c r="B519" cm="1">
        <f t="array" ref="B519" xml:space="preserve"> mc(100, 0, 4, 1, 2, "x^2+y^2")-92/3</f>
        <v>-0.47211080017892471</v>
      </c>
      <c r="C519" cm="1">
        <f t="array" ref="C519" xml:space="preserve"> mc(500, 0, 4, 1, 2, "x^2+y^2")-92/3</f>
        <v>0.563995201831343</v>
      </c>
      <c r="D519" cm="1">
        <f t="array" ref="D519" xml:space="preserve"> mc(1000, 0, 4, 1, 2, "x^2+y^2")-92/3</f>
        <v>0.40491894185031896</v>
      </c>
      <c r="F519" cm="1">
        <f t="array" ref="F519" xml:space="preserve"> ( mc(100, 3, 4, -1, 1, "EXP(x * sin(y))") ) - 7.39981</f>
        <v>0.68645766103062655</v>
      </c>
      <c r="G519" cm="1">
        <f t="array" ref="G519" xml:space="preserve"> ( mc(500, 3, 4, -1, 1, "EXP(x * sin(y))") ) - 7.39981</f>
        <v>-0.12996307932529039</v>
      </c>
      <c r="H519" cm="1">
        <f t="array" ref="H519" xml:space="preserve"> ( mc(1000, 3, 4, -1, 1, "EXP(x * sin(y))") ) - 7.39981</f>
        <v>-0.40733199084087524</v>
      </c>
      <c r="J519" cm="1">
        <f t="array" ref="J519" xml:space="preserve"> mc(100, -PI()/2,0,-1, 1, "ln(EXP(x * y))")</f>
        <v>-0.1805625606631853</v>
      </c>
      <c r="K519" cm="1">
        <f t="array" ref="K519" xml:space="preserve"> mc(500, -PI()/2,0,-1, 1, "ln(EXP(x * y))")</f>
        <v>0.14943638514206209</v>
      </c>
      <c r="L519" cm="1">
        <f t="array" ref="L519" xml:space="preserve"> mc(1000, -PI()/2,0,-1, 1, "ln(EXP(x * y))")</f>
        <v>5.321142015245417E-2</v>
      </c>
      <c r="N519" cm="1">
        <f t="array" ref="N519" xml:space="preserve"> mc(100, -PI()/2,PI()/2, 0, 1, "sin(cos(x + y))")-1.48235</f>
        <v>0.10216744771908948</v>
      </c>
      <c r="O519" cm="1">
        <f t="array" ref="O519" xml:space="preserve"> mc(500, -PI()/2,PI()/2, 0, 1, "sin(cos(x + y))")-1.48235</f>
        <v>4.7931878846550591E-2</v>
      </c>
      <c r="P519" cm="1">
        <f t="array" ref="P519" xml:space="preserve"> mc(1000, -PI()/2,PI()/2, 0, 1, "sin(cos(x + y))")-1.48235</f>
        <v>7.2669724146696701E-3</v>
      </c>
    </row>
    <row r="520" spans="1:16" x14ac:dyDescent="0.3">
      <c r="A520">
        <v>490</v>
      </c>
      <c r="B520" cm="1">
        <f t="array" ref="B520" xml:space="preserve"> mc(100, 0, 4, 1, 2, "x^2+y^2")-92/3</f>
        <v>-0.69250566301499461</v>
      </c>
      <c r="C520" cm="1">
        <f t="array" ref="C520" xml:space="preserve"> mc(500, 0, 4, 1, 2, "x^2+y^2")-92/3</f>
        <v>1.2185237366565254</v>
      </c>
      <c r="D520" cm="1">
        <f t="array" ref="D520" xml:space="preserve"> mc(1000, 0, 4, 1, 2, "x^2+y^2")-92/3</f>
        <v>0.68523160149764095</v>
      </c>
      <c r="F520" cm="1">
        <f t="array" ref="F520" xml:space="preserve"> ( mc(100, 3, 4, -1, 1, "EXP(x * sin(y))") ) - 7.39981</f>
        <v>0.27916373516976734</v>
      </c>
      <c r="G520" cm="1">
        <f t="array" ref="G520" xml:space="preserve"> ( mc(500, 3, 4, -1, 1, "EXP(x * sin(y))") ) - 7.39981</f>
        <v>-0.26970146660444527</v>
      </c>
      <c r="H520" cm="1">
        <f t="array" ref="H520" xml:space="preserve"> ( mc(1000, 3, 4, -1, 1, "EXP(x * sin(y))") ) - 7.39981</f>
        <v>0.18334505975197413</v>
      </c>
      <c r="J520" cm="1">
        <f t="array" ref="J520" xml:space="preserve"> mc(100, -PI()/2,0,-1, 1, "ln(EXP(x * y))")</f>
        <v>0.12620419746118197</v>
      </c>
      <c r="K520" cm="1">
        <f t="array" ref="K520" xml:space="preserve"> mc(500, -PI()/2,0,-1, 1, "ln(EXP(x * y))")</f>
        <v>4.4908506732133285E-2</v>
      </c>
      <c r="L520" cm="1">
        <f t="array" ref="L520" xml:space="preserve"> mc(1000, -PI()/2,0,-1, 1, "ln(EXP(x * y))")</f>
        <v>-3.7470820730349477E-2</v>
      </c>
      <c r="N520" cm="1">
        <f t="array" ref="N520" xml:space="preserve"> mc(100, -PI()/2,PI()/2, 0, 1, "sin(cos(x + y))")-1.48235</f>
        <v>7.0034185119838055E-2</v>
      </c>
      <c r="O520" cm="1">
        <f t="array" ref="O520" xml:space="preserve"> mc(500, -PI()/2,PI()/2, 0, 1, "sin(cos(x + y))")-1.48235</f>
        <v>-5.9855517548418335E-2</v>
      </c>
      <c r="P520" cm="1">
        <f t="array" ref="P520" xml:space="preserve"> mc(1000, -PI()/2,PI()/2, 0, 1, "sin(cos(x + y))")-1.48235</f>
        <v>1.3932266691550677E-2</v>
      </c>
    </row>
    <row r="521" spans="1:16" x14ac:dyDescent="0.3">
      <c r="A521">
        <v>491</v>
      </c>
      <c r="B521" cm="1">
        <f t="array" ref="B521" xml:space="preserve"> mc(100, 0, 4, 1, 2, "x^2+y^2")-92/3</f>
        <v>-1.4764477877625524</v>
      </c>
      <c r="C521" cm="1">
        <f t="array" ref="C521" xml:space="preserve"> mc(500, 0, 4, 1, 2, "x^2+y^2")-92/3</f>
        <v>-0.75326647627398202</v>
      </c>
      <c r="D521" cm="1">
        <f t="array" ref="D521" xml:space="preserve"> mc(1000, 0, 4, 1, 2, "x^2+y^2")-92/3</f>
        <v>-1.1225741278672778</v>
      </c>
      <c r="F521" cm="1">
        <f t="array" ref="F521" xml:space="preserve"> ( mc(100, 3, 4, -1, 1, "EXP(x * sin(y))") ) - 7.39981</f>
        <v>-1.1732157500647196</v>
      </c>
      <c r="G521" cm="1">
        <f t="array" ref="G521" xml:space="preserve"> ( mc(500, 3, 4, -1, 1, "EXP(x * sin(y))") ) - 7.39981</f>
        <v>5.6307858405910238E-2</v>
      </c>
      <c r="H521" cm="1">
        <f t="array" ref="H521" xml:space="preserve"> ( mc(1000, 3, 4, -1, 1, "EXP(x * sin(y))") ) - 7.39981</f>
        <v>-0.39502731052899165</v>
      </c>
      <c r="J521" cm="1">
        <f t="array" ref="J521" xml:space="preserve"> mc(100, -PI()/2,0,-1, 1, "ln(EXP(x * y))")</f>
        <v>0.15377742930305219</v>
      </c>
      <c r="K521" cm="1">
        <f t="array" ref="K521" xml:space="preserve"> mc(500, -PI()/2,0,-1, 1, "ln(EXP(x * y))")</f>
        <v>8.2876507109312398E-3</v>
      </c>
      <c r="L521" cm="1">
        <f t="array" ref="L521" xml:space="preserve"> mc(1000, -PI()/2,0,-1, 1, "ln(EXP(x * y))")</f>
        <v>-4.9019285300259362E-2</v>
      </c>
      <c r="N521" cm="1">
        <f t="array" ref="N521" xml:space="preserve"> mc(100, -PI()/2,PI()/2, 0, 1, "sin(cos(x + y))")-1.48235</f>
        <v>3.8494937548377628E-2</v>
      </c>
      <c r="O521" cm="1">
        <f t="array" ref="O521" xml:space="preserve"> mc(500, -PI()/2,PI()/2, 0, 1, "sin(cos(x + y))")-1.48235</f>
        <v>-3.0557426162437507E-2</v>
      </c>
      <c r="P521" cm="1">
        <f t="array" ref="P521" xml:space="preserve"> mc(1000, -PI()/2,PI()/2, 0, 1, "sin(cos(x + y))")-1.48235</f>
        <v>7.0385251357438783E-3</v>
      </c>
    </row>
    <row r="522" spans="1:16" x14ac:dyDescent="0.3">
      <c r="A522">
        <v>492</v>
      </c>
      <c r="B522" cm="1">
        <f t="array" ref="B522" xml:space="preserve"> mc(100, 0, 4, 1, 2, "x^2+y^2")-92/3</f>
        <v>-0.49086773714724785</v>
      </c>
      <c r="C522" cm="1">
        <f t="array" ref="C522" xml:space="preserve"> mc(500, 0, 4, 1, 2, "x^2+y^2")-92/3</f>
        <v>1.3837591835054006</v>
      </c>
      <c r="D522" cm="1">
        <f t="array" ref="D522" xml:space="preserve"> mc(1000, 0, 4, 1, 2, "x^2+y^2")-92/3</f>
        <v>-0.43199521549302489</v>
      </c>
      <c r="F522" cm="1">
        <f t="array" ref="F522" xml:space="preserve"> ( mc(100, 3, 4, -1, 1, "EXP(x * sin(y))") ) - 7.39981</f>
        <v>1.5424470940951576</v>
      </c>
      <c r="G522" cm="1">
        <f t="array" ref="G522" xml:space="preserve"> ( mc(500, 3, 4, -1, 1, "EXP(x * sin(y))") ) - 7.39981</f>
        <v>9.9891171856119065E-2</v>
      </c>
      <c r="H522" cm="1">
        <f t="array" ref="H522" xml:space="preserve"> ( mc(1000, 3, 4, -1, 1, "EXP(x * sin(y))") ) - 7.39981</f>
        <v>-0.41112074398680853</v>
      </c>
      <c r="J522" cm="1">
        <f t="array" ref="J522" xml:space="preserve"> mc(100, -PI()/2,0,-1, 1, "ln(EXP(x * y))")</f>
        <v>0.10881134990790756</v>
      </c>
      <c r="K522" cm="1">
        <f t="array" ref="K522" xml:space="preserve"> mc(500, -PI()/2,0,-1, 1, "ln(EXP(x * y))")</f>
        <v>3.8865141863182684E-2</v>
      </c>
      <c r="L522" cm="1">
        <f t="array" ref="L522" xml:space="preserve"> mc(1000, -PI()/2,0,-1, 1, "ln(EXP(x * y))")</f>
        <v>-1.2842546112427461E-2</v>
      </c>
      <c r="N522" cm="1">
        <f t="array" ref="N522" xml:space="preserve"> mc(100, -PI()/2,PI()/2, 0, 1, "sin(cos(x + y))")-1.48235</f>
        <v>9.0312713422839419E-2</v>
      </c>
      <c r="O522" cm="1">
        <f t="array" ref="O522" xml:space="preserve"> mc(500, -PI()/2,PI()/2, 0, 1, "sin(cos(x + y))")-1.48235</f>
        <v>-2.9876666640366034E-2</v>
      </c>
      <c r="P522" cm="1">
        <f t="array" ref="P522" xml:space="preserve"> mc(1000, -PI()/2,PI()/2, 0, 1, "sin(cos(x + y))")-1.48235</f>
        <v>8.4093663055535561E-3</v>
      </c>
    </row>
    <row r="523" spans="1:16" x14ac:dyDescent="0.3">
      <c r="A523">
        <v>493</v>
      </c>
      <c r="B523" cm="1">
        <f t="array" ref="B523" xml:space="preserve"> mc(100, 0, 4, 1, 2, "x^2+y^2")-92/3</f>
        <v>-2.1642366368724346</v>
      </c>
      <c r="C523" cm="1">
        <f t="array" ref="C523" xml:space="preserve"> mc(500, 0, 4, 1, 2, "x^2+y^2")-92/3</f>
        <v>-0.80139459602419549</v>
      </c>
      <c r="D523" cm="1">
        <f t="array" ref="D523" xml:space="preserve"> mc(1000, 0, 4, 1, 2, "x^2+y^2")-92/3</f>
        <v>-0.77436479172813222</v>
      </c>
      <c r="F523" cm="1">
        <f t="array" ref="F523" xml:space="preserve"> ( mc(100, 3, 4, -1, 1, "EXP(x * sin(y))") ) - 7.39981</f>
        <v>-0.38109494771783048</v>
      </c>
      <c r="G523" cm="1">
        <f t="array" ref="G523" xml:space="preserve"> ( mc(500, 3, 4, -1, 1, "EXP(x * sin(y))") ) - 7.39981</f>
        <v>0.19060639444797811</v>
      </c>
      <c r="H523" cm="1">
        <f t="array" ref="H523" xml:space="preserve"> ( mc(1000, 3, 4, -1, 1, "EXP(x * sin(y))") ) - 7.39981</f>
        <v>-0.29288301999687594</v>
      </c>
      <c r="J523" cm="1">
        <f t="array" ref="J523" xml:space="preserve"> mc(100, -PI()/2,0,-1, 1, "ln(EXP(x * y))")</f>
        <v>-0.11064642468391034</v>
      </c>
      <c r="K523" cm="1">
        <f t="array" ref="K523" xml:space="preserve"> mc(500, -PI()/2,0,-1, 1, "ln(EXP(x * y))")</f>
        <v>-1.0967663524091675E-2</v>
      </c>
      <c r="L523" cm="1">
        <f t="array" ref="L523" xml:space="preserve"> mc(1000, -PI()/2,0,-1, 1, "ln(EXP(x * y))")</f>
        <v>2.6150248588795243E-2</v>
      </c>
      <c r="N523" cm="1">
        <f t="array" ref="N523" xml:space="preserve"> mc(100, -PI()/2,PI()/2, 0, 1, "sin(cos(x + y))")-1.48235</f>
        <v>0.14873835817271019</v>
      </c>
      <c r="O523" cm="1">
        <f t="array" ref="O523" xml:space="preserve"> mc(500, -PI()/2,PI()/2, 0, 1, "sin(cos(x + y))")-1.48235</f>
        <v>-8.0448617213028095E-2</v>
      </c>
      <c r="P523" cm="1">
        <f t="array" ref="P523" xml:space="preserve"> mc(1000, -PI()/2,PI()/2, 0, 1, "sin(cos(x + y))")-1.48235</f>
        <v>-2.8629169211100036E-2</v>
      </c>
    </row>
    <row r="524" spans="1:16" x14ac:dyDescent="0.3">
      <c r="A524">
        <v>494</v>
      </c>
      <c r="B524" cm="1">
        <f t="array" ref="B524" xml:space="preserve"> mc(100, 0, 4, 1, 2, "x^2+y^2")-92/3</f>
        <v>-1.1977068599317882</v>
      </c>
      <c r="C524" cm="1">
        <f t="array" ref="C524" xml:space="preserve"> mc(500, 0, 4, 1, 2, "x^2+y^2")-92/3</f>
        <v>-0.4571324240614878</v>
      </c>
      <c r="D524" cm="1">
        <f t="array" ref="D524" xml:space="preserve"> mc(1000, 0, 4, 1, 2, "x^2+y^2")-92/3</f>
        <v>0.19918992194463314</v>
      </c>
      <c r="F524" cm="1">
        <f t="array" ref="F524" xml:space="preserve"> ( mc(100, 3, 4, -1, 1, "EXP(x * sin(y))") ) - 7.39981</f>
        <v>0.39268861151652867</v>
      </c>
      <c r="G524" cm="1">
        <f t="array" ref="G524" xml:space="preserve"> ( mc(500, 3, 4, -1, 1, "EXP(x * sin(y))") ) - 7.39981</f>
        <v>-0.31651082592789059</v>
      </c>
      <c r="H524" cm="1">
        <f t="array" ref="H524" xml:space="preserve"> ( mc(1000, 3, 4, -1, 1, "EXP(x * sin(y))") ) - 7.39981</f>
        <v>-3.8387535949802043E-3</v>
      </c>
      <c r="J524" cm="1">
        <f t="array" ref="J524" xml:space="preserve"> mc(100, -PI()/2,0,-1, 1, "ln(EXP(x * y))")</f>
        <v>-0.18599652482709886</v>
      </c>
      <c r="K524" cm="1">
        <f t="array" ref="K524" xml:space="preserve"> mc(500, -PI()/2,0,-1, 1, "ln(EXP(x * y))")</f>
        <v>-5.7543872672148548E-2</v>
      </c>
      <c r="L524" cm="1">
        <f t="array" ref="L524" xml:space="preserve"> mc(1000, -PI()/2,0,-1, 1, "ln(EXP(x * y))")</f>
        <v>-3.2769999098363194E-2</v>
      </c>
      <c r="N524" cm="1">
        <f t="array" ref="N524" xml:space="preserve"> mc(100, -PI()/2,PI()/2, 0, 1, "sin(cos(x + y))")-1.48235</f>
        <v>-3.3023292356083367E-2</v>
      </c>
      <c r="O524" cm="1">
        <f t="array" ref="O524" xml:space="preserve"> mc(500, -PI()/2,PI()/2, 0, 1, "sin(cos(x + y))")-1.48235</f>
        <v>8.1353233496602062E-2</v>
      </c>
      <c r="P524" cm="1">
        <f t="array" ref="P524" xml:space="preserve"> mc(1000, -PI()/2,PI()/2, 0, 1, "sin(cos(x + y))")-1.48235</f>
        <v>1.5501427365562037E-2</v>
      </c>
    </row>
    <row r="525" spans="1:16" x14ac:dyDescent="0.3">
      <c r="A525">
        <v>495</v>
      </c>
      <c r="B525" cm="1">
        <f t="array" ref="B525" xml:space="preserve"> mc(100, 0, 4, 1, 2, "x^2+y^2")-92/3</f>
        <v>1.4718506754357215</v>
      </c>
      <c r="C525" cm="1">
        <f t="array" ref="C525" xml:space="preserve"> mc(500, 0, 4, 1, 2, "x^2+y^2")-92/3</f>
        <v>4.5475403236366674E-2</v>
      </c>
      <c r="D525" cm="1">
        <f t="array" ref="D525" xml:space="preserve"> mc(1000, 0, 4, 1, 2, "x^2+y^2")-92/3</f>
        <v>-0.41712357759704588</v>
      </c>
      <c r="F525" cm="1">
        <f t="array" ref="F525" xml:space="preserve"> ( mc(100, 3, 4, -1, 1, "EXP(x * sin(y))") ) - 7.39981</f>
        <v>0.33596031255939796</v>
      </c>
      <c r="G525" cm="1">
        <f t="array" ref="G525" xml:space="preserve"> ( mc(500, 3, 4, -1, 1, "EXP(x * sin(y))") ) - 7.39981</f>
        <v>0.14100335725265989</v>
      </c>
      <c r="H525" cm="1">
        <f t="array" ref="H525" xml:space="preserve"> ( mc(1000, 3, 4, -1, 1, "EXP(x * sin(y))") ) - 7.39981</f>
        <v>-0.33105356547444131</v>
      </c>
      <c r="J525" cm="1">
        <f t="array" ref="J525" xml:space="preserve"> mc(100, -PI()/2,0,-1, 1, "ln(EXP(x * y))")</f>
        <v>-0.19842486862954584</v>
      </c>
      <c r="K525" cm="1">
        <f t="array" ref="K525" xml:space="preserve"> mc(500, -PI()/2,0,-1, 1, "ln(EXP(x * y))")</f>
        <v>0.11635824233950913</v>
      </c>
      <c r="L525" cm="1">
        <f t="array" ref="L525" xml:space="preserve"> mc(1000, -PI()/2,0,-1, 1, "ln(EXP(x * y))")</f>
        <v>-2.0529687235080326E-3</v>
      </c>
      <c r="N525" cm="1">
        <f t="array" ref="N525" xml:space="preserve"> mc(100, -PI()/2,PI()/2, 0, 1, "sin(cos(x + y))")-1.48235</f>
        <v>-8.5009589285256482E-4</v>
      </c>
      <c r="O525" cm="1">
        <f t="array" ref="O525" xml:space="preserve"> mc(500, -PI()/2,PI()/2, 0, 1, "sin(cos(x + y))")-1.48235</f>
        <v>-4.5266333878731357E-2</v>
      </c>
      <c r="P525" cm="1">
        <f t="array" ref="P525" xml:space="preserve"> mc(1000, -PI()/2,PI()/2, 0, 1, "sin(cos(x + y))")-1.48235</f>
        <v>1.712563758895258E-2</v>
      </c>
    </row>
    <row r="526" spans="1:16" x14ac:dyDescent="0.3">
      <c r="A526">
        <v>496</v>
      </c>
      <c r="B526" cm="1">
        <f t="array" ref="B526" xml:space="preserve"> mc(100, 0, 4, 1, 2, "x^2+y^2")-92/3</f>
        <v>-1.6856394962961794</v>
      </c>
      <c r="C526" cm="1">
        <f t="array" ref="C526" xml:space="preserve"> mc(500, 0, 4, 1, 2, "x^2+y^2")-92/3</f>
        <v>-0.30329469506789408</v>
      </c>
      <c r="D526" cm="1">
        <f t="array" ref="D526" xml:space="preserve"> mc(1000, 0, 4, 1, 2, "x^2+y^2")-92/3</f>
        <v>0.25800569977280574</v>
      </c>
      <c r="F526" cm="1">
        <f t="array" ref="F526" xml:space="preserve"> ( mc(100, 3, 4, -1, 1, "EXP(x * sin(y))") ) - 7.39981</f>
        <v>0.43949934409458358</v>
      </c>
      <c r="G526" cm="1">
        <f t="array" ref="G526" xml:space="preserve"> ( mc(500, 3, 4, -1, 1, "EXP(x * sin(y))") ) - 7.39981</f>
        <v>0.32275752935094193</v>
      </c>
      <c r="H526" cm="1">
        <f t="array" ref="H526" xml:space="preserve"> ( mc(1000, 3, 4, -1, 1, "EXP(x * sin(y))") ) - 7.39981</f>
        <v>0.15473601010469018</v>
      </c>
      <c r="J526" cm="1">
        <f t="array" ref="J526" xml:space="preserve"> mc(100, -PI()/2,0,-1, 1, "ln(EXP(x * y))")</f>
        <v>-0.15383660365552654</v>
      </c>
      <c r="K526" cm="1">
        <f t="array" ref="K526" xml:space="preserve"> mc(500, -PI()/2,0,-1, 1, "ln(EXP(x * y))")</f>
        <v>-8.5041705927288002E-3</v>
      </c>
      <c r="L526" cm="1">
        <f t="array" ref="L526" xml:space="preserve"> mc(1000, -PI()/2,0,-1, 1, "ln(EXP(x * y))")</f>
        <v>3.077294247517752E-2</v>
      </c>
      <c r="N526" cm="1">
        <f t="array" ref="N526" xml:space="preserve"> mc(100, -PI()/2,PI()/2, 0, 1, "sin(cos(x + y))")-1.48235</f>
        <v>6.2293732009260694E-2</v>
      </c>
      <c r="O526" cm="1">
        <f t="array" ref="O526" xml:space="preserve"> mc(500, -PI()/2,PI()/2, 0, 1, "sin(cos(x + y))")-1.48235</f>
        <v>-5.9246587697117103E-2</v>
      </c>
      <c r="P526" cm="1">
        <f t="array" ref="P526" xml:space="preserve"> mc(1000, -PI()/2,PI()/2, 0, 1, "sin(cos(x + y))")-1.48235</f>
        <v>9.9375811885168197E-2</v>
      </c>
    </row>
    <row r="527" spans="1:16" x14ac:dyDescent="0.3">
      <c r="A527">
        <v>497</v>
      </c>
      <c r="B527" cm="1">
        <f t="array" ref="B527" xml:space="preserve"> mc(100, 0, 4, 1, 2, "x^2+y^2")-92/3</f>
        <v>-1.3356098430899372</v>
      </c>
      <c r="C527" cm="1">
        <f t="array" ref="C527" xml:space="preserve"> mc(500, 0, 4, 1, 2, "x^2+y^2")-92/3</f>
        <v>0.24453509793329076</v>
      </c>
      <c r="D527" cm="1">
        <f t="array" ref="D527" xml:space="preserve"> mc(1000, 0, 4, 1, 2, "x^2+y^2")-92/3</f>
        <v>0.31288315045825144</v>
      </c>
      <c r="F527" cm="1">
        <f t="array" ref="F527" xml:space="preserve"> ( mc(100, 3, 4, -1, 1, "EXP(x * sin(y))") ) - 7.39981</f>
        <v>1.2002353330028139</v>
      </c>
      <c r="G527" cm="1">
        <f t="array" ref="G527" xml:space="preserve"> ( mc(500, 3, 4, -1, 1, "EXP(x * sin(y))") ) - 7.39981</f>
        <v>0.43543897924109931</v>
      </c>
      <c r="H527" cm="1">
        <f t="array" ref="H527" xml:space="preserve"> ( mc(1000, 3, 4, -1, 1, "EXP(x * sin(y))") ) - 7.39981</f>
        <v>0.53517748967364653</v>
      </c>
      <c r="J527" cm="1">
        <f t="array" ref="J527" xml:space="preserve"> mc(100, -PI()/2,0,-1, 1, "ln(EXP(x * y))")</f>
        <v>-3.2954321446604748E-2</v>
      </c>
      <c r="K527" cm="1">
        <f t="array" ref="K527" xml:space="preserve"> mc(500, -PI()/2,0,-1, 1, "ln(EXP(x * y))")</f>
        <v>-5.5650935646606711E-2</v>
      </c>
      <c r="L527" cm="1">
        <f t="array" ref="L527" xml:space="preserve"> mc(1000, -PI()/2,0,-1, 1, "ln(EXP(x * y))")</f>
        <v>-2.4490175110897072E-2</v>
      </c>
      <c r="N527" cm="1">
        <f t="array" ref="N527" xml:space="preserve"> mc(100, -PI()/2,PI()/2, 0, 1, "sin(cos(x + y))")-1.48235</f>
        <v>-0.14922305994573803</v>
      </c>
      <c r="O527" cm="1">
        <f t="array" ref="O527" xml:space="preserve"> mc(500, -PI()/2,PI()/2, 0, 1, "sin(cos(x + y))")-1.48235</f>
        <v>7.0072231308540678E-2</v>
      </c>
      <c r="P527" cm="1">
        <f t="array" ref="P527" xml:space="preserve"> mc(1000, -PI()/2,PI()/2, 0, 1, "sin(cos(x + y))")-1.48235</f>
        <v>4.4417902266982612E-2</v>
      </c>
    </row>
    <row r="528" spans="1:16" x14ac:dyDescent="0.3">
      <c r="A528">
        <v>498</v>
      </c>
      <c r="B528" cm="1">
        <f t="array" ref="B528" xml:space="preserve"> mc(100, 0, 4, 1, 2, "x^2+y^2")-92/3</f>
        <v>-2.8873347183377511</v>
      </c>
      <c r="C528" cm="1">
        <f t="array" ref="C528" xml:space="preserve"> mc(500, 0, 4, 1, 2, "x^2+y^2")-92/3</f>
        <v>-0.58045540558989472</v>
      </c>
      <c r="D528" cm="1">
        <f t="array" ref="D528" xml:space="preserve"> mc(1000, 0, 4, 1, 2, "x^2+y^2")-92/3</f>
        <v>0.86793236932664541</v>
      </c>
      <c r="F528" cm="1">
        <f t="array" ref="F528" xml:space="preserve"> ( mc(100, 3, 4, -1, 1, "EXP(x * sin(y))") ) - 7.39981</f>
        <v>-0.62861154505735861</v>
      </c>
      <c r="G528" cm="1">
        <f t="array" ref="G528" xml:space="preserve"> ( mc(500, 3, 4, -1, 1, "EXP(x * sin(y))") ) - 7.39981</f>
        <v>0.24472264725178317</v>
      </c>
      <c r="H528" cm="1">
        <f t="array" ref="H528" xml:space="preserve"> ( mc(1000, 3, 4, -1, 1, "EXP(x * sin(y))") ) - 7.39981</f>
        <v>-5.5469386827937228E-2</v>
      </c>
      <c r="J528" cm="1">
        <f t="array" ref="J528" xml:space="preserve"> mc(100, -PI()/2,0,-1, 1, "ln(EXP(x * y))")</f>
        <v>8.6871352326400253E-2</v>
      </c>
      <c r="K528" cm="1">
        <f t="array" ref="K528" xml:space="preserve"> mc(500, -PI()/2,0,-1, 1, "ln(EXP(x * y))")</f>
        <v>-0.13707870356351209</v>
      </c>
      <c r="L528" cm="1">
        <f t="array" ref="L528" xml:space="preserve"> mc(1000, -PI()/2,0,-1, 1, "ln(EXP(x * y))")</f>
        <v>-3.4965220509705741E-2</v>
      </c>
      <c r="N528" cm="1">
        <f t="array" ref="N528" xml:space="preserve"> mc(100, -PI()/2,PI()/2, 0, 1, "sin(cos(x + y))")-1.48235</f>
        <v>3.3456981341276615E-2</v>
      </c>
      <c r="O528" cm="1">
        <f t="array" ref="O528" xml:space="preserve"> mc(500, -PI()/2,PI()/2, 0, 1, "sin(cos(x + y))")-1.48235</f>
        <v>8.6900115359252128E-2</v>
      </c>
      <c r="P528" cm="1">
        <f t="array" ref="P528" xml:space="preserve"> mc(1000, -PI()/2,PI()/2, 0, 1, "sin(cos(x + y))")-1.48235</f>
        <v>-5.6759012566562905E-2</v>
      </c>
    </row>
    <row r="529" spans="1:16" x14ac:dyDescent="0.3">
      <c r="A529">
        <v>499</v>
      </c>
      <c r="B529" cm="1">
        <f t="array" ref="B529" xml:space="preserve"> mc(100, 0, 4, 1, 2, "x^2+y^2")-92/3</f>
        <v>0.8257008171320912</v>
      </c>
      <c r="C529" cm="1">
        <f t="array" ref="C529" xml:space="preserve"> mc(500, 0, 4, 1, 2, "x^2+y^2")-92/3</f>
        <v>-0.11269344512713531</v>
      </c>
      <c r="D529" cm="1">
        <f t="array" ref="D529" xml:space="preserve"> mc(1000, 0, 4, 1, 2, "x^2+y^2")-92/3</f>
        <v>-0.13531947747426543</v>
      </c>
      <c r="F529" cm="1">
        <f t="array" ref="F529" xml:space="preserve"> ( mc(100, 3, 4, -1, 1, "EXP(x * sin(y))") ) - 7.39981</f>
        <v>0.93490120925737763</v>
      </c>
      <c r="G529" cm="1">
        <f t="array" ref="G529" xml:space="preserve"> ( mc(500, 3, 4, -1, 1, "EXP(x * sin(y))") ) - 7.39981</f>
        <v>-0.3437438355100495</v>
      </c>
      <c r="H529" cm="1">
        <f t="array" ref="H529" xml:space="preserve"> ( mc(1000, 3, 4, -1, 1, "EXP(x * sin(y))") ) - 7.39981</f>
        <v>-0.28344265498656629</v>
      </c>
      <c r="J529" cm="1">
        <f t="array" ref="J529" xml:space="preserve"> mc(100, -PI()/2,0,-1, 1, "ln(EXP(x * y))")</f>
        <v>0.19508192586136991</v>
      </c>
      <c r="K529" cm="1">
        <f t="array" ref="K529" xml:space="preserve"> mc(500, -PI()/2,0,-1, 1, "ln(EXP(x * y))")</f>
        <v>-0.11224559153324461</v>
      </c>
      <c r="L529" cm="1">
        <f t="array" ref="L529" xml:space="preserve"> mc(1000, -PI()/2,0,-1, 1, "ln(EXP(x * y))")</f>
        <v>2.831665206038203E-2</v>
      </c>
      <c r="N529" cm="1">
        <f t="array" ref="N529" xml:space="preserve"> mc(100, -PI()/2,PI()/2, 0, 1, "sin(cos(x + y))")-1.48235</f>
        <v>8.3673939311474932E-3</v>
      </c>
      <c r="O529" cm="1">
        <f t="array" ref="O529" xml:space="preserve"> mc(500, -PI()/2,PI()/2, 0, 1, "sin(cos(x + y))")-1.48235</f>
        <v>8.6569639424681544E-2</v>
      </c>
      <c r="P529" cm="1">
        <f t="array" ref="P529" xml:space="preserve"> mc(1000, -PI()/2,PI()/2, 0, 1, "sin(cos(x + y))")-1.48235</f>
        <v>-3.2483330654211384E-2</v>
      </c>
    </row>
    <row r="530" spans="1:16" x14ac:dyDescent="0.3">
      <c r="A530">
        <v>500</v>
      </c>
      <c r="B530" cm="1">
        <f t="array" ref="B530" xml:space="preserve"> mc(100, 0, 4, 1, 2, "x^2+y^2")-92/3</f>
        <v>-1.2274720133302814</v>
      </c>
      <c r="C530" cm="1">
        <f t="array" ref="C530" xml:space="preserve"> mc(500, 0, 4, 1, 2, "x^2+y^2")-92/3</f>
        <v>-1.1910929729414406</v>
      </c>
      <c r="D530" cm="1">
        <f t="array" ref="D530" xml:space="preserve"> mc(1000, 0, 4, 1, 2, "x^2+y^2")-92/3</f>
        <v>-6.8706883675535124E-2</v>
      </c>
      <c r="F530" cm="1">
        <f t="array" ref="F530" xml:space="preserve"> ( mc(100, 3, 4, -1, 1, "EXP(x * sin(y))") ) - 7.39981</f>
        <v>0.40388011101795129</v>
      </c>
      <c r="G530" cm="1">
        <f t="array" ref="G530" xml:space="preserve"> ( mc(500, 3, 4, -1, 1, "EXP(x * sin(y))") ) - 7.39981</f>
        <v>0.67221490591676591</v>
      </c>
      <c r="H530" cm="1">
        <f t="array" ref="H530" xml:space="preserve"> ( mc(1000, 3, 4, -1, 1, "EXP(x * sin(y))") ) - 7.39981</f>
        <v>-0.12303478053743078</v>
      </c>
      <c r="J530" cm="1">
        <f t="array" ref="J530" xml:space="preserve"> mc(100, -PI()/2,0,-1, 1, "ln(EXP(x * y))")</f>
        <v>0.20759827670166289</v>
      </c>
      <c r="K530" cm="1">
        <f t="array" ref="K530" xml:space="preserve"> mc(500, -PI()/2,0,-1, 1, "ln(EXP(x * y))")</f>
        <v>-4.9465092623994962E-2</v>
      </c>
      <c r="L530" cm="1">
        <f t="array" ref="L530" xml:space="preserve"> mc(1000, -PI()/2,0,-1, 1, "ln(EXP(x * y))")</f>
        <v>-5.3801271434294612E-2</v>
      </c>
      <c r="N530" cm="1">
        <f t="array" ref="N530" xml:space="preserve"> mc(100, -PI()/2,PI()/2, 0, 1, "sin(cos(x + y))")-1.48235</f>
        <v>6.3402107921447515E-2</v>
      </c>
      <c r="O530" cm="1">
        <f t="array" ref="O530" xml:space="preserve"> mc(500, -PI()/2,PI()/2, 0, 1, "sin(cos(x + y))")-1.48235</f>
        <v>-7.6266971490588142E-2</v>
      </c>
      <c r="P530" cm="1">
        <f t="array" ref="P530" xml:space="preserve"> mc(1000, -PI()/2,PI()/2, 0, 1, "sin(cos(x + y))")-1.48235</f>
        <v>-5.5930818695290929E-2</v>
      </c>
    </row>
    <row r="531" spans="1:16" x14ac:dyDescent="0.3">
      <c r="A531">
        <v>501</v>
      </c>
      <c r="B531" cm="1">
        <f t="array" ref="B531" xml:space="preserve"> mc(100, 0, 4, 1, 2, "x^2+y^2")-92/3</f>
        <v>1.399624802133804</v>
      </c>
      <c r="C531" cm="1">
        <f t="array" ref="C531" xml:space="preserve"> mc(500, 0, 4, 1, 2, "x^2+y^2")-92/3</f>
        <v>0.74446367409241176</v>
      </c>
      <c r="D531" cm="1">
        <f t="array" ref="D531" xml:space="preserve"> mc(1000, 0, 4, 1, 2, "x^2+y^2")-92/3</f>
        <v>0.48929909515542391</v>
      </c>
      <c r="F531" cm="1">
        <f t="array" ref="F531" xml:space="preserve"> ( mc(100, 3, 4, -1, 1, "EXP(x * sin(y))") ) - 7.39981</f>
        <v>-0.5191469578153951</v>
      </c>
      <c r="G531" cm="1">
        <f t="array" ref="G531" xml:space="preserve"> ( mc(500, 3, 4, -1, 1, "EXP(x * sin(y))") ) - 7.39981</f>
        <v>0.54513671143489439</v>
      </c>
      <c r="H531" cm="1">
        <f t="array" ref="H531" xml:space="preserve"> ( mc(1000, 3, 4, -1, 1, "EXP(x * sin(y))") ) - 7.39981</f>
        <v>-0.24244334648472332</v>
      </c>
      <c r="J531" cm="1">
        <f t="array" ref="J531" xml:space="preserve"> mc(100, -PI()/2,0,-1, 1, "ln(EXP(x * y))")</f>
        <v>-9.1553508847905959E-2</v>
      </c>
      <c r="K531" cm="1">
        <f t="array" ref="K531" xml:space="preserve"> mc(500, -PI()/2,0,-1, 1, "ln(EXP(x * y))")</f>
        <v>6.999883067399644E-2</v>
      </c>
      <c r="L531" cm="1">
        <f t="array" ref="L531" xml:space="preserve"> mc(1000, -PI()/2,0,-1, 1, "ln(EXP(x * y))")</f>
        <v>1.6287651928272032E-2</v>
      </c>
      <c r="N531" cm="1">
        <f t="array" ref="N531" xml:space="preserve"> mc(100, -PI()/2,PI()/2, 0, 1, "sin(cos(x + y))")-1.48235</f>
        <v>-9.6074703847923715E-3</v>
      </c>
      <c r="O531" cm="1">
        <f t="array" ref="O531" xml:space="preserve"> mc(500, -PI()/2,PI()/2, 0, 1, "sin(cos(x + y))")-1.48235</f>
        <v>2.946400403897198E-2</v>
      </c>
      <c r="P531" cm="1">
        <f t="array" ref="P531" xml:space="preserve"> mc(1000, -PI()/2,PI()/2, 0, 1, "sin(cos(x + y))")-1.48235</f>
        <v>1.6085006916128464E-2</v>
      </c>
    </row>
    <row r="532" spans="1:16" x14ac:dyDescent="0.3">
      <c r="A532">
        <v>502</v>
      </c>
      <c r="B532" cm="1">
        <f t="array" ref="B532" xml:space="preserve"> mc(100, 0, 4, 1, 2, "x^2+y^2")-92/3</f>
        <v>0.9762611470766025</v>
      </c>
      <c r="C532" cm="1">
        <f t="array" ref="C532" xml:space="preserve"> mc(500, 0, 4, 1, 2, "x^2+y^2")-92/3</f>
        <v>1.040378734632835</v>
      </c>
      <c r="D532" cm="1">
        <f t="array" ref="D532" xml:space="preserve"> mc(1000, 0, 4, 1, 2, "x^2+y^2")-92/3</f>
        <v>-0.20903716742105516</v>
      </c>
      <c r="F532" cm="1">
        <f t="array" ref="F532" xml:space="preserve"> ( mc(100, 3, 4, -1, 1, "EXP(x * sin(y))") ) - 7.39981</f>
        <v>2.0153977446250746</v>
      </c>
      <c r="G532" cm="1">
        <f t="array" ref="G532" xml:space="preserve"> ( mc(500, 3, 4, -1, 1, "EXP(x * sin(y))") ) - 7.39981</f>
        <v>-0.39454993881163603</v>
      </c>
      <c r="H532" cm="1">
        <f t="array" ref="H532" xml:space="preserve"> ( mc(1000, 3, 4, -1, 1, "EXP(x * sin(y))") ) - 7.39981</f>
        <v>1.9006630172168748E-2</v>
      </c>
      <c r="J532" cm="1">
        <f t="array" ref="J532" xml:space="preserve"> mc(100, -PI()/2,0,-1, 1, "ln(EXP(x * y))")</f>
        <v>1.0697001576998004E-2</v>
      </c>
      <c r="K532" cm="1">
        <f t="array" ref="K532" xml:space="preserve"> mc(500, -PI()/2,0,-1, 1, "ln(EXP(x * y))")</f>
        <v>1.3103877937946595E-2</v>
      </c>
      <c r="L532" cm="1">
        <f t="array" ref="L532" xml:space="preserve"> mc(1000, -PI()/2,0,-1, 1, "ln(EXP(x * y))")</f>
        <v>-4.7928583618402049E-2</v>
      </c>
      <c r="N532" cm="1">
        <f t="array" ref="N532" xml:space="preserve"> mc(100, -PI()/2,PI()/2, 0, 1, "sin(cos(x + y))")-1.48235</f>
        <v>1.8083946675609974E-2</v>
      </c>
      <c r="O532" cm="1">
        <f t="array" ref="O532" xml:space="preserve"> mc(500, -PI()/2,PI()/2, 0, 1, "sin(cos(x + y))")-1.48235</f>
        <v>7.5827747272755763E-2</v>
      </c>
      <c r="P532" cm="1">
        <f t="array" ref="P532" xml:space="preserve"> mc(1000, -PI()/2,PI()/2, 0, 1, "sin(cos(x + y))")-1.48235</f>
        <v>2.0801681796782656E-3</v>
      </c>
    </row>
    <row r="533" spans="1:16" x14ac:dyDescent="0.3">
      <c r="A533">
        <v>503</v>
      </c>
      <c r="B533" cm="1">
        <f t="array" ref="B533" xml:space="preserve"> mc(100, 0, 4, 1, 2, "x^2+y^2")-92/3</f>
        <v>1.5092943273558923</v>
      </c>
      <c r="C533" cm="1">
        <f t="array" ref="C533" xml:space="preserve"> mc(500, 0, 4, 1, 2, "x^2+y^2")-92/3</f>
        <v>1.1848396715444132</v>
      </c>
      <c r="D533" cm="1">
        <f t="array" ref="D533" xml:space="preserve"> mc(1000, 0, 4, 1, 2, "x^2+y^2")-92/3</f>
        <v>0.41216645080556091</v>
      </c>
      <c r="F533" cm="1">
        <f t="array" ref="F533" xml:space="preserve"> ( mc(100, 3, 4, -1, 1, "EXP(x * sin(y))") ) - 7.39981</f>
        <v>-0.33143790014467722</v>
      </c>
      <c r="G533" cm="1">
        <f t="array" ref="G533" xml:space="preserve"> ( mc(500, 3, 4, -1, 1, "EXP(x * sin(y))") ) - 7.39981</f>
        <v>-0.13972000096993487</v>
      </c>
      <c r="H533" cm="1">
        <f t="array" ref="H533" xml:space="preserve"> ( mc(1000, 3, 4, -1, 1, "EXP(x * sin(y))") ) - 7.39981</f>
        <v>-0.24134583061270565</v>
      </c>
      <c r="J533" cm="1">
        <f t="array" ref="J533" xml:space="preserve"> mc(100, -PI()/2,0,-1, 1, "ln(EXP(x * y))")</f>
        <v>-0.17269165884085116</v>
      </c>
      <c r="K533" cm="1">
        <f t="array" ref="K533" xml:space="preserve"> mc(500, -PI()/2,0,-1, 1, "ln(EXP(x * y))")</f>
        <v>-1.4126433889063034E-2</v>
      </c>
      <c r="L533" cm="1">
        <f t="array" ref="L533" xml:space="preserve"> mc(1000, -PI()/2,0,-1, 1, "ln(EXP(x * y))")</f>
        <v>1.3831492629846964E-2</v>
      </c>
      <c r="N533" cm="1">
        <f t="array" ref="N533" xml:space="preserve"> mc(100, -PI()/2,PI()/2, 0, 1, "sin(cos(x + y))")-1.48235</f>
        <v>4.6316934058020953E-2</v>
      </c>
      <c r="O533" cm="1">
        <f t="array" ref="O533" xml:space="preserve"> mc(500, -PI()/2,PI()/2, 0, 1, "sin(cos(x + y))")-1.48235</f>
        <v>5.0997225847667194E-2</v>
      </c>
      <c r="P533" cm="1">
        <f t="array" ref="P533" xml:space="preserve"> mc(1000, -PI()/2,PI()/2, 0, 1, "sin(cos(x + y))")-1.48235</f>
        <v>-1.2295786116322871E-2</v>
      </c>
    </row>
    <row r="534" spans="1:16" x14ac:dyDescent="0.3">
      <c r="A534">
        <v>504</v>
      </c>
      <c r="B534" cm="1">
        <f t="array" ref="B534" xml:space="preserve"> mc(100, 0, 4, 1, 2, "x^2+y^2")-92/3</f>
        <v>-0.1637751795303366</v>
      </c>
      <c r="C534" cm="1">
        <f t="array" ref="C534" xml:space="preserve"> mc(500, 0, 4, 1, 2, "x^2+y^2")-92/3</f>
        <v>0.31343651089643387</v>
      </c>
      <c r="D534" cm="1">
        <f t="array" ref="D534" xml:space="preserve"> mc(1000, 0, 4, 1, 2, "x^2+y^2")-92/3</f>
        <v>-0.69918535055712638</v>
      </c>
      <c r="F534" cm="1">
        <f t="array" ref="F534" xml:space="preserve"> ( mc(100, 3, 4, -1, 1, "EXP(x * sin(y))") ) - 7.39981</f>
        <v>-1.6983812573129953</v>
      </c>
      <c r="G534" cm="1">
        <f t="array" ref="G534" xml:space="preserve"> ( mc(500, 3, 4, -1, 1, "EXP(x * sin(y))") ) - 7.39981</f>
        <v>-0.1175196055073684</v>
      </c>
      <c r="H534" cm="1">
        <f t="array" ref="H534" xml:space="preserve"> ( mc(1000, 3, 4, -1, 1, "EXP(x * sin(y))") ) - 7.39981</f>
        <v>0.52173146271550319</v>
      </c>
      <c r="J534" cm="1">
        <f t="array" ref="J534" xml:space="preserve"> mc(100, -PI()/2,0,-1, 1, "ln(EXP(x * y))")</f>
        <v>0.17265809660887141</v>
      </c>
      <c r="K534" cm="1">
        <f t="array" ref="K534" xml:space="preserve"> mc(500, -PI()/2,0,-1, 1, "ln(EXP(x * y))")</f>
        <v>1.4901940919936648E-2</v>
      </c>
      <c r="L534" cm="1">
        <f t="array" ref="L534" xml:space="preserve"> mc(1000, -PI()/2,0,-1, 1, "ln(EXP(x * y))")</f>
        <v>-6.8600881057385987E-2</v>
      </c>
      <c r="N534" cm="1">
        <f t="array" ref="N534" xml:space="preserve"> mc(100, -PI()/2,PI()/2, 0, 1, "sin(cos(x + y))")-1.48235</f>
        <v>5.0308901811180862E-2</v>
      </c>
      <c r="O534" cm="1">
        <f t="array" ref="O534" xml:space="preserve"> mc(500, -PI()/2,PI()/2, 0, 1, "sin(cos(x + y))")-1.48235</f>
        <v>-5.8100776721972114E-3</v>
      </c>
      <c r="P534" cm="1">
        <f t="array" ref="P534" xml:space="preserve"> mc(1000, -PI()/2,PI()/2, 0, 1, "sin(cos(x + y))")-1.48235</f>
        <v>3.7446902011962324E-2</v>
      </c>
    </row>
    <row r="535" spans="1:16" x14ac:dyDescent="0.3">
      <c r="A535">
        <v>505</v>
      </c>
      <c r="B535" cm="1">
        <f t="array" ref="B535" xml:space="preserve"> mc(100, 0, 4, 1, 2, "x^2+y^2")-92/3</f>
        <v>-2.1136421879109477</v>
      </c>
      <c r="C535" cm="1">
        <f t="array" ref="C535" xml:space="preserve"> mc(500, 0, 4, 1, 2, "x^2+y^2")-92/3</f>
        <v>0.41839256184036699</v>
      </c>
      <c r="D535" cm="1">
        <f t="array" ref="D535" xml:space="preserve"> mc(1000, 0, 4, 1, 2, "x^2+y^2")-92/3</f>
        <v>-8.4389565624277907E-2</v>
      </c>
      <c r="F535" cm="1">
        <f t="array" ref="F535" xml:space="preserve"> ( mc(100, 3, 4, -1, 1, "EXP(x * sin(y))") ) - 7.39981</f>
        <v>0.8028630927471081</v>
      </c>
      <c r="G535" cm="1">
        <f t="array" ref="G535" xml:space="preserve"> ( mc(500, 3, 4, -1, 1, "EXP(x * sin(y))") ) - 7.39981</f>
        <v>-0.90413194100179073</v>
      </c>
      <c r="H535" cm="1">
        <f t="array" ref="H535" xml:space="preserve"> ( mc(1000, 3, 4, -1, 1, "EXP(x * sin(y))") ) - 7.39981</f>
        <v>-0.20121977049385897</v>
      </c>
      <c r="J535" cm="1">
        <f t="array" ref="J535" xml:space="preserve"> mc(100, -PI()/2,0,-1, 1, "ln(EXP(x * y))")</f>
        <v>0.14965788157542192</v>
      </c>
      <c r="K535" cm="1">
        <f t="array" ref="K535" xml:space="preserve"> mc(500, -PI()/2,0,-1, 1, "ln(EXP(x * y))")</f>
        <v>-4.9897451426749721E-2</v>
      </c>
      <c r="L535" cm="1">
        <f t="array" ref="L535" xml:space="preserve"> mc(1000, -PI()/2,0,-1, 1, "ln(EXP(x * y))")</f>
        <v>-5.9825446171795596E-2</v>
      </c>
      <c r="N535" cm="1">
        <f t="array" ref="N535" xml:space="preserve"> mc(100, -PI()/2,PI()/2, 0, 1, "sin(cos(x + y))")-1.48235</f>
        <v>-0.18557991977197519</v>
      </c>
      <c r="O535" cm="1">
        <f t="array" ref="O535" xml:space="preserve"> mc(500, -PI()/2,PI()/2, 0, 1, "sin(cos(x + y))")-1.48235</f>
        <v>-5.1520651466181233E-2</v>
      </c>
      <c r="P535" cm="1">
        <f t="array" ref="P535" xml:space="preserve"> mc(1000, -PI()/2,PI()/2, 0, 1, "sin(cos(x + y))")-1.48235</f>
        <v>3.5224200620707302E-2</v>
      </c>
    </row>
    <row r="536" spans="1:16" x14ac:dyDescent="0.3">
      <c r="A536">
        <v>506</v>
      </c>
      <c r="B536" cm="1">
        <f t="array" ref="B536" xml:space="preserve"> mc(100, 0, 4, 1, 2, "x^2+y^2")-92/3</f>
        <v>-7.3595229084986613E-2</v>
      </c>
      <c r="C536" cm="1">
        <f t="array" ref="C536" xml:space="preserve"> mc(500, 0, 4, 1, 2, "x^2+y^2")-92/3</f>
        <v>-0.41868328851914427</v>
      </c>
      <c r="D536" cm="1">
        <f t="array" ref="D536" xml:space="preserve"> mc(1000, 0, 4, 1, 2, "x^2+y^2")-92/3</f>
        <v>0.30390788104277178</v>
      </c>
      <c r="F536" cm="1">
        <f t="array" ref="F536" xml:space="preserve"> ( mc(100, 3, 4, -1, 1, "EXP(x * sin(y))") ) - 7.39981</f>
        <v>1.6352722952359819</v>
      </c>
      <c r="G536" cm="1">
        <f t="array" ref="G536" xml:space="preserve"> ( mc(500, 3, 4, -1, 1, "EXP(x * sin(y))") ) - 7.39981</f>
        <v>-2.2769607954289839E-2</v>
      </c>
      <c r="H536" cm="1">
        <f t="array" ref="H536" xml:space="preserve"> ( mc(1000, 3, 4, -1, 1, "EXP(x * sin(y))") ) - 7.39981</f>
        <v>-0.585043400594083</v>
      </c>
      <c r="J536" cm="1">
        <f t="array" ref="J536" xml:space="preserve"> mc(100, -PI()/2,0,-1, 1, "ln(EXP(x * y))")</f>
        <v>8.2378632934527268E-2</v>
      </c>
      <c r="K536" cm="1">
        <f t="array" ref="K536" xml:space="preserve"> mc(500, -PI()/2,0,-1, 1, "ln(EXP(x * y))")</f>
        <v>2.7696516352059785E-2</v>
      </c>
      <c r="L536" cm="1">
        <f t="array" ref="L536" xml:space="preserve"> mc(1000, -PI()/2,0,-1, 1, "ln(EXP(x * y))")</f>
        <v>1.4199913981745428E-2</v>
      </c>
      <c r="N536" cm="1">
        <f t="array" ref="N536" xml:space="preserve"> mc(100, -PI()/2,PI()/2, 0, 1, "sin(cos(x + y))")-1.48235</f>
        <v>7.9933081317181021E-2</v>
      </c>
      <c r="O536" cm="1">
        <f t="array" ref="O536" xml:space="preserve"> mc(500, -PI()/2,PI()/2, 0, 1, "sin(cos(x + y))")-1.48235</f>
        <v>0.12089243920170145</v>
      </c>
      <c r="P536" cm="1">
        <f t="array" ref="P536" xml:space="preserve"> mc(1000, -PI()/2,PI()/2, 0, 1, "sin(cos(x + y))")-1.48235</f>
        <v>-8.7844416172815576E-2</v>
      </c>
    </row>
    <row r="537" spans="1:16" x14ac:dyDescent="0.3">
      <c r="A537">
        <v>507</v>
      </c>
      <c r="B537" cm="1">
        <f t="array" ref="B537" xml:space="preserve"> mc(100, 0, 4, 1, 2, "x^2+y^2")-92/3</f>
        <v>-1.4513117920689425</v>
      </c>
      <c r="C537" cm="1">
        <f t="array" ref="C537" xml:space="preserve"> mc(500, 0, 4, 1, 2, "x^2+y^2")-92/3</f>
        <v>0.66751043193849213</v>
      </c>
      <c r="D537" cm="1">
        <f t="array" ref="D537" xml:space="preserve"> mc(1000, 0, 4, 1, 2, "x^2+y^2")-92/3</f>
        <v>1.0451472136159872</v>
      </c>
      <c r="F537" cm="1">
        <f t="array" ref="F537" xml:space="preserve"> ( mc(100, 3, 4, -1, 1, "EXP(x * sin(y))") ) - 7.39981</f>
        <v>-0.6518793712862605</v>
      </c>
      <c r="G537" cm="1">
        <f t="array" ref="G537" xml:space="preserve"> ( mc(500, 3, 4, -1, 1, "EXP(x * sin(y))") ) - 7.39981</f>
        <v>-1.4870202367935903E-2</v>
      </c>
      <c r="H537" cm="1">
        <f t="array" ref="H537" xml:space="preserve"> ( mc(1000, 3, 4, -1, 1, "EXP(x * sin(y))") ) - 7.39981</f>
        <v>-6.9166674786816706E-2</v>
      </c>
      <c r="J537" cm="1">
        <f t="array" ref="J537" xml:space="preserve"> mc(100, -PI()/2,0,-1, 1, "ln(EXP(x * y))")</f>
        <v>1.7163400733286021E-2</v>
      </c>
      <c r="K537" cm="1">
        <f t="array" ref="K537" xml:space="preserve"> mc(500, -PI()/2,0,-1, 1, "ln(EXP(x * y))")</f>
        <v>3.5531957136561418E-2</v>
      </c>
      <c r="L537" cm="1">
        <f t="array" ref="L537" xml:space="preserve"> mc(1000, -PI()/2,0,-1, 1, "ln(EXP(x * y))")</f>
        <v>-7.0156079388295128E-2</v>
      </c>
      <c r="N537" cm="1">
        <f t="array" ref="N537" xml:space="preserve"> mc(100, -PI()/2,PI()/2, 0, 1, "sin(cos(x + y))")-1.48235</f>
        <v>-0.14076532691289212</v>
      </c>
      <c r="O537" cm="1">
        <f t="array" ref="O537" xml:space="preserve"> mc(500, -PI()/2,PI()/2, 0, 1, "sin(cos(x + y))")-1.48235</f>
        <v>1.2068203811958611E-2</v>
      </c>
      <c r="P537" cm="1">
        <f t="array" ref="P537" xml:space="preserve"> mc(1000, -PI()/2,PI()/2, 0, 1, "sin(cos(x + y))")-1.48235</f>
        <v>-7.1098895660932859E-2</v>
      </c>
    </row>
    <row r="538" spans="1:16" x14ac:dyDescent="0.3">
      <c r="A538">
        <v>508</v>
      </c>
      <c r="B538" cm="1">
        <f t="array" ref="B538" xml:space="preserve"> mc(100, 0, 4, 1, 2, "x^2+y^2")-92/3</f>
        <v>-1.5733240909631583</v>
      </c>
      <c r="C538" cm="1">
        <f t="array" ref="C538" xml:space="preserve"> mc(500, 0, 4, 1, 2, "x^2+y^2")-92/3</f>
        <v>-0.12374502996549808</v>
      </c>
      <c r="D538" cm="1">
        <f t="array" ref="D538" xml:space="preserve"> mc(1000, 0, 4, 1, 2, "x^2+y^2")-92/3</f>
        <v>0.27618293356480095</v>
      </c>
      <c r="F538" cm="1">
        <f t="array" ref="F538" xml:space="preserve"> ( mc(100, 3, 4, -1, 1, "EXP(x * sin(y))") ) - 7.39981</f>
        <v>-1.7214538571658231</v>
      </c>
      <c r="G538" cm="1">
        <f t="array" ref="G538" xml:space="preserve"> ( mc(500, 3, 4, -1, 1, "EXP(x * sin(y))") ) - 7.39981</f>
        <v>-5.9872359198759106E-2</v>
      </c>
      <c r="H538" cm="1">
        <f t="array" ref="H538" xml:space="preserve"> ( mc(1000, 3, 4, -1, 1, "EXP(x * sin(y))") ) - 7.39981</f>
        <v>-0.4005412386097813</v>
      </c>
      <c r="J538" cm="1">
        <f t="array" ref="J538" xml:space="preserve"> mc(100, -PI()/2,0,-1, 1, "ln(EXP(x * y))")</f>
        <v>0.20341422658522298</v>
      </c>
      <c r="K538" cm="1">
        <f t="array" ref="K538" xml:space="preserve"> mc(500, -PI()/2,0,-1, 1, "ln(EXP(x * y))")</f>
        <v>-0.10237838353104739</v>
      </c>
      <c r="L538" cm="1">
        <f t="array" ref="L538" xml:space="preserve"> mc(1000, -PI()/2,0,-1, 1, "ln(EXP(x * y))")</f>
        <v>-2.3954828678322323E-3</v>
      </c>
      <c r="N538" cm="1">
        <f t="array" ref="N538" xml:space="preserve"> mc(100, -PI()/2,PI()/2, 0, 1, "sin(cos(x + y))")-1.48235</f>
        <v>0.13495799279592746</v>
      </c>
      <c r="O538" cm="1">
        <f t="array" ref="O538" xml:space="preserve"> mc(500, -PI()/2,PI()/2, 0, 1, "sin(cos(x + y))")-1.48235</f>
        <v>-8.3005570626672132E-2</v>
      </c>
      <c r="P538" cm="1">
        <f t="array" ref="P538" xml:space="preserve"> mc(1000, -PI()/2,PI()/2, 0, 1, "sin(cos(x + y))")-1.48235</f>
        <v>1.1328839859903184E-3</v>
      </c>
    </row>
    <row r="539" spans="1:16" x14ac:dyDescent="0.3">
      <c r="A539">
        <v>509</v>
      </c>
      <c r="B539" cm="1">
        <f t="array" ref="B539" xml:space="preserve"> mc(100, 0, 4, 1, 2, "x^2+y^2")-92/3</f>
        <v>0.56156648550911115</v>
      </c>
      <c r="C539" cm="1">
        <f t="array" ref="C539" xml:space="preserve"> mc(500, 0, 4, 1, 2, "x^2+y^2")-92/3</f>
        <v>-0.225429164658415</v>
      </c>
      <c r="D539" cm="1">
        <f t="array" ref="D539" xml:space="preserve"> mc(1000, 0, 4, 1, 2, "x^2+y^2")-92/3</f>
        <v>0.91651823684799538</v>
      </c>
      <c r="F539" cm="1">
        <f t="array" ref="F539" xml:space="preserve"> ( mc(100, 3, 4, -1, 1, "EXP(x * sin(y))") ) - 7.39981</f>
        <v>-0.31464639858761689</v>
      </c>
      <c r="G539" cm="1">
        <f t="array" ref="G539" xml:space="preserve"> ( mc(500, 3, 4, -1, 1, "EXP(x * sin(y))") ) - 7.39981</f>
        <v>-0.47903269134060089</v>
      </c>
      <c r="H539" cm="1">
        <f t="array" ref="H539" xml:space="preserve"> ( mc(1000, 3, 4, -1, 1, "EXP(x * sin(y))") ) - 7.39981</f>
        <v>-6.873384920462744E-2</v>
      </c>
      <c r="J539" cm="1">
        <f t="array" ref="J539" xml:space="preserve"> mc(100, -PI()/2,0,-1, 1, "ln(EXP(x * y))")</f>
        <v>1.7427445851835928E-2</v>
      </c>
      <c r="K539" cm="1">
        <f t="array" ref="K539" xml:space="preserve"> mc(500, -PI()/2,0,-1, 1, "ln(EXP(x * y))")</f>
        <v>-7.2405205118552682E-2</v>
      </c>
      <c r="L539" cm="1">
        <f t="array" ref="L539" xml:space="preserve"> mc(1000, -PI()/2,0,-1, 1, "ln(EXP(x * y))")</f>
        <v>-3.3737285036593845E-2</v>
      </c>
      <c r="N539" cm="1">
        <f t="array" ref="N539" xml:space="preserve"> mc(100, -PI()/2,PI()/2, 0, 1, "sin(cos(x + y))")-1.48235</f>
        <v>-8.0399084571252111E-3</v>
      </c>
      <c r="O539" cm="1">
        <f t="array" ref="O539" xml:space="preserve"> mc(500, -PI()/2,PI()/2, 0, 1, "sin(cos(x + y))")-1.48235</f>
        <v>-2.6714147350130224E-2</v>
      </c>
      <c r="P539" cm="1">
        <f t="array" ref="P539" xml:space="preserve"> mc(1000, -PI()/2,PI()/2, 0, 1, "sin(cos(x + y))")-1.48235</f>
        <v>6.9878659788656483E-2</v>
      </c>
    </row>
    <row r="540" spans="1:16" x14ac:dyDescent="0.3">
      <c r="A540">
        <v>510</v>
      </c>
      <c r="B540" cm="1">
        <f t="array" ref="B540" xml:space="preserve"> mc(100, 0, 4, 1, 2, "x^2+y^2")-92/3</f>
        <v>-4.3192681197238763</v>
      </c>
      <c r="C540" cm="1">
        <f t="array" ref="C540" xml:space="preserve"> mc(500, 0, 4, 1, 2, "x^2+y^2")-92/3</f>
        <v>0.5776763210524507</v>
      </c>
      <c r="D540" cm="1">
        <f t="array" ref="D540" xml:space="preserve"> mc(1000, 0, 4, 1, 2, "x^2+y^2")-92/3</f>
        <v>0.15130522519545053</v>
      </c>
      <c r="F540" cm="1">
        <f t="array" ref="F540" xml:space="preserve"> ( mc(100, 3, 4, -1, 1, "EXP(x * sin(y))") ) - 7.39981</f>
        <v>0.19741633126651958</v>
      </c>
      <c r="G540" cm="1">
        <f t="array" ref="G540" xml:space="preserve"> ( mc(500, 3, 4, -1, 1, "EXP(x * sin(y))") ) - 7.39981</f>
        <v>8.6670635107372718E-2</v>
      </c>
      <c r="H540" cm="1">
        <f t="array" ref="H540" xml:space="preserve"> ( mc(1000, 3, 4, -1, 1, "EXP(x * sin(y))") ) - 7.39981</f>
        <v>5.3366590603607378E-3</v>
      </c>
      <c r="J540" cm="1">
        <f t="array" ref="J540" xml:space="preserve"> mc(100, -PI()/2,0,-1, 1, "ln(EXP(x * y))")</f>
        <v>9.2138982835683919E-2</v>
      </c>
      <c r="K540" cm="1">
        <f t="array" ref="K540" xml:space="preserve"> mc(500, -PI()/2,0,-1, 1, "ln(EXP(x * y))")</f>
        <v>7.3578883678423815E-2</v>
      </c>
      <c r="L540" cm="1">
        <f t="array" ref="L540" xml:space="preserve"> mc(1000, -PI()/2,0,-1, 1, "ln(EXP(x * y))")</f>
        <v>0.11188606838186607</v>
      </c>
      <c r="N540" cm="1">
        <f t="array" ref="N540" xml:space="preserve"> mc(100, -PI()/2,PI()/2, 0, 1, "sin(cos(x + y))")-1.48235</f>
        <v>0.14054855589955273</v>
      </c>
      <c r="O540" cm="1">
        <f t="array" ref="O540" xml:space="preserve"> mc(500, -PI()/2,PI()/2, 0, 1, "sin(cos(x + y))")-1.48235</f>
        <v>-3.9456456731586043E-2</v>
      </c>
      <c r="P540" cm="1">
        <f t="array" ref="P540" xml:space="preserve"> mc(1000, -PI()/2,PI()/2, 0, 1, "sin(cos(x + y))")-1.48235</f>
        <v>2.978321743745993E-2</v>
      </c>
    </row>
    <row r="541" spans="1:16" x14ac:dyDescent="0.3">
      <c r="A541">
        <v>511</v>
      </c>
      <c r="B541" cm="1">
        <f t="array" ref="B541" xml:space="preserve"> mc(100, 0, 4, 1, 2, "x^2+y^2")-92/3</f>
        <v>0.730370311693612</v>
      </c>
      <c r="C541" cm="1">
        <f t="array" ref="C541" xml:space="preserve"> mc(500, 0, 4, 1, 2, "x^2+y^2")-92/3</f>
        <v>0.19535054681715991</v>
      </c>
      <c r="D541" cm="1">
        <f t="array" ref="D541" xml:space="preserve"> mc(1000, 0, 4, 1, 2, "x^2+y^2")-92/3</f>
        <v>0.82442659801483487</v>
      </c>
      <c r="F541" cm="1">
        <f t="array" ref="F541" xml:space="preserve"> ( mc(100, 3, 4, -1, 1, "EXP(x * sin(y))") ) - 7.39981</f>
        <v>-0.97722779219366807</v>
      </c>
      <c r="G541" cm="1">
        <f t="array" ref="G541" xml:space="preserve"> ( mc(500, 3, 4, -1, 1, "EXP(x * sin(y))") ) - 7.39981</f>
        <v>-0.56857754563510188</v>
      </c>
      <c r="H541" cm="1">
        <f t="array" ref="H541" xml:space="preserve"> ( mc(1000, 3, 4, -1, 1, "EXP(x * sin(y))") ) - 7.39981</f>
        <v>-0.11408605678679962</v>
      </c>
      <c r="J541" cm="1">
        <f t="array" ref="J541" xml:space="preserve"> mc(100, -PI()/2,0,-1, 1, "ln(EXP(x * y))")</f>
        <v>0.13572500622651565</v>
      </c>
      <c r="K541" cm="1">
        <f t="array" ref="K541" xml:space="preserve"> mc(500, -PI()/2,0,-1, 1, "ln(EXP(x * y))")</f>
        <v>4.2935354544331214E-2</v>
      </c>
      <c r="L541" cm="1">
        <f t="array" ref="L541" xml:space="preserve"> mc(1000, -PI()/2,0,-1, 1, "ln(EXP(x * y))")</f>
        <v>4.7049007783462687E-2</v>
      </c>
      <c r="N541" cm="1">
        <f t="array" ref="N541" xml:space="preserve"> mc(100, -PI()/2,PI()/2, 0, 1, "sin(cos(x + y))")-1.48235</f>
        <v>-3.132546721420093E-2</v>
      </c>
      <c r="O541" cm="1">
        <f t="array" ref="O541" xml:space="preserve"> mc(500, -PI()/2,PI()/2, 0, 1, "sin(cos(x + y))")-1.48235</f>
        <v>1.5398491424953642E-2</v>
      </c>
      <c r="P541" cm="1">
        <f t="array" ref="P541" xml:space="preserve"> mc(1000, -PI()/2,PI()/2, 0, 1, "sin(cos(x + y))")-1.48235</f>
        <v>-3.4670784402007992E-2</v>
      </c>
    </row>
    <row r="542" spans="1:16" x14ac:dyDescent="0.3">
      <c r="A542">
        <v>512</v>
      </c>
      <c r="B542" cm="1">
        <f t="array" ref="B542" xml:space="preserve"> mc(100, 0, 4, 1, 2, "x^2+y^2")-92/3</f>
        <v>-1.8342074940475754</v>
      </c>
      <c r="C542" cm="1">
        <f t="array" ref="C542" xml:space="preserve"> mc(500, 0, 4, 1, 2, "x^2+y^2")-92/3</f>
        <v>7.4694379438248859E-2</v>
      </c>
      <c r="D542" cm="1">
        <f t="array" ref="D542" xml:space="preserve"> mc(1000, 0, 4, 1, 2, "x^2+y^2")-92/3</f>
        <v>-0.23849748195123155</v>
      </c>
      <c r="F542" cm="1">
        <f t="array" ref="F542" xml:space="preserve"> ( mc(100, 3, 4, -1, 1, "EXP(x * sin(y))") ) - 7.39981</f>
        <v>1.0793418652292814</v>
      </c>
      <c r="G542" cm="1">
        <f t="array" ref="G542" xml:space="preserve"> ( mc(500, 3, 4, -1, 1, "EXP(x * sin(y))") ) - 7.39981</f>
        <v>-3.8899577028168153E-2</v>
      </c>
      <c r="H542" cm="1">
        <f t="array" ref="H542" xml:space="preserve"> ( mc(1000, 3, 4, -1, 1, "EXP(x * sin(y))") ) - 7.39981</f>
        <v>0.19049887285868206</v>
      </c>
      <c r="J542" cm="1">
        <f t="array" ref="J542" xml:space="preserve"> mc(100, -PI()/2,0,-1, 1, "ln(EXP(x * y))")</f>
        <v>-9.640619290320283E-3</v>
      </c>
      <c r="K542" cm="1">
        <f t="array" ref="K542" xml:space="preserve"> mc(500, -PI()/2,0,-1, 1, "ln(EXP(x * y))")</f>
        <v>6.4541488588273938E-2</v>
      </c>
      <c r="L542" cm="1">
        <f t="array" ref="L542" xml:space="preserve"> mc(1000, -PI()/2,0,-1, 1, "ln(EXP(x * y))")</f>
        <v>-3.2486112129198635E-2</v>
      </c>
      <c r="N542" cm="1">
        <f t="array" ref="N542" xml:space="preserve"> mc(100, -PI()/2,PI()/2, 0, 1, "sin(cos(x + y))")-1.48235</f>
        <v>0.25413012707654592</v>
      </c>
      <c r="O542" cm="1">
        <f t="array" ref="O542" xml:space="preserve"> mc(500, -PI()/2,PI()/2, 0, 1, "sin(cos(x + y))")-1.48235</f>
        <v>2.5391659613088979E-2</v>
      </c>
      <c r="P542" cm="1">
        <f t="array" ref="P542" xml:space="preserve"> mc(1000, -PI()/2,PI()/2, 0, 1, "sin(cos(x + y))")-1.48235</f>
        <v>-3.7687232963211192E-2</v>
      </c>
    </row>
    <row r="543" spans="1:16" x14ac:dyDescent="0.3">
      <c r="A543">
        <v>513</v>
      </c>
      <c r="B543" cm="1">
        <f t="array" ref="B543" xml:space="preserve"> mc(100, 0, 4, 1, 2, "x^2+y^2")-92/3</f>
        <v>-1.8391789462793433</v>
      </c>
      <c r="C543" cm="1">
        <f t="array" ref="C543" xml:space="preserve"> mc(500, 0, 4, 1, 2, "x^2+y^2")-92/3</f>
        <v>0.50935664340109454</v>
      </c>
      <c r="D543" cm="1">
        <f t="array" ref="D543" xml:space="preserve"> mc(1000, 0, 4, 1, 2, "x^2+y^2")-92/3</f>
        <v>0.38901391467863178</v>
      </c>
      <c r="F543" cm="1">
        <f t="array" ref="F543" xml:space="preserve"> ( mc(100, 3, 4, -1, 1, "EXP(x * sin(y))") ) - 7.39981</f>
        <v>0.31355203423428168</v>
      </c>
      <c r="G543" cm="1">
        <f t="array" ref="G543" xml:space="preserve"> ( mc(500, 3, 4, -1, 1, "EXP(x * sin(y))") ) - 7.39981</f>
        <v>0.57803060129336714</v>
      </c>
      <c r="H543" cm="1">
        <f t="array" ref="H543" xml:space="preserve"> ( mc(1000, 3, 4, -1, 1, "EXP(x * sin(y))") ) - 7.39981</f>
        <v>0.10233093493707646</v>
      </c>
      <c r="J543" cm="1">
        <f t="array" ref="J543" xml:space="preserve"> mc(100, -PI()/2,0,-1, 1, "ln(EXP(x * y))")</f>
        <v>2.849728361602538E-3</v>
      </c>
      <c r="K543" cm="1">
        <f t="array" ref="K543" xml:space="preserve"> mc(500, -PI()/2,0,-1, 1, "ln(EXP(x * y))")</f>
        <v>1.3820001701903685E-2</v>
      </c>
      <c r="L543" cm="1">
        <f t="array" ref="L543" xml:space="preserve"> mc(1000, -PI()/2,0,-1, 1, "ln(EXP(x * y))")</f>
        <v>-3.5467674234191733E-2</v>
      </c>
      <c r="N543" cm="1">
        <f t="array" ref="N543" xml:space="preserve"> mc(100, -PI()/2,PI()/2, 0, 1, "sin(cos(x + y))")-1.48235</f>
        <v>-0.13094413244195202</v>
      </c>
      <c r="O543" cm="1">
        <f t="array" ref="O543" xml:space="preserve"> mc(500, -PI()/2,PI()/2, 0, 1, "sin(cos(x + y))")-1.48235</f>
        <v>-1.7382479963118813E-2</v>
      </c>
      <c r="P543" cm="1">
        <f t="array" ref="P543" xml:space="preserve"> mc(1000, -PI()/2,PI()/2, 0, 1, "sin(cos(x + y))")-1.48235</f>
        <v>-1.4118608006903788E-2</v>
      </c>
    </row>
    <row r="544" spans="1:16" x14ac:dyDescent="0.3">
      <c r="A544">
        <v>514</v>
      </c>
      <c r="B544" cm="1">
        <f t="array" ref="B544" xml:space="preserve"> mc(100, 0, 4, 1, 2, "x^2+y^2")-92/3</f>
        <v>0.22199825912460014</v>
      </c>
      <c r="C544" cm="1">
        <f t="array" ref="C544" xml:space="preserve"> mc(500, 0, 4, 1, 2, "x^2+y^2")-92/3</f>
        <v>0.4516892212662853</v>
      </c>
      <c r="D544" cm="1">
        <f t="array" ref="D544" xml:space="preserve"> mc(1000, 0, 4, 1, 2, "x^2+y^2")-92/3</f>
        <v>0.71652944886318437</v>
      </c>
      <c r="F544" cm="1">
        <f t="array" ref="F544" xml:space="preserve"> ( mc(100, 3, 4, -1, 1, "EXP(x * sin(y))") ) - 7.39981</f>
        <v>-1.0618573641397617</v>
      </c>
      <c r="G544" cm="1">
        <f t="array" ref="G544" xml:space="preserve"> ( mc(500, 3, 4, -1, 1, "EXP(x * sin(y))") ) - 7.39981</f>
        <v>-0.38372875642539395</v>
      </c>
      <c r="H544" cm="1">
        <f t="array" ref="H544" xml:space="preserve"> ( mc(1000, 3, 4, -1, 1, "EXP(x * sin(y))") ) - 7.39981</f>
        <v>-3.5542822033055366E-2</v>
      </c>
      <c r="J544" cm="1">
        <f t="array" ref="J544" xml:space="preserve"> mc(100, -PI()/2,0,-1, 1, "ln(EXP(x * y))")</f>
        <v>0.15961501950712062</v>
      </c>
      <c r="K544" cm="1">
        <f t="array" ref="K544" xml:space="preserve"> mc(500, -PI()/2,0,-1, 1, "ln(EXP(x * y))")</f>
        <v>6.5772693827773022E-3</v>
      </c>
      <c r="L544" cm="1">
        <f t="array" ref="L544" xml:space="preserve"> mc(1000, -PI()/2,0,-1, 1, "ln(EXP(x * y))")</f>
        <v>-1.6196964293035791E-2</v>
      </c>
      <c r="N544" cm="1">
        <f t="array" ref="N544" xml:space="preserve"> mc(100, -PI()/2,PI()/2, 0, 1, "sin(cos(x + y))")-1.48235</f>
        <v>-1.786285816736255E-2</v>
      </c>
      <c r="O544" cm="1">
        <f t="array" ref="O544" xml:space="preserve"> mc(500, -PI()/2,PI()/2, 0, 1, "sin(cos(x + y))")-1.48235</f>
        <v>0.13150592022171348</v>
      </c>
      <c r="P544" cm="1">
        <f t="array" ref="P544" xml:space="preserve"> mc(1000, -PI()/2,PI()/2, 0, 1, "sin(cos(x + y))")-1.48235</f>
        <v>2.2965319418366548E-2</v>
      </c>
    </row>
    <row r="545" spans="1:16" x14ac:dyDescent="0.3">
      <c r="A545">
        <v>515</v>
      </c>
      <c r="B545" cm="1">
        <f t="array" ref="B545" xml:space="preserve"> mc(100, 0, 4, 1, 2, "x^2+y^2")-92/3</f>
        <v>1.9717508510224739</v>
      </c>
      <c r="C545" cm="1">
        <f t="array" ref="C545" xml:space="preserve"> mc(500, 0, 4, 1, 2, "x^2+y^2")-92/3</f>
        <v>0.48261493779619613</v>
      </c>
      <c r="D545" cm="1">
        <f t="array" ref="D545" xml:space="preserve"> mc(1000, 0, 4, 1, 2, "x^2+y^2")-92/3</f>
        <v>-0.28877903225806278</v>
      </c>
      <c r="F545" cm="1">
        <f t="array" ref="F545" xml:space="preserve"> ( mc(100, 3, 4, -1, 1, "EXP(x * sin(y))") ) - 7.39981</f>
        <v>-1.2794073856835499</v>
      </c>
      <c r="G545" cm="1">
        <f t="array" ref="G545" xml:space="preserve"> ( mc(500, 3, 4, -1, 1, "EXP(x * sin(y))") ) - 7.39981</f>
        <v>0.14488079349183014</v>
      </c>
      <c r="H545" cm="1">
        <f t="array" ref="H545" xml:space="preserve"> ( mc(1000, 3, 4, -1, 1, "EXP(x * sin(y))") ) - 7.39981</f>
        <v>-0.21744154844325081</v>
      </c>
      <c r="J545" cm="1">
        <f t="array" ref="J545" xml:space="preserve"> mc(100, -PI()/2,0,-1, 1, "ln(EXP(x * y))")</f>
        <v>-0.2798605226661684</v>
      </c>
      <c r="K545" cm="1">
        <f t="array" ref="K545" xml:space="preserve"> mc(500, -PI()/2,0,-1, 1, "ln(EXP(x * y))")</f>
        <v>-9.4821019300208884E-5</v>
      </c>
      <c r="L545" cm="1">
        <f t="array" ref="L545" xml:space="preserve"> mc(1000, -PI()/2,0,-1, 1, "ln(EXP(x * y))")</f>
        <v>-9.9334761808337699E-3</v>
      </c>
      <c r="N545" cm="1">
        <f t="array" ref="N545" xml:space="preserve"> mc(100, -PI()/2,PI()/2, 0, 1, "sin(cos(x + y))")-1.48235</f>
        <v>-0.18550222224254886</v>
      </c>
      <c r="O545" cm="1">
        <f t="array" ref="O545" xml:space="preserve"> mc(500, -PI()/2,PI()/2, 0, 1, "sin(cos(x + y))")-1.48235</f>
        <v>-1.0104866563964698E-3</v>
      </c>
      <c r="P545" cm="1">
        <f t="array" ref="P545" xml:space="preserve"> mc(1000, -PI()/2,PI()/2, 0, 1, "sin(cos(x + y))")-1.48235</f>
        <v>-7.1606833675733839E-2</v>
      </c>
    </row>
    <row r="546" spans="1:16" x14ac:dyDescent="0.3">
      <c r="A546">
        <v>516</v>
      </c>
      <c r="B546" cm="1">
        <f t="array" ref="B546" xml:space="preserve"> mc(100, 0, 4, 1, 2, "x^2+y^2")-92/3</f>
        <v>-1.011863486891496</v>
      </c>
      <c r="C546" cm="1">
        <f t="array" ref="C546" xml:space="preserve"> mc(500, 0, 4, 1, 2, "x^2+y^2")-92/3</f>
        <v>0.66234954400997026</v>
      </c>
      <c r="D546" cm="1">
        <f t="array" ref="D546" xml:space="preserve"> mc(1000, 0, 4, 1, 2, "x^2+y^2")-92/3</f>
        <v>0.72981091081828353</v>
      </c>
      <c r="F546" cm="1">
        <f t="array" ref="F546" xml:space="preserve"> ( mc(100, 3, 4, -1, 1, "EXP(x * sin(y))") ) - 7.39981</f>
        <v>-0.46964477490220791</v>
      </c>
      <c r="G546" cm="1">
        <f t="array" ref="G546" xml:space="preserve"> ( mc(500, 3, 4, -1, 1, "EXP(x * sin(y))") ) - 7.39981</f>
        <v>0.19218476543683582</v>
      </c>
      <c r="H546" cm="1">
        <f t="array" ref="H546" xml:space="preserve"> ( mc(1000, 3, 4, -1, 1, "EXP(x * sin(y))") ) - 7.39981</f>
        <v>0.35132364838989449</v>
      </c>
      <c r="J546" cm="1">
        <f t="array" ref="J546" xml:space="preserve"> mc(100, -PI()/2,0,-1, 1, "ln(EXP(x * y))")</f>
        <v>-0.15734545232344962</v>
      </c>
      <c r="K546" cm="1">
        <f t="array" ref="K546" xml:space="preserve"> mc(500, -PI()/2,0,-1, 1, "ln(EXP(x * y))")</f>
        <v>-6.8898182695763199E-2</v>
      </c>
      <c r="L546" cm="1">
        <f t="array" ref="L546" xml:space="preserve"> mc(1000, -PI()/2,0,-1, 1, "ln(EXP(x * y))")</f>
        <v>3.9161887645739663E-2</v>
      </c>
      <c r="N546" cm="1">
        <f t="array" ref="N546" xml:space="preserve"> mc(100, -PI()/2,PI()/2, 0, 1, "sin(cos(x + y))")-1.48235</f>
        <v>-0.14618141010103924</v>
      </c>
      <c r="O546" cm="1">
        <f t="array" ref="O546" xml:space="preserve"> mc(500, -PI()/2,PI()/2, 0, 1, "sin(cos(x + y))")-1.48235</f>
        <v>-1.6255008526369075E-3</v>
      </c>
      <c r="P546" cm="1">
        <f t="array" ref="P546" xml:space="preserve"> mc(1000, -PI()/2,PI()/2, 0, 1, "sin(cos(x + y))")-1.48235</f>
        <v>-2.9023560975147689E-2</v>
      </c>
    </row>
    <row r="547" spans="1:16" x14ac:dyDescent="0.3">
      <c r="A547">
        <v>517</v>
      </c>
      <c r="B547" cm="1">
        <f t="array" ref="B547" xml:space="preserve"> mc(100, 0, 4, 1, 2, "x^2+y^2")-92/3</f>
        <v>-0.45361350520783361</v>
      </c>
      <c r="C547" cm="1">
        <f t="array" ref="C547" xml:space="preserve"> mc(500, 0, 4, 1, 2, "x^2+y^2")-92/3</f>
        <v>-0.5030739235086088</v>
      </c>
      <c r="D547" cm="1">
        <f t="array" ref="D547" xml:space="preserve"> mc(1000, 0, 4, 1, 2, "x^2+y^2")-92/3</f>
        <v>0.62643448231382948</v>
      </c>
      <c r="F547" cm="1">
        <f t="array" ref="F547" xml:space="preserve"> ( mc(100, 3, 4, -1, 1, "EXP(x * sin(y))") ) - 7.39981</f>
        <v>-0.84954761483550367</v>
      </c>
      <c r="G547" cm="1">
        <f t="array" ref="G547" xml:space="preserve"> ( mc(500, 3, 4, -1, 1, "EXP(x * sin(y))") ) - 7.39981</f>
        <v>0.32003659679778274</v>
      </c>
      <c r="H547" cm="1">
        <f t="array" ref="H547" xml:space="preserve"> ( mc(1000, 3, 4, -1, 1, "EXP(x * sin(y))") ) - 7.39981</f>
        <v>7.8159222038657994E-2</v>
      </c>
      <c r="J547" cm="1">
        <f t="array" ref="J547" xml:space="preserve"> mc(100, -PI()/2,0,-1, 1, "ln(EXP(x * y))")</f>
        <v>-8.8474845294419471E-2</v>
      </c>
      <c r="K547" cm="1">
        <f t="array" ref="K547" xml:space="preserve"> mc(500, -PI()/2,0,-1, 1, "ln(EXP(x * y))")</f>
        <v>5.8965766656450244E-2</v>
      </c>
      <c r="L547" cm="1">
        <f t="array" ref="L547" xml:space="preserve"> mc(1000, -PI()/2,0,-1, 1, "ln(EXP(x * y))")</f>
        <v>-7.2906182459297628E-2</v>
      </c>
      <c r="N547" cm="1">
        <f t="array" ref="N547" xml:space="preserve"> mc(100, -PI()/2,PI()/2, 0, 1, "sin(cos(x + y))")-1.48235</f>
        <v>-0.19473054492357078</v>
      </c>
      <c r="O547" cm="1">
        <f t="array" ref="O547" xml:space="preserve"> mc(500, -PI()/2,PI()/2, 0, 1, "sin(cos(x + y))")-1.48235</f>
        <v>-8.8583138928437499E-3</v>
      </c>
      <c r="P547" cm="1">
        <f t="array" ref="P547" xml:space="preserve"> mc(1000, -PI()/2,PI()/2, 0, 1, "sin(cos(x + y))")-1.48235</f>
        <v>2.3682407407916273E-2</v>
      </c>
    </row>
    <row r="548" spans="1:16" x14ac:dyDescent="0.3">
      <c r="A548">
        <v>518</v>
      </c>
      <c r="B548" cm="1">
        <f t="array" ref="B548" xml:space="preserve"> mc(100, 0, 4, 1, 2, "x^2+y^2")-92/3</f>
        <v>3.160715030811911</v>
      </c>
      <c r="C548" cm="1">
        <f t="array" ref="C548" xml:space="preserve"> mc(500, 0, 4, 1, 2, "x^2+y^2")-92/3</f>
        <v>1.1866128600207304E-2</v>
      </c>
      <c r="D548" cm="1">
        <f t="array" ref="D548" xml:space="preserve"> mc(1000, 0, 4, 1, 2, "x^2+y^2")-92/3</f>
        <v>0.50336321701807307</v>
      </c>
      <c r="F548" cm="1">
        <f t="array" ref="F548" xml:space="preserve"> ( mc(100, 3, 4, -1, 1, "EXP(x * sin(y))") ) - 7.39981</f>
        <v>-0.33018209853971836</v>
      </c>
      <c r="G548" cm="1">
        <f t="array" ref="G548" xml:space="preserve"> ( mc(500, 3, 4, -1, 1, "EXP(x * sin(y))") ) - 7.39981</f>
        <v>-0.14608798101806464</v>
      </c>
      <c r="H548" cm="1">
        <f t="array" ref="H548" xml:space="preserve"> ( mc(1000, 3, 4, -1, 1, "EXP(x * sin(y))") ) - 7.39981</f>
        <v>0.291858742723071</v>
      </c>
      <c r="J548" cm="1">
        <f t="array" ref="J548" xml:space="preserve"> mc(100, -PI()/2,0,-1, 1, "ln(EXP(x * y))")</f>
        <v>6.9835293993382466E-2</v>
      </c>
      <c r="K548" cm="1">
        <f t="array" ref="K548" xml:space="preserve"> mc(500, -PI()/2,0,-1, 1, "ln(EXP(x * y))")</f>
        <v>3.4760863368719225E-2</v>
      </c>
      <c r="L548" cm="1">
        <f t="array" ref="L548" xml:space="preserve"> mc(1000, -PI()/2,0,-1, 1, "ln(EXP(x * y))")</f>
        <v>-6.2053676956663001E-2</v>
      </c>
      <c r="N548" cm="1">
        <f t="array" ref="N548" xml:space="preserve"> mc(100, -PI()/2,PI()/2, 0, 1, "sin(cos(x + y))")-1.48235</f>
        <v>-8.9595634850057726E-2</v>
      </c>
      <c r="O548" cm="1">
        <f t="array" ref="O548" xml:space="preserve"> mc(500, -PI()/2,PI()/2, 0, 1, "sin(cos(x + y))")-1.48235</f>
        <v>-1.8031592915424E-3</v>
      </c>
      <c r="P548" cm="1">
        <f t="array" ref="P548" xml:space="preserve"> mc(1000, -PI()/2,PI()/2, 0, 1, "sin(cos(x + y))")-1.48235</f>
        <v>-1.6010967652674069E-2</v>
      </c>
    </row>
    <row r="549" spans="1:16" x14ac:dyDescent="0.3">
      <c r="A549">
        <v>519</v>
      </c>
      <c r="B549" cm="1">
        <f t="array" ref="B549" xml:space="preserve"> mc(100, 0, 4, 1, 2, "x^2+y^2")-92/3</f>
        <v>-3.9200372723576464</v>
      </c>
      <c r="C549" cm="1">
        <f t="array" ref="C549" xml:space="preserve"> mc(500, 0, 4, 1, 2, "x^2+y^2")-92/3</f>
        <v>-2.4196220909855022</v>
      </c>
      <c r="D549" cm="1">
        <f t="array" ref="D549" xml:space="preserve"> mc(1000, 0, 4, 1, 2, "x^2+y^2")-92/3</f>
        <v>-1.1908865300749234</v>
      </c>
      <c r="F549" cm="1">
        <f t="array" ref="F549" xml:space="preserve"> ( mc(100, 3, 4, -1, 1, "EXP(x * sin(y))") ) - 7.39981</f>
        <v>1.9670156573966384</v>
      </c>
      <c r="G549" cm="1">
        <f t="array" ref="G549" xml:space="preserve"> ( mc(500, 3, 4, -1, 1, "EXP(x * sin(y))") ) - 7.39981</f>
        <v>0.63487967776732113</v>
      </c>
      <c r="H549" cm="1">
        <f t="array" ref="H549" xml:space="preserve"> ( mc(1000, 3, 4, -1, 1, "EXP(x * sin(y))") ) - 7.39981</f>
        <v>-0.2778991980120411</v>
      </c>
      <c r="J549" cm="1">
        <f t="array" ref="J549" xml:space="preserve"> mc(100, -PI()/2,0,-1, 1, "ln(EXP(x * y))")</f>
        <v>0.10482906467379936</v>
      </c>
      <c r="K549" cm="1">
        <f t="array" ref="K549" xml:space="preserve"> mc(500, -PI()/2,0,-1, 1, "ln(EXP(x * y))")</f>
        <v>-9.5004215372077577E-3</v>
      </c>
      <c r="L549" cm="1">
        <f t="array" ref="L549" xml:space="preserve"> mc(1000, -PI()/2,0,-1, 1, "ln(EXP(x * y))")</f>
        <v>-2.304226067616404E-2</v>
      </c>
      <c r="N549" cm="1">
        <f t="array" ref="N549" xml:space="preserve"> mc(100, -PI()/2,PI()/2, 0, 1, "sin(cos(x + y))")-1.48235</f>
        <v>9.0148853010597607E-2</v>
      </c>
      <c r="O549" cm="1">
        <f t="array" ref="O549" xml:space="preserve"> mc(500, -PI()/2,PI()/2, 0, 1, "sin(cos(x + y))")-1.48235</f>
        <v>-7.1375451168751436E-2</v>
      </c>
      <c r="P549" cm="1">
        <f t="array" ref="P549" xml:space="preserve"> mc(1000, -PI()/2,PI()/2, 0, 1, "sin(cos(x + y))")-1.48235</f>
        <v>-2.4983278203552617E-2</v>
      </c>
    </row>
    <row r="550" spans="1:16" x14ac:dyDescent="0.3">
      <c r="A550">
        <v>520</v>
      </c>
      <c r="B550" cm="1">
        <f t="array" ref="B550" xml:space="preserve"> mc(100, 0, 4, 1, 2, "x^2+y^2")-92/3</f>
        <v>-1.7842916332270775</v>
      </c>
      <c r="C550" cm="1">
        <f t="array" ref="C550" xml:space="preserve"> mc(500, 0, 4, 1, 2, "x^2+y^2")-92/3</f>
        <v>-0.68284265345363337</v>
      </c>
      <c r="D550" cm="1">
        <f t="array" ref="D550" xml:space="preserve"> mc(1000, 0, 4, 1, 2, "x^2+y^2")-92/3</f>
        <v>4.5530747559773488E-2</v>
      </c>
      <c r="F550" cm="1">
        <f t="array" ref="F550" xml:space="preserve"> ( mc(100, 3, 4, -1, 1, "EXP(x * sin(y))") ) - 7.39981</f>
        <v>-0.50143123553554769</v>
      </c>
      <c r="G550" cm="1">
        <f t="array" ref="G550" xml:space="preserve"> ( mc(500, 3, 4, -1, 1, "EXP(x * sin(y))") ) - 7.39981</f>
        <v>0.21746105104811164</v>
      </c>
      <c r="H550" cm="1">
        <f t="array" ref="H550" xml:space="preserve"> ( mc(1000, 3, 4, -1, 1, "EXP(x * sin(y))") ) - 7.39981</f>
        <v>-0.16253976915897805</v>
      </c>
      <c r="J550" cm="1">
        <f t="array" ref="J550" xml:space="preserve"> mc(100, -PI()/2,0,-1, 1, "ln(EXP(x * y))")</f>
        <v>-1.9482092097360366E-2</v>
      </c>
      <c r="K550" cm="1">
        <f t="array" ref="K550" xml:space="preserve"> mc(500, -PI()/2,0,-1, 1, "ln(EXP(x * y))")</f>
        <v>-2.552656429172169E-2</v>
      </c>
      <c r="L550" cm="1">
        <f t="array" ref="L550" xml:space="preserve"> mc(1000, -PI()/2,0,-1, 1, "ln(EXP(x * y))")</f>
        <v>2.9642018809554593E-2</v>
      </c>
      <c r="N550" cm="1">
        <f t="array" ref="N550" xml:space="preserve"> mc(100, -PI()/2,PI()/2, 0, 1, "sin(cos(x + y))")-1.48235</f>
        <v>0.10931073698084703</v>
      </c>
      <c r="O550" cm="1">
        <f t="array" ref="O550" xml:space="preserve"> mc(500, -PI()/2,PI()/2, 0, 1, "sin(cos(x + y))")-1.48235</f>
        <v>-8.7790208971632921E-2</v>
      </c>
      <c r="P550" cm="1">
        <f t="array" ref="P550" xml:space="preserve"> mc(1000, -PI()/2,PI()/2, 0, 1, "sin(cos(x + y))")-1.48235</f>
        <v>-6.8129755782525114E-2</v>
      </c>
    </row>
    <row r="551" spans="1:16" x14ac:dyDescent="0.3">
      <c r="A551">
        <v>521</v>
      </c>
      <c r="B551" cm="1">
        <f t="array" ref="B551" xml:space="preserve"> mc(100, 0, 4, 1, 2, "x^2+y^2")-92/3</f>
        <v>2.8732927339809144</v>
      </c>
      <c r="C551" cm="1">
        <f t="array" ref="C551" xml:space="preserve"> mc(500, 0, 4, 1, 2, "x^2+y^2")-92/3</f>
        <v>-3.3121774845270124E-2</v>
      </c>
      <c r="D551" cm="1">
        <f t="array" ref="D551" xml:space="preserve"> mc(1000, 0, 4, 1, 2, "x^2+y^2")-92/3</f>
        <v>4.5806694568756967E-2</v>
      </c>
      <c r="F551" cm="1">
        <f t="array" ref="F551" xml:space="preserve"> ( mc(100, 3, 4, -1, 1, "EXP(x * sin(y))") ) - 7.39981</f>
        <v>0.68350374645751977</v>
      </c>
      <c r="G551" cm="1">
        <f t="array" ref="G551" xml:space="preserve"> ( mc(500, 3, 4, -1, 1, "EXP(x * sin(y))") ) - 7.39981</f>
        <v>0.34723350404637721</v>
      </c>
      <c r="H551" cm="1">
        <f t="array" ref="H551" xml:space="preserve"> ( mc(1000, 3, 4, -1, 1, "EXP(x * sin(y))") ) - 7.39981</f>
        <v>-0.16768743457545909</v>
      </c>
      <c r="J551" cm="1">
        <f t="array" ref="J551" xml:space="preserve"> mc(100, -PI()/2,0,-1, 1, "ln(EXP(x * y))")</f>
        <v>7.2727253508965028E-2</v>
      </c>
      <c r="K551" cm="1">
        <f t="array" ref="K551" xml:space="preserve"> mc(500, -PI()/2,0,-1, 1, "ln(EXP(x * y))")</f>
        <v>-1.8905159214788508E-2</v>
      </c>
      <c r="L551" cm="1">
        <f t="array" ref="L551" xml:space="preserve"> mc(1000, -PI()/2,0,-1, 1, "ln(EXP(x * y))")</f>
        <v>1.515610534565418E-2</v>
      </c>
      <c r="N551" cm="1">
        <f t="array" ref="N551" xml:space="preserve"> mc(100, -PI()/2,PI()/2, 0, 1, "sin(cos(x + y))")-1.48235</f>
        <v>-0.13205068718121504</v>
      </c>
      <c r="O551" cm="1">
        <f t="array" ref="O551" xml:space="preserve"> mc(500, -PI()/2,PI()/2, 0, 1, "sin(cos(x + y))")-1.48235</f>
        <v>8.1124623839776477E-2</v>
      </c>
      <c r="P551" cm="1">
        <f t="array" ref="P551" xml:space="preserve"> mc(1000, -PI()/2,PI()/2, 0, 1, "sin(cos(x + y))")-1.48235</f>
        <v>3.6996091109649631E-2</v>
      </c>
    </row>
    <row r="552" spans="1:16" x14ac:dyDescent="0.3">
      <c r="A552">
        <v>522</v>
      </c>
      <c r="B552" cm="1">
        <f t="array" ref="B552" xml:space="preserve"> mc(100, 0, 4, 1, 2, "x^2+y^2")-92/3</f>
        <v>0.74104496502119943</v>
      </c>
      <c r="C552" cm="1">
        <f t="array" ref="C552" xml:space="preserve"> mc(500, 0, 4, 1, 2, "x^2+y^2")-92/3</f>
        <v>1.0762321186119514</v>
      </c>
      <c r="D552" cm="1">
        <f t="array" ref="D552" xml:space="preserve"> mc(1000, 0, 4, 1, 2, "x^2+y^2")-92/3</f>
        <v>-0.50667100345667748</v>
      </c>
      <c r="F552" cm="1">
        <f t="array" ref="F552" xml:space="preserve"> ( mc(100, 3, 4, -1, 1, "EXP(x * sin(y))") ) - 7.39981</f>
        <v>2.0951430301639125</v>
      </c>
      <c r="G552" cm="1">
        <f t="array" ref="G552" xml:space="preserve"> ( mc(500, 3, 4, -1, 1, "EXP(x * sin(y))") ) - 7.39981</f>
        <v>0.2171989452462082</v>
      </c>
      <c r="H552" cm="1">
        <f t="array" ref="H552" xml:space="preserve"> ( mc(1000, 3, 4, -1, 1, "EXP(x * sin(y))") ) - 7.39981</f>
        <v>0.86629971973659536</v>
      </c>
      <c r="J552" cm="1">
        <f t="array" ref="J552" xml:space="preserve"> mc(100, -PI()/2,0,-1, 1, "ln(EXP(x * y))")</f>
        <v>-0.15070870867804662</v>
      </c>
      <c r="K552" cm="1">
        <f t="array" ref="K552" xml:space="preserve"> mc(500, -PI()/2,0,-1, 1, "ln(EXP(x * y))")</f>
        <v>-3.432179432192918E-2</v>
      </c>
      <c r="L552" cm="1">
        <f t="array" ref="L552" xml:space="preserve"> mc(1000, -PI()/2,0,-1, 1, "ln(EXP(x * y))")</f>
        <v>1.1906967806707216E-2</v>
      </c>
      <c r="N552" cm="1">
        <f t="array" ref="N552" xml:space="preserve"> mc(100, -PI()/2,PI()/2, 0, 1, "sin(cos(x + y))")-1.48235</f>
        <v>0.22856221669757804</v>
      </c>
      <c r="O552" cm="1">
        <f t="array" ref="O552" xml:space="preserve"> mc(500, -PI()/2,PI()/2, 0, 1, "sin(cos(x + y))")-1.48235</f>
        <v>6.0815836148260027E-2</v>
      </c>
      <c r="P552" cm="1">
        <f t="array" ref="P552" xml:space="preserve"> mc(1000, -PI()/2,PI()/2, 0, 1, "sin(cos(x + y))")-1.48235</f>
        <v>3.7693554391228234E-2</v>
      </c>
    </row>
    <row r="553" spans="1:16" x14ac:dyDescent="0.3">
      <c r="A553">
        <v>523</v>
      </c>
      <c r="B553" cm="1">
        <f t="array" ref="B553" xml:space="preserve"> mc(100, 0, 4, 1, 2, "x^2+y^2")-92/3</f>
        <v>-0.78455747599001668</v>
      </c>
      <c r="C553" cm="1">
        <f t="array" ref="C553" xml:space="preserve"> mc(500, 0, 4, 1, 2, "x^2+y^2")-92/3</f>
        <v>0.21686048634809296</v>
      </c>
      <c r="D553" cm="1">
        <f t="array" ref="D553" xml:space="preserve"> mc(1000, 0, 4, 1, 2, "x^2+y^2")-92/3</f>
        <v>-0.90343686749751484</v>
      </c>
      <c r="F553" cm="1">
        <f t="array" ref="F553" xml:space="preserve"> ( mc(100, 3, 4, -1, 1, "EXP(x * sin(y))") ) - 7.39981</f>
        <v>0.47884257435064193</v>
      </c>
      <c r="G553" cm="1">
        <f t="array" ref="G553" xml:space="preserve"> ( mc(500, 3, 4, -1, 1, "EXP(x * sin(y))") ) - 7.39981</f>
        <v>0.10211999399342631</v>
      </c>
      <c r="H553" cm="1">
        <f t="array" ref="H553" xml:space="preserve"> ( mc(1000, 3, 4, -1, 1, "EXP(x * sin(y))") ) - 7.39981</f>
        <v>-0.16189283060876836</v>
      </c>
      <c r="J553" cm="1">
        <f t="array" ref="J553" xml:space="preserve"> mc(100, -PI()/2,0,-1, 1, "ln(EXP(x * y))")</f>
        <v>-0.2344293245721242</v>
      </c>
      <c r="K553" cm="1">
        <f t="array" ref="K553" xml:space="preserve"> mc(500, -PI()/2,0,-1, 1, "ln(EXP(x * y))")</f>
        <v>5.3866707255513881E-2</v>
      </c>
      <c r="L553" cm="1">
        <f t="array" ref="L553" xml:space="preserve"> mc(1000, -PI()/2,0,-1, 1, "ln(EXP(x * y))")</f>
        <v>-9.3776793513732679E-2</v>
      </c>
      <c r="N553" cm="1">
        <f t="array" ref="N553" xml:space="preserve"> mc(100, -PI()/2,PI()/2, 0, 1, "sin(cos(x + y))")-1.48235</f>
        <v>-2.5023532581777586E-2</v>
      </c>
      <c r="O553" cm="1">
        <f t="array" ref="O553" xml:space="preserve"> mc(500, -PI()/2,PI()/2, 0, 1, "sin(cos(x + y))")-1.48235</f>
        <v>-4.9830598778424218E-2</v>
      </c>
      <c r="P553" cm="1">
        <f t="array" ref="P553" xml:space="preserve"> mc(1000, -PI()/2,PI()/2, 0, 1, "sin(cos(x + y))")-1.48235</f>
        <v>1.2092526657090152E-2</v>
      </c>
    </row>
    <row r="554" spans="1:16" x14ac:dyDescent="0.3">
      <c r="A554">
        <v>524</v>
      </c>
      <c r="B554" cm="1">
        <f t="array" ref="B554" xml:space="preserve"> mc(100, 0, 4, 1, 2, "x^2+y^2")-92/3</f>
        <v>-2.4432127010042741</v>
      </c>
      <c r="C554" cm="1">
        <f t="array" ref="C554" xml:space="preserve"> mc(500, 0, 4, 1, 2, "x^2+y^2")-92/3</f>
        <v>0.36984643465918765</v>
      </c>
      <c r="D554" cm="1">
        <f t="array" ref="D554" xml:space="preserve"> mc(1000, 0, 4, 1, 2, "x^2+y^2")-92/3</f>
        <v>0.11311066213658449</v>
      </c>
      <c r="F554" cm="1">
        <f t="array" ref="F554" xml:space="preserve"> ( mc(100, 3, 4, -1, 1, "EXP(x * sin(y))") ) - 7.39981</f>
        <v>-1.1861197361759919</v>
      </c>
      <c r="G554" cm="1">
        <f t="array" ref="G554" xml:space="preserve"> ( mc(500, 3, 4, -1, 1, "EXP(x * sin(y))") ) - 7.39981</f>
        <v>0.1072858618269672</v>
      </c>
      <c r="H554" cm="1">
        <f t="array" ref="H554" xml:space="preserve"> ( mc(1000, 3, 4, -1, 1, "EXP(x * sin(y))") ) - 7.39981</f>
        <v>0.19382564671427094</v>
      </c>
      <c r="J554" cm="1">
        <f t="array" ref="J554" xml:space="preserve"> mc(100, -PI()/2,0,-1, 1, "ln(EXP(x * y))")</f>
        <v>-0.1464748158179095</v>
      </c>
      <c r="K554" cm="1">
        <f t="array" ref="K554" xml:space="preserve"> mc(500, -PI()/2,0,-1, 1, "ln(EXP(x * y))")</f>
        <v>-9.4797382465581587E-2</v>
      </c>
      <c r="L554" cm="1">
        <f t="array" ref="L554" xml:space="preserve"> mc(1000, -PI()/2,0,-1, 1, "ln(EXP(x * y))")</f>
        <v>1.3978676842664326E-2</v>
      </c>
      <c r="N554" cm="1">
        <f t="array" ref="N554" xml:space="preserve"> mc(100, -PI()/2,PI()/2, 0, 1, "sin(cos(x + y))")-1.48235</f>
        <v>-7.0128297745096546E-2</v>
      </c>
      <c r="O554" cm="1">
        <f t="array" ref="O554" xml:space="preserve"> mc(500, -PI()/2,PI()/2, 0, 1, "sin(cos(x + y))")-1.48235</f>
        <v>1.93662437060107E-2</v>
      </c>
      <c r="P554" cm="1">
        <f t="array" ref="P554" xml:space="preserve"> mc(1000, -PI()/2,PI()/2, 0, 1, "sin(cos(x + y))")-1.48235</f>
        <v>-9.6929166730956862E-3</v>
      </c>
    </row>
    <row r="555" spans="1:16" x14ac:dyDescent="0.3">
      <c r="A555">
        <v>525</v>
      </c>
      <c r="B555" cm="1">
        <f t="array" ref="B555" xml:space="preserve"> mc(100, 0, 4, 1, 2, "x^2+y^2")-92/3</f>
        <v>-3.7363616485587556</v>
      </c>
      <c r="C555" cm="1">
        <f t="array" ref="C555" xml:space="preserve"> mc(500, 0, 4, 1, 2, "x^2+y^2")-92/3</f>
        <v>-2.1007782781455475</v>
      </c>
      <c r="D555" cm="1">
        <f t="array" ref="D555" xml:space="preserve"> mc(1000, 0, 4, 1, 2, "x^2+y^2")-92/3</f>
        <v>0.46532793971454822</v>
      </c>
      <c r="F555" cm="1">
        <f t="array" ref="F555" xml:space="preserve"> ( mc(100, 3, 4, -1, 1, "EXP(x * sin(y))") ) - 7.39981</f>
        <v>-0.24580959502311472</v>
      </c>
      <c r="G555" cm="1">
        <f t="array" ref="G555" xml:space="preserve"> ( mc(500, 3, 4, -1, 1, "EXP(x * sin(y))") ) - 7.39981</f>
        <v>-0.40402884695891927</v>
      </c>
      <c r="H555" cm="1">
        <f t="array" ref="H555" xml:space="preserve"> ( mc(1000, 3, 4, -1, 1, "EXP(x * sin(y))") ) - 7.39981</f>
        <v>0.45640408972551239</v>
      </c>
      <c r="J555" cm="1">
        <f t="array" ref="J555" xml:space="preserve"> mc(100, -PI()/2,0,-1, 1, "ln(EXP(x * y))")</f>
        <v>0.11093284400631004</v>
      </c>
      <c r="K555" cm="1">
        <f t="array" ref="K555" xml:space="preserve"> mc(500, -PI()/2,0,-1, 1, "ln(EXP(x * y))")</f>
        <v>2.4052351244434233E-2</v>
      </c>
      <c r="L555" cm="1">
        <f t="array" ref="L555" xml:space="preserve"> mc(1000, -PI()/2,0,-1, 1, "ln(EXP(x * y))")</f>
        <v>8.0137906175469509E-2</v>
      </c>
      <c r="N555" cm="1">
        <f t="array" ref="N555" xml:space="preserve"> mc(100, -PI()/2,PI()/2, 0, 1, "sin(cos(x + y))")-1.48235</f>
        <v>-0.12289811911466764</v>
      </c>
      <c r="O555" cm="1">
        <f t="array" ref="O555" xml:space="preserve"> mc(500, -PI()/2,PI()/2, 0, 1, "sin(cos(x + y))")-1.48235</f>
        <v>7.3984423748077566E-2</v>
      </c>
      <c r="P555" cm="1">
        <f t="array" ref="P555" xml:space="preserve"> mc(1000, -PI()/2,PI()/2, 0, 1, "sin(cos(x + y))")-1.48235</f>
        <v>-3.1877952377266761E-2</v>
      </c>
    </row>
    <row r="556" spans="1:16" x14ac:dyDescent="0.3">
      <c r="A556">
        <v>526</v>
      </c>
      <c r="B556" cm="1">
        <f t="array" ref="B556" xml:space="preserve"> mc(100, 0, 4, 1, 2, "x^2+y^2")-92/3</f>
        <v>-1.4592455937928861</v>
      </c>
      <c r="C556" cm="1">
        <f t="array" ref="C556" xml:space="preserve"> mc(500, 0, 4, 1, 2, "x^2+y^2")-92/3</f>
        <v>-7.8467732946830182E-2</v>
      </c>
      <c r="D556" cm="1">
        <f t="array" ref="D556" xml:space="preserve"> mc(1000, 0, 4, 1, 2, "x^2+y^2")-92/3</f>
        <v>0.40038883199637354</v>
      </c>
      <c r="F556" cm="1">
        <f t="array" ref="F556" xml:space="preserve"> ( mc(100, 3, 4, -1, 1, "EXP(x * sin(y))") ) - 7.39981</f>
        <v>-0.70735369344751042</v>
      </c>
      <c r="G556" cm="1">
        <f t="array" ref="G556" xml:space="preserve"> ( mc(500, 3, 4, -1, 1, "EXP(x * sin(y))") ) - 7.39981</f>
        <v>0.3631884817121156</v>
      </c>
      <c r="H556" cm="1">
        <f t="array" ref="H556" xml:space="preserve"> ( mc(1000, 3, 4, -1, 1, "EXP(x * sin(y))") ) - 7.39981</f>
        <v>-0.12919741969907239</v>
      </c>
      <c r="J556" cm="1">
        <f t="array" ref="J556" xml:space="preserve"> mc(100, -PI()/2,0,-1, 1, "ln(EXP(x * y))")</f>
        <v>0.15234614915570413</v>
      </c>
      <c r="K556" cm="1">
        <f t="array" ref="K556" xml:space="preserve"> mc(500, -PI()/2,0,-1, 1, "ln(EXP(x * y))")</f>
        <v>9.9674649555979988E-2</v>
      </c>
      <c r="L556" cm="1">
        <f t="array" ref="L556" xml:space="preserve"> mc(1000, -PI()/2,0,-1, 1, "ln(EXP(x * y))")</f>
        <v>-5.7829381274501893E-2</v>
      </c>
      <c r="N556" cm="1">
        <f t="array" ref="N556" xml:space="preserve"> mc(100, -PI()/2,PI()/2, 0, 1, "sin(cos(x + y))")-1.48235</f>
        <v>-2.6621199569013987E-2</v>
      </c>
      <c r="O556" cm="1">
        <f t="array" ref="O556" xml:space="preserve"> mc(500, -PI()/2,PI()/2, 0, 1, "sin(cos(x + y))")-1.48235</f>
        <v>-2.8663892614280373E-2</v>
      </c>
      <c r="P556" cm="1">
        <f t="array" ref="P556" xml:space="preserve"> mc(1000, -PI()/2,PI()/2, 0, 1, "sin(cos(x + y))")-1.48235</f>
        <v>3.6417410448515763E-2</v>
      </c>
    </row>
    <row r="557" spans="1:16" x14ac:dyDescent="0.3">
      <c r="A557">
        <v>527</v>
      </c>
      <c r="B557" cm="1">
        <f t="array" ref="B557" xml:space="preserve"> mc(100, 0, 4, 1, 2, "x^2+y^2")-92/3</f>
        <v>-1.6281916149111701</v>
      </c>
      <c r="C557" cm="1">
        <f t="array" ref="C557" xml:space="preserve"> mc(500, 0, 4, 1, 2, "x^2+y^2")-92/3</f>
        <v>0.32019099717250654</v>
      </c>
      <c r="D557" cm="1">
        <f t="array" ref="D557" xml:space="preserve"> mc(1000, 0, 4, 1, 2, "x^2+y^2")-92/3</f>
        <v>-0.45534093012662069</v>
      </c>
      <c r="F557" cm="1">
        <f t="array" ref="F557" xml:space="preserve"> ( mc(100, 3, 4, -1, 1, "EXP(x * sin(y))") ) - 7.39981</f>
        <v>-1.2925390708172086</v>
      </c>
      <c r="G557" cm="1">
        <f t="array" ref="G557" xml:space="preserve"> ( mc(500, 3, 4, -1, 1, "EXP(x * sin(y))") ) - 7.39981</f>
        <v>-0.44984154755681338</v>
      </c>
      <c r="H557" cm="1">
        <f t="array" ref="H557" xml:space="preserve"> ( mc(1000, 3, 4, -1, 1, "EXP(x * sin(y))") ) - 7.39981</f>
        <v>-0.42538791420215372</v>
      </c>
      <c r="J557" cm="1">
        <f t="array" ref="J557" xml:space="preserve"> mc(100, -PI()/2,0,-1, 1, "ln(EXP(x * y))")</f>
        <v>-0.17603952058335479</v>
      </c>
      <c r="K557" cm="1">
        <f t="array" ref="K557" xml:space="preserve"> mc(500, -PI()/2,0,-1, 1, "ln(EXP(x * y))")</f>
        <v>-0.12750555019794824</v>
      </c>
      <c r="L557" cm="1">
        <f t="array" ref="L557" xml:space="preserve"> mc(1000, -PI()/2,0,-1, 1, "ln(EXP(x * y))")</f>
        <v>-5.3509505297191742E-2</v>
      </c>
      <c r="N557" cm="1">
        <f t="array" ref="N557" xml:space="preserve"> mc(100, -PI()/2,PI()/2, 0, 1, "sin(cos(x + y))")-1.48235</f>
        <v>-6.0782177936890669E-2</v>
      </c>
      <c r="O557" cm="1">
        <f t="array" ref="O557" xml:space="preserve"> mc(500, -PI()/2,PI()/2, 0, 1, "sin(cos(x + y))")-1.48235</f>
        <v>3.3097116862891962E-2</v>
      </c>
      <c r="P557" cm="1">
        <f t="array" ref="P557" xml:space="preserve"> mc(1000, -PI()/2,PI()/2, 0, 1, "sin(cos(x + y))")-1.48235</f>
        <v>-1.6862093060340033E-2</v>
      </c>
    </row>
    <row r="558" spans="1:16" x14ac:dyDescent="0.3">
      <c r="A558">
        <v>528</v>
      </c>
      <c r="B558" cm="1">
        <f t="array" ref="B558" xml:space="preserve"> mc(100, 0, 4, 1, 2, "x^2+y^2")-92/3</f>
        <v>1.837053390880353</v>
      </c>
      <c r="C558" cm="1">
        <f t="array" ref="C558" xml:space="preserve"> mc(500, 0, 4, 1, 2, "x^2+y^2")-92/3</f>
        <v>0.83054346397905121</v>
      </c>
      <c r="D558" cm="1">
        <f t="array" ref="D558" xml:space="preserve"> mc(1000, 0, 4, 1, 2, "x^2+y^2")-92/3</f>
        <v>-0.10347666680019785</v>
      </c>
      <c r="F558" cm="1">
        <f t="array" ref="F558" xml:space="preserve"> ( mc(100, 3, 4, -1, 1, "EXP(x * sin(y))") ) - 7.39981</f>
        <v>-2.6885993181237406</v>
      </c>
      <c r="G558" cm="1">
        <f t="array" ref="G558" xml:space="preserve"> ( mc(500, 3, 4, -1, 1, "EXP(x * sin(y))") ) - 7.39981</f>
        <v>0.74903461540439586</v>
      </c>
      <c r="H558" cm="1">
        <f t="array" ref="H558" xml:space="preserve"> ( mc(1000, 3, 4, -1, 1, "EXP(x * sin(y))") ) - 7.39981</f>
        <v>0.59223073336937304</v>
      </c>
      <c r="J558" cm="1">
        <f t="array" ref="J558" xml:space="preserve"> mc(100, -PI()/2,0,-1, 1, "ln(EXP(x * y))")</f>
        <v>-8.1523793342758014E-2</v>
      </c>
      <c r="K558" cm="1">
        <f t="array" ref="K558" xml:space="preserve"> mc(500, -PI()/2,0,-1, 1, "ln(EXP(x * y))")</f>
        <v>-0.11337774973213817</v>
      </c>
      <c r="L558" cm="1">
        <f t="array" ref="L558" xml:space="preserve"> mc(1000, -PI()/2,0,-1, 1, "ln(EXP(x * y))")</f>
        <v>-5.7183907782131053E-3</v>
      </c>
      <c r="N558" cm="1">
        <f t="array" ref="N558" xml:space="preserve"> mc(100, -PI()/2,PI()/2, 0, 1, "sin(cos(x + y))")-1.48235</f>
        <v>6.096324132987152E-2</v>
      </c>
      <c r="O558" cm="1">
        <f t="array" ref="O558" xml:space="preserve"> mc(500, -PI()/2,PI()/2, 0, 1, "sin(cos(x + y))")-1.48235</f>
        <v>-6.8357034131609318E-2</v>
      </c>
      <c r="P558" cm="1">
        <f t="array" ref="P558" xml:space="preserve"> mc(1000, -PI()/2,PI()/2, 0, 1, "sin(cos(x + y))")-1.48235</f>
        <v>-5.9340061273035483E-2</v>
      </c>
    </row>
    <row r="559" spans="1:16" x14ac:dyDescent="0.3">
      <c r="A559">
        <v>529</v>
      </c>
      <c r="B559" cm="1">
        <f t="array" ref="B559" xml:space="preserve"> mc(100, 0, 4, 1, 2, "x^2+y^2")-92/3</f>
        <v>-1.1118057313091434</v>
      </c>
      <c r="C559" cm="1">
        <f t="array" ref="C559" xml:space="preserve"> mc(500, 0, 4, 1, 2, "x^2+y^2")-92/3</f>
        <v>-0.26565786668554381</v>
      </c>
      <c r="D559" cm="1">
        <f t="array" ref="D559" xml:space="preserve"> mc(1000, 0, 4, 1, 2, "x^2+y^2")-92/3</f>
        <v>-9.4845738006945624E-2</v>
      </c>
      <c r="F559" cm="1">
        <f t="array" ref="F559" xml:space="preserve"> ( mc(100, 3, 4, -1, 1, "EXP(x * sin(y))") ) - 7.39981</f>
        <v>1.4082856289267305</v>
      </c>
      <c r="G559" cm="1">
        <f t="array" ref="G559" xml:space="preserve"> ( mc(500, 3, 4, -1, 1, "EXP(x * sin(y))") ) - 7.39981</f>
        <v>0.13781591285413963</v>
      </c>
      <c r="H559" cm="1">
        <f t="array" ref="H559" xml:space="preserve"> ( mc(1000, 3, 4, -1, 1, "EXP(x * sin(y))") ) - 7.39981</f>
        <v>-0.20245714663608982</v>
      </c>
      <c r="J559" cm="1">
        <f t="array" ref="J559" xml:space="preserve"> mc(100, -PI()/2,0,-1, 1, "ln(EXP(x * y))")</f>
        <v>-4.957993758622263E-2</v>
      </c>
      <c r="K559" cm="1">
        <f t="array" ref="K559" xml:space="preserve"> mc(500, -PI()/2,0,-1, 1, "ln(EXP(x * y))")</f>
        <v>-0.19853861346257215</v>
      </c>
      <c r="L559" cm="1">
        <f t="array" ref="L559" xml:space="preserve"> mc(1000, -PI()/2,0,-1, 1, "ln(EXP(x * y))")</f>
        <v>3.7667804834237338E-2</v>
      </c>
      <c r="N559" cm="1">
        <f t="array" ref="N559" xml:space="preserve"> mc(100, -PI()/2,PI()/2, 0, 1, "sin(cos(x + y))")-1.48235</f>
        <v>0.15331146136421236</v>
      </c>
      <c r="O559" cm="1">
        <f t="array" ref="O559" xml:space="preserve"> mc(500, -PI()/2,PI()/2, 0, 1, "sin(cos(x + y))")-1.48235</f>
        <v>7.7046098618254844E-2</v>
      </c>
      <c r="P559" cm="1">
        <f t="array" ref="P559" xml:space="preserve"> mc(1000, -PI()/2,PI()/2, 0, 1, "sin(cos(x + y))")-1.48235</f>
        <v>5.1503904690320734E-2</v>
      </c>
    </row>
    <row r="560" spans="1:16" x14ac:dyDescent="0.3">
      <c r="A560">
        <v>530</v>
      </c>
      <c r="B560" cm="1">
        <f t="array" ref="B560" xml:space="preserve"> mc(100, 0, 4, 1, 2, "x^2+y^2")-92/3</f>
        <v>0.18044939466947341</v>
      </c>
      <c r="C560" cm="1">
        <f t="array" ref="C560" xml:space="preserve"> mc(500, 0, 4, 1, 2, "x^2+y^2")-92/3</f>
        <v>-0.16129161532482783</v>
      </c>
      <c r="D560" cm="1">
        <f t="array" ref="D560" xml:space="preserve"> mc(1000, 0, 4, 1, 2, "x^2+y^2")-92/3</f>
        <v>0.26248525559288893</v>
      </c>
      <c r="F560" cm="1">
        <f t="array" ref="F560" xml:space="preserve"> ( mc(100, 3, 4, -1, 1, "EXP(x * sin(y))") ) - 7.39981</f>
        <v>1.2446537046908563</v>
      </c>
      <c r="G560" cm="1">
        <f t="array" ref="G560" xml:space="preserve"> ( mc(500, 3, 4, -1, 1, "EXP(x * sin(y))") ) - 7.39981</f>
        <v>-0.20171023994672765</v>
      </c>
      <c r="H560" cm="1">
        <f t="array" ref="H560" xml:space="preserve"> ( mc(1000, 3, 4, -1, 1, "EXP(x * sin(y))") ) - 7.39981</f>
        <v>-7.8940048503238103E-2</v>
      </c>
      <c r="J560" cm="1">
        <f t="array" ref="J560" xml:space="preserve"> mc(100, -PI()/2,0,-1, 1, "ln(EXP(x * y))")</f>
        <v>-1.3248831930326242E-2</v>
      </c>
      <c r="K560" cm="1">
        <f t="array" ref="K560" xml:space="preserve"> mc(500, -PI()/2,0,-1, 1, "ln(EXP(x * y))")</f>
        <v>3.9058927005853616E-2</v>
      </c>
      <c r="L560" cm="1">
        <f t="array" ref="L560" xml:space="preserve"> mc(1000, -PI()/2,0,-1, 1, "ln(EXP(x * y))")</f>
        <v>-2.1314633839775707E-2</v>
      </c>
      <c r="N560" cm="1">
        <f t="array" ref="N560" xml:space="preserve"> mc(100, -PI()/2,PI()/2, 0, 1, "sin(cos(x + y))")-1.48235</f>
        <v>5.8027548579904664E-2</v>
      </c>
      <c r="O560" cm="1">
        <f t="array" ref="O560" xml:space="preserve"> mc(500, -PI()/2,PI()/2, 0, 1, "sin(cos(x + y))")-1.48235</f>
        <v>-2.2522487584475837E-2</v>
      </c>
      <c r="P560" cm="1">
        <f t="array" ref="P560" xml:space="preserve"> mc(1000, -PI()/2,PI()/2, 0, 1, "sin(cos(x + y))")-1.48235</f>
        <v>4.0865736219182436E-2</v>
      </c>
    </row>
    <row r="561" spans="1:16" x14ac:dyDescent="0.3">
      <c r="A561">
        <v>531</v>
      </c>
      <c r="B561" cm="1">
        <f t="array" ref="B561" xml:space="preserve"> mc(100, 0, 4, 1, 2, "x^2+y^2")-92/3</f>
        <v>2.6006200305755307</v>
      </c>
      <c r="C561" cm="1">
        <f t="array" ref="C561" xml:space="preserve"> mc(500, 0, 4, 1, 2, "x^2+y^2")-92/3</f>
        <v>-8.6488546027542412E-2</v>
      </c>
      <c r="D561" cm="1">
        <f t="array" ref="D561" xml:space="preserve"> mc(1000, 0, 4, 1, 2, "x^2+y^2")-92/3</f>
        <v>-0.31421201733477133</v>
      </c>
      <c r="F561" cm="1">
        <f t="array" ref="F561" xml:space="preserve"> ( mc(100, 3, 4, -1, 1, "EXP(x * sin(y))") ) - 7.39981</f>
        <v>-0.33493005955255928</v>
      </c>
      <c r="G561" cm="1">
        <f t="array" ref="G561" xml:space="preserve"> ( mc(500, 3, 4, -1, 1, "EXP(x * sin(y))") ) - 7.39981</f>
        <v>-0.21923701895018155</v>
      </c>
      <c r="H561" cm="1">
        <f t="array" ref="H561" xml:space="preserve"> ( mc(1000, 3, 4, -1, 1, "EXP(x * sin(y))") ) - 7.39981</f>
        <v>-0.2475466500050203</v>
      </c>
      <c r="J561" cm="1">
        <f t="array" ref="J561" xml:space="preserve"> mc(100, -PI()/2,0,-1, 1, "ln(EXP(x * y))")</f>
        <v>0.10643256472508908</v>
      </c>
      <c r="K561" cm="1">
        <f t="array" ref="K561" xml:space="preserve"> mc(500, -PI()/2,0,-1, 1, "ln(EXP(x * y))")</f>
        <v>0.1519475236481366</v>
      </c>
      <c r="L561" cm="1">
        <f t="array" ref="L561" xml:space="preserve"> mc(1000, -PI()/2,0,-1, 1, "ln(EXP(x * y))")</f>
        <v>2.5983115428183153E-3</v>
      </c>
      <c r="N561" cm="1">
        <f t="array" ref="N561" xml:space="preserve"> mc(100, -PI()/2,PI()/2, 0, 1, "sin(cos(x + y))")-1.48235</f>
        <v>0.10084058855379574</v>
      </c>
      <c r="O561" cm="1">
        <f t="array" ref="O561" xml:space="preserve"> mc(500, -PI()/2,PI()/2, 0, 1, "sin(cos(x + y))")-1.48235</f>
        <v>1.4077306226090602E-2</v>
      </c>
      <c r="P561" cm="1">
        <f t="array" ref="P561" xml:space="preserve"> mc(1000, -PI()/2,PI()/2, 0, 1, "sin(cos(x + y))")-1.48235</f>
        <v>4.3541287050939514E-2</v>
      </c>
    </row>
    <row r="562" spans="1:16" x14ac:dyDescent="0.3">
      <c r="A562">
        <v>532</v>
      </c>
      <c r="B562" cm="1">
        <f t="array" ref="B562" xml:space="preserve"> mc(100, 0, 4, 1, 2, "x^2+y^2")-92/3</f>
        <v>1.3491213647817268</v>
      </c>
      <c r="C562" cm="1">
        <f t="array" ref="C562" xml:space="preserve"> mc(500, 0, 4, 1, 2, "x^2+y^2")-92/3</f>
        <v>-7.8735663028506764E-2</v>
      </c>
      <c r="D562" cm="1">
        <f t="array" ref="D562" xml:space="preserve"> mc(1000, 0, 4, 1, 2, "x^2+y^2")-92/3</f>
        <v>0.42469903910473761</v>
      </c>
      <c r="F562" cm="1">
        <f t="array" ref="F562" xml:space="preserve"> ( mc(100, 3, 4, -1, 1, "EXP(x * sin(y))") ) - 7.39981</f>
        <v>1.382480093304487</v>
      </c>
      <c r="G562" cm="1">
        <f t="array" ref="G562" xml:space="preserve"> ( mc(500, 3, 4, -1, 1, "EXP(x * sin(y))") ) - 7.39981</f>
        <v>0.17698408282296363</v>
      </c>
      <c r="H562" cm="1">
        <f t="array" ref="H562" xml:space="preserve"> ( mc(1000, 3, 4, -1, 1, "EXP(x * sin(y))") ) - 7.39981</f>
        <v>1.3971394326487641E-2</v>
      </c>
      <c r="J562" cm="1">
        <f t="array" ref="J562" xml:space="preserve"> mc(100, -PI()/2,0,-1, 1, "ln(EXP(x * y))")</f>
        <v>-0.20250479230202617</v>
      </c>
      <c r="K562" cm="1">
        <f t="array" ref="K562" xml:space="preserve"> mc(500, -PI()/2,0,-1, 1, "ln(EXP(x * y))")</f>
        <v>-6.7802181190628613E-2</v>
      </c>
      <c r="L562" cm="1">
        <f t="array" ref="L562" xml:space="preserve"> mc(1000, -PI()/2,0,-1, 1, "ln(EXP(x * y))")</f>
        <v>-0.13809191337059296</v>
      </c>
      <c r="N562" cm="1">
        <f t="array" ref="N562" xml:space="preserve"> mc(100, -PI()/2,PI()/2, 0, 1, "sin(cos(x + y))")-1.48235</f>
        <v>-6.6677814721803452E-2</v>
      </c>
      <c r="O562" cm="1">
        <f t="array" ref="O562" xml:space="preserve"> mc(500, -PI()/2,PI()/2, 0, 1, "sin(cos(x + y))")-1.48235</f>
        <v>3.9946319698351829E-3</v>
      </c>
      <c r="P562" cm="1">
        <f t="array" ref="P562" xml:space="preserve"> mc(1000, -PI()/2,PI()/2, 0, 1, "sin(cos(x + y))")-1.48235</f>
        <v>1.6144012336776203E-2</v>
      </c>
    </row>
    <row r="563" spans="1:16" x14ac:dyDescent="0.3">
      <c r="A563">
        <v>533</v>
      </c>
      <c r="B563" cm="1">
        <f t="array" ref="B563" xml:space="preserve"> mc(100, 0, 4, 1, 2, "x^2+y^2")-92/3</f>
        <v>0.41647219278166858</v>
      </c>
      <c r="C563" cm="1">
        <f t="array" ref="C563" xml:space="preserve"> mc(500, 0, 4, 1, 2, "x^2+y^2")-92/3</f>
        <v>0.3292118317204995</v>
      </c>
      <c r="D563" cm="1">
        <f t="array" ref="D563" xml:space="preserve"> mc(1000, 0, 4, 1, 2, "x^2+y^2")-92/3</f>
        <v>-2.1391860849458766E-2</v>
      </c>
      <c r="F563" cm="1">
        <f t="array" ref="F563" xml:space="preserve"> ( mc(100, 3, 4, -1, 1, "EXP(x * sin(y))") ) - 7.39981</f>
        <v>0.20108216728102235</v>
      </c>
      <c r="G563" cm="1">
        <f t="array" ref="G563" xml:space="preserve"> ( mc(500, 3, 4, -1, 1, "EXP(x * sin(y))") ) - 7.39981</f>
        <v>-0.70462631938517717</v>
      </c>
      <c r="H563" cm="1">
        <f t="array" ref="H563" xml:space="preserve"> ( mc(1000, 3, 4, -1, 1, "EXP(x * sin(y))") ) - 7.39981</f>
        <v>5.2884698078907277E-2</v>
      </c>
      <c r="J563" cm="1">
        <f t="array" ref="J563" xml:space="preserve"> mc(100, -PI()/2,0,-1, 1, "ln(EXP(x * y))")</f>
        <v>0.32644110225863415</v>
      </c>
      <c r="K563" cm="1">
        <f t="array" ref="K563" xml:space="preserve"> mc(500, -PI()/2,0,-1, 1, "ln(EXP(x * y))")</f>
        <v>8.254902207807821E-2</v>
      </c>
      <c r="L563" cm="1">
        <f t="array" ref="L563" xml:space="preserve"> mc(1000, -PI()/2,0,-1, 1, "ln(EXP(x * y))")</f>
        <v>-5.8748324172479841E-2</v>
      </c>
      <c r="N563" cm="1">
        <f t="array" ref="N563" xml:space="preserve"> mc(100, -PI()/2,PI()/2, 0, 1, "sin(cos(x + y))")-1.48235</f>
        <v>0.17444541690366111</v>
      </c>
      <c r="O563" cm="1">
        <f t="array" ref="O563" xml:space="preserve"> mc(500, -PI()/2,PI()/2, 0, 1, "sin(cos(x + y))")-1.48235</f>
        <v>-9.3941864359514682E-3</v>
      </c>
      <c r="P563" cm="1">
        <f t="array" ref="P563" xml:space="preserve"> mc(1000, -PI()/2,PI()/2, 0, 1, "sin(cos(x + y))")-1.48235</f>
        <v>5.0132862975966308E-2</v>
      </c>
    </row>
    <row r="564" spans="1:16" x14ac:dyDescent="0.3">
      <c r="A564">
        <v>534</v>
      </c>
      <c r="B564" cm="1">
        <f t="array" ref="B564" xml:space="preserve"> mc(100, 0, 4, 1, 2, "x^2+y^2")-92/3</f>
        <v>-1.9349055000337998</v>
      </c>
      <c r="C564" cm="1">
        <f t="array" ref="C564" xml:space="preserve"> mc(500, 0, 4, 1, 2, "x^2+y^2")-92/3</f>
        <v>0.79408665492340802</v>
      </c>
      <c r="D564" cm="1">
        <f t="array" ref="D564" xml:space="preserve"> mc(1000, 0, 4, 1, 2, "x^2+y^2")-92/3</f>
        <v>0.46996881458911233</v>
      </c>
      <c r="F564" cm="1">
        <f t="array" ref="F564" xml:space="preserve"> ( mc(100, 3, 4, -1, 1, "EXP(x * sin(y))") ) - 7.39981</f>
        <v>-1.1241738300722837</v>
      </c>
      <c r="G564" cm="1">
        <f t="array" ref="G564" xml:space="preserve"> ( mc(500, 3, 4, -1, 1, "EXP(x * sin(y))") ) - 7.39981</f>
        <v>0.11397242849656131</v>
      </c>
      <c r="H564" cm="1">
        <f t="array" ref="H564" xml:space="preserve"> ( mc(1000, 3, 4, -1, 1, "EXP(x * sin(y))") ) - 7.39981</f>
        <v>0.77288779369176908</v>
      </c>
      <c r="J564" cm="1">
        <f t="array" ref="J564" xml:space="preserve"> mc(100, -PI()/2,0,-1, 1, "ln(EXP(x * y))")</f>
        <v>-0.27484353180525206</v>
      </c>
      <c r="K564" cm="1">
        <f t="array" ref="K564" xml:space="preserve"> mc(500, -PI()/2,0,-1, 1, "ln(EXP(x * y))")</f>
        <v>4.9000614162329377E-3</v>
      </c>
      <c r="L564" cm="1">
        <f t="array" ref="L564" xml:space="preserve"> mc(1000, -PI()/2,0,-1, 1, "ln(EXP(x * y))")</f>
        <v>-2.177088659868355E-2</v>
      </c>
      <c r="N564" cm="1">
        <f t="array" ref="N564" xml:space="preserve"> mc(100, -PI()/2,PI()/2, 0, 1, "sin(cos(x + y))")-1.48235</f>
        <v>0.18741088536546835</v>
      </c>
      <c r="O564" cm="1">
        <f t="array" ref="O564" xml:space="preserve"> mc(500, -PI()/2,PI()/2, 0, 1, "sin(cos(x + y))")-1.48235</f>
        <v>1.9118167053076229E-2</v>
      </c>
      <c r="P564" cm="1">
        <f t="array" ref="P564" xml:space="preserve"> mc(1000, -PI()/2,PI()/2, 0, 1, "sin(cos(x + y))")-1.48235</f>
        <v>4.6602175226115872E-3</v>
      </c>
    </row>
    <row r="565" spans="1:16" x14ac:dyDescent="0.3">
      <c r="A565">
        <v>535</v>
      </c>
      <c r="B565" cm="1">
        <f t="array" ref="B565" xml:space="preserve"> mc(100, 0, 4, 1, 2, "x^2+y^2")-92/3</f>
        <v>-0.94151483550042414</v>
      </c>
      <c r="C565" cm="1">
        <f t="array" ref="C565" xml:space="preserve"> mc(500, 0, 4, 1, 2, "x^2+y^2")-92/3</f>
        <v>0.43625846454406414</v>
      </c>
      <c r="D565" cm="1">
        <f t="array" ref="D565" xml:space="preserve"> mc(1000, 0, 4, 1, 2, "x^2+y^2")-92/3</f>
        <v>-0.77828220744499177</v>
      </c>
      <c r="F565" cm="1">
        <f t="array" ref="F565" xml:space="preserve"> ( mc(100, 3, 4, -1, 1, "EXP(x * sin(y))") ) - 7.39981</f>
        <v>1.1088310170544311</v>
      </c>
      <c r="G565" cm="1">
        <f t="array" ref="G565" xml:space="preserve"> ( mc(500, 3, 4, -1, 1, "EXP(x * sin(y))") ) - 7.39981</f>
        <v>8.6708633397917012E-2</v>
      </c>
      <c r="H565" cm="1">
        <f t="array" ref="H565" xml:space="preserve"> ( mc(1000, 3, 4, -1, 1, "EXP(x * sin(y))") ) - 7.39981</f>
        <v>-0.54336982087727037</v>
      </c>
      <c r="J565" cm="1">
        <f t="array" ref="J565" xml:space="preserve"> mc(100, -PI()/2,0,-1, 1, "ln(EXP(x * y))")</f>
        <v>-0.21947759839227332</v>
      </c>
      <c r="K565" cm="1">
        <f t="array" ref="K565" xml:space="preserve"> mc(500, -PI()/2,0,-1, 1, "ln(EXP(x * y))")</f>
        <v>1.3973829239982853E-2</v>
      </c>
      <c r="L565" cm="1">
        <f t="array" ref="L565" xml:space="preserve"> mc(1000, -PI()/2,0,-1, 1, "ln(EXP(x * y))")</f>
        <v>4.2746192368408098E-2</v>
      </c>
      <c r="N565" cm="1">
        <f t="array" ref="N565" xml:space="preserve"> mc(100, -PI()/2,PI()/2, 0, 1, "sin(cos(x + y))")-1.48235</f>
        <v>0.11097739578271026</v>
      </c>
      <c r="O565" cm="1">
        <f t="array" ref="O565" xml:space="preserve"> mc(500, -PI()/2,PI()/2, 0, 1, "sin(cos(x + y))")-1.48235</f>
        <v>7.0876843893599606E-2</v>
      </c>
      <c r="P565" cm="1">
        <f t="array" ref="P565" xml:space="preserve"> mc(1000, -PI()/2,PI()/2, 0, 1, "sin(cos(x + y))")-1.48235</f>
        <v>9.7062442767059665E-4</v>
      </c>
    </row>
    <row r="566" spans="1:16" x14ac:dyDescent="0.3">
      <c r="A566">
        <v>536</v>
      </c>
      <c r="B566" cm="1">
        <f t="array" ref="B566" xml:space="preserve"> mc(100, 0, 4, 1, 2, "x^2+y^2")-92/3</f>
        <v>2.2371582666942267</v>
      </c>
      <c r="C566" cm="1">
        <f t="array" ref="C566" xml:space="preserve"> mc(500, 0, 4, 1, 2, "x^2+y^2")-92/3</f>
        <v>0.79551910806055304</v>
      </c>
      <c r="D566" cm="1">
        <f t="array" ref="D566" xml:space="preserve"> mc(1000, 0, 4, 1, 2, "x^2+y^2")-92/3</f>
        <v>-0.40576331761291229</v>
      </c>
      <c r="F566" cm="1">
        <f t="array" ref="F566" xml:space="preserve"> ( mc(100, 3, 4, -1, 1, "EXP(x * sin(y))") ) - 7.39981</f>
        <v>0.18398118956450826</v>
      </c>
      <c r="G566" cm="1">
        <f t="array" ref="G566" xml:space="preserve"> ( mc(500, 3, 4, -1, 1, "EXP(x * sin(y))") ) - 7.39981</f>
        <v>-0.60751816477377218</v>
      </c>
      <c r="H566" cm="1">
        <f t="array" ref="H566" xml:space="preserve"> ( mc(1000, 3, 4, -1, 1, "EXP(x * sin(y))") ) - 7.39981</f>
        <v>-0.18553241099492368</v>
      </c>
      <c r="J566" cm="1">
        <f t="array" ref="J566" xml:space="preserve"> mc(100, -PI()/2,0,-1, 1, "ln(EXP(x * y))")</f>
        <v>-0.15837178450852923</v>
      </c>
      <c r="K566" cm="1">
        <f t="array" ref="K566" xml:space="preserve"> mc(500, -PI()/2,0,-1, 1, "ln(EXP(x * y))")</f>
        <v>-1.0264177975694681E-2</v>
      </c>
      <c r="L566" cm="1">
        <f t="array" ref="L566" xml:space="preserve"> mc(1000, -PI()/2,0,-1, 1, "ln(EXP(x * y))")</f>
        <v>-0.13395551332155609</v>
      </c>
      <c r="N566" cm="1">
        <f t="array" ref="N566" xml:space="preserve"> mc(100, -PI()/2,PI()/2, 0, 1, "sin(cos(x + y))")-1.48235</f>
        <v>-7.9528576737225132E-2</v>
      </c>
      <c r="O566" cm="1">
        <f t="array" ref="O566" xml:space="preserve"> mc(500, -PI()/2,PI()/2, 0, 1, "sin(cos(x + y))")-1.48235</f>
        <v>-8.4444362816897822E-2</v>
      </c>
      <c r="P566" cm="1">
        <f t="array" ref="P566" xml:space="preserve"> mc(1000, -PI()/2,PI()/2, 0, 1, "sin(cos(x + y))")-1.48235</f>
        <v>4.8446245796703868E-2</v>
      </c>
    </row>
    <row r="567" spans="1:16" x14ac:dyDescent="0.3">
      <c r="A567">
        <v>537</v>
      </c>
      <c r="B567" cm="1">
        <f t="array" ref="B567" xml:space="preserve"> mc(100, 0, 4, 1, 2, "x^2+y^2")-92/3</f>
        <v>1.0495546697121476</v>
      </c>
      <c r="C567" cm="1">
        <f t="array" ref="C567" xml:space="preserve"> mc(500, 0, 4, 1, 2, "x^2+y^2")-92/3</f>
        <v>-0.15963602484671924</v>
      </c>
      <c r="D567" cm="1">
        <f t="array" ref="D567" xml:space="preserve"> mc(1000, 0, 4, 1, 2, "x^2+y^2")-92/3</f>
        <v>0.73935514224135446</v>
      </c>
      <c r="F567" cm="1">
        <f t="array" ref="F567" xml:space="preserve"> ( mc(100, 3, 4, -1, 1, "EXP(x * sin(y))") ) - 7.39981</f>
        <v>1.4431115029752668</v>
      </c>
      <c r="G567" cm="1">
        <f t="array" ref="G567" xml:space="preserve"> ( mc(500, 3, 4, -1, 1, "EXP(x * sin(y))") ) - 7.39981</f>
        <v>-1.018623272154251E-2</v>
      </c>
      <c r="H567" cm="1">
        <f t="array" ref="H567" xml:space="preserve"> ( mc(1000, 3, 4, -1, 1, "EXP(x * sin(y))") ) - 7.39981</f>
        <v>0.46157070111010157</v>
      </c>
      <c r="J567" cm="1">
        <f t="array" ref="J567" xml:space="preserve"> mc(100, -PI()/2,0,-1, 1, "ln(EXP(x * y))")</f>
        <v>0.32913360758753518</v>
      </c>
      <c r="K567" cm="1">
        <f t="array" ref="K567" xml:space="preserve"> mc(500, -PI()/2,0,-1, 1, "ln(EXP(x * y))")</f>
        <v>-5.086120326180843E-2</v>
      </c>
      <c r="L567" cm="1">
        <f t="array" ref="L567" xml:space="preserve"> mc(1000, -PI()/2,0,-1, 1, "ln(EXP(x * y))")</f>
        <v>-7.4221985394031631E-2</v>
      </c>
      <c r="N567" cm="1">
        <f t="array" ref="N567" xml:space="preserve"> mc(100, -PI()/2,PI()/2, 0, 1, "sin(cos(x + y))")-1.48235</f>
        <v>1.9429041363481891E-2</v>
      </c>
      <c r="O567" cm="1">
        <f t="array" ref="O567" xml:space="preserve"> mc(500, -PI()/2,PI()/2, 0, 1, "sin(cos(x + y))")-1.48235</f>
        <v>5.1776335742451662E-2</v>
      </c>
      <c r="P567" cm="1">
        <f t="array" ref="P567" xml:space="preserve"> mc(1000, -PI()/2,PI()/2, 0, 1, "sin(cos(x + y))")-1.48235</f>
        <v>6.5134280527122446E-2</v>
      </c>
    </row>
    <row r="568" spans="1:16" x14ac:dyDescent="0.3">
      <c r="A568">
        <v>538</v>
      </c>
      <c r="B568" cm="1">
        <f t="array" ref="B568" xml:space="preserve"> mc(100, 0, 4, 1, 2, "x^2+y^2")-92/3</f>
        <v>-0.14220526771966746</v>
      </c>
      <c r="C568" cm="1">
        <f t="array" ref="C568" xml:space="preserve"> mc(500, 0, 4, 1, 2, "x^2+y^2")-92/3</f>
        <v>-0.40216974133441141</v>
      </c>
      <c r="D568" cm="1">
        <f t="array" ref="D568" xml:space="preserve"> mc(1000, 0, 4, 1, 2, "x^2+y^2")-92/3</f>
        <v>0.28466049184941156</v>
      </c>
      <c r="F568" cm="1">
        <f t="array" ref="F568" xml:space="preserve"> ( mc(100, 3, 4, -1, 1, "EXP(x * sin(y))") ) - 7.39981</f>
        <v>1.4124216137177292</v>
      </c>
      <c r="G568" cm="1">
        <f t="array" ref="G568" xml:space="preserve"> ( mc(500, 3, 4, -1, 1, "EXP(x * sin(y))") ) - 7.39981</f>
        <v>4.8098527872589614E-2</v>
      </c>
      <c r="H568" cm="1">
        <f t="array" ref="H568" xml:space="preserve"> ( mc(1000, 3, 4, -1, 1, "EXP(x * sin(y))") ) - 7.39981</f>
        <v>-0.401700637880821</v>
      </c>
      <c r="J568" cm="1">
        <f t="array" ref="J568" xml:space="preserve"> mc(100, -PI()/2,0,-1, 1, "ln(EXP(x * y))")</f>
        <v>-0.17225497172202597</v>
      </c>
      <c r="K568" cm="1">
        <f t="array" ref="K568" xml:space="preserve"> mc(500, -PI()/2,0,-1, 1, "ln(EXP(x * y))")</f>
        <v>3.5078972074523943E-2</v>
      </c>
      <c r="L568" cm="1">
        <f t="array" ref="L568" xml:space="preserve"> mc(1000, -PI()/2,0,-1, 1, "ln(EXP(x * y))")</f>
        <v>-1.2921516606613885E-2</v>
      </c>
      <c r="N568" cm="1">
        <f t="array" ref="N568" xml:space="preserve"> mc(100, -PI()/2,PI()/2, 0, 1, "sin(cos(x + y))")-1.48235</f>
        <v>0.19139692542710018</v>
      </c>
      <c r="O568" cm="1">
        <f t="array" ref="O568" xml:space="preserve"> mc(500, -PI()/2,PI()/2, 0, 1, "sin(cos(x + y))")-1.48235</f>
        <v>3.8626509499581907E-3</v>
      </c>
      <c r="P568" cm="1">
        <f t="array" ref="P568" xml:space="preserve"> mc(1000, -PI()/2,PI()/2, 0, 1, "sin(cos(x + y))")-1.48235</f>
        <v>-6.6291883549253861E-2</v>
      </c>
    </row>
    <row r="569" spans="1:16" x14ac:dyDescent="0.3">
      <c r="A569">
        <v>539</v>
      </c>
      <c r="B569" cm="1">
        <f t="array" ref="B569" xml:space="preserve"> mc(100, 0, 4, 1, 2, "x^2+y^2")-92/3</f>
        <v>0.68322437052420071</v>
      </c>
      <c r="C569" cm="1">
        <f t="array" ref="C569" xml:space="preserve"> mc(500, 0, 4, 1, 2, "x^2+y^2")-92/3</f>
        <v>-0.26699787503152095</v>
      </c>
      <c r="D569" cm="1">
        <f t="array" ref="D569" xml:space="preserve"> mc(1000, 0, 4, 1, 2, "x^2+y^2")-92/3</f>
        <v>0.93191948458424179</v>
      </c>
      <c r="F569" cm="1">
        <f t="array" ref="F569" xml:space="preserve"> ( mc(100, 3, 4, -1, 1, "EXP(x * sin(y))") ) - 7.39981</f>
        <v>0.60394652292178996</v>
      </c>
      <c r="G569" cm="1">
        <f t="array" ref="G569" xml:space="preserve"> ( mc(500, 3, 4, -1, 1, "EXP(x * sin(y))") ) - 7.39981</f>
        <v>0.16784215469997488</v>
      </c>
      <c r="H569" cm="1">
        <f t="array" ref="H569" xml:space="preserve"> ( mc(1000, 3, 4, -1, 1, "EXP(x * sin(y))") ) - 7.39981</f>
        <v>0.10373096189067343</v>
      </c>
      <c r="J569" cm="1">
        <f t="array" ref="J569" xml:space="preserve"> mc(100, -PI()/2,0,-1, 1, "ln(EXP(x * y))")</f>
        <v>0.12405911147279303</v>
      </c>
      <c r="K569" cm="1">
        <f t="array" ref="K569" xml:space="preserve"> mc(500, -PI()/2,0,-1, 1, "ln(EXP(x * y))")</f>
        <v>0.14420524865985485</v>
      </c>
      <c r="L569" cm="1">
        <f t="array" ref="L569" xml:space="preserve"> mc(1000, -PI()/2,0,-1, 1, "ln(EXP(x * y))")</f>
        <v>-5.9740961330513827E-2</v>
      </c>
      <c r="N569" cm="1">
        <f t="array" ref="N569" xml:space="preserve"> mc(100, -PI()/2,PI()/2, 0, 1, "sin(cos(x + y))")-1.48235</f>
        <v>-0.12106402783535009</v>
      </c>
      <c r="O569" cm="1">
        <f t="array" ref="O569" xml:space="preserve"> mc(500, -PI()/2,PI()/2, 0, 1, "sin(cos(x + y))")-1.48235</f>
        <v>3.7546658399068233E-2</v>
      </c>
      <c r="P569" cm="1">
        <f t="array" ref="P569" xml:space="preserve"> mc(1000, -PI()/2,PI()/2, 0, 1, "sin(cos(x + y))")-1.48235</f>
        <v>-7.6093410039759224E-3</v>
      </c>
    </row>
    <row r="570" spans="1:16" x14ac:dyDescent="0.3">
      <c r="A570">
        <v>540</v>
      </c>
      <c r="B570" cm="1">
        <f t="array" ref="B570" xml:space="preserve"> mc(100, 0, 4, 1, 2, "x^2+y^2")-92/3</f>
        <v>5.0431165333135191</v>
      </c>
      <c r="C570" cm="1">
        <f t="array" ref="C570" xml:space="preserve"> mc(500, 0, 4, 1, 2, "x^2+y^2")-92/3</f>
        <v>-1.0774493637770526</v>
      </c>
      <c r="D570" cm="1">
        <f t="array" ref="D570" xml:space="preserve"> mc(1000, 0, 4, 1, 2, "x^2+y^2")-92/3</f>
        <v>-0.91470192422969276</v>
      </c>
      <c r="F570" cm="1">
        <f t="array" ref="F570" xml:space="preserve"> ( mc(100, 3, 4, -1, 1, "EXP(x * sin(y))") ) - 7.39981</f>
        <v>-0.3651359597236743</v>
      </c>
      <c r="G570" cm="1">
        <f t="array" ref="G570" xml:space="preserve"> ( mc(500, 3, 4, -1, 1, "EXP(x * sin(y))") ) - 7.39981</f>
        <v>-0.66116930790416717</v>
      </c>
      <c r="H570" cm="1">
        <f t="array" ref="H570" xml:space="preserve"> ( mc(1000, 3, 4, -1, 1, "EXP(x * sin(y))") ) - 7.39981</f>
        <v>-7.1681623191154564E-2</v>
      </c>
      <c r="J570" cm="1">
        <f t="array" ref="J570" xml:space="preserve"> mc(100, -PI()/2,0,-1, 1, "ln(EXP(x * y))")</f>
        <v>0.12927049062569293</v>
      </c>
      <c r="K570" cm="1">
        <f t="array" ref="K570" xml:space="preserve"> mc(500, -PI()/2,0,-1, 1, "ln(EXP(x * y))")</f>
        <v>0.10192748819107342</v>
      </c>
      <c r="L570" cm="1">
        <f t="array" ref="L570" xml:space="preserve"> mc(1000, -PI()/2,0,-1, 1, "ln(EXP(x * y))")</f>
        <v>-4.1052397221412271E-3</v>
      </c>
      <c r="N570" cm="1">
        <f t="array" ref="N570" xml:space="preserve"> mc(100, -PI()/2,PI()/2, 0, 1, "sin(cos(x + y))")-1.48235</f>
        <v>-5.5096973431074669E-3</v>
      </c>
      <c r="O570" cm="1">
        <f t="array" ref="O570" xml:space="preserve"> mc(500, -PI()/2,PI()/2, 0, 1, "sin(cos(x + y))")-1.48235</f>
        <v>-1.5414230624065883E-2</v>
      </c>
      <c r="P570" cm="1">
        <f t="array" ref="P570" xml:space="preserve"> mc(1000, -PI()/2,PI()/2, 0, 1, "sin(cos(x + y))")-1.48235</f>
        <v>2.3333197255596572E-2</v>
      </c>
    </row>
    <row r="571" spans="1:16" x14ac:dyDescent="0.3">
      <c r="A571">
        <v>541</v>
      </c>
      <c r="B571" cm="1">
        <f t="array" ref="B571" xml:space="preserve"> mc(100, 0, 4, 1, 2, "x^2+y^2")-92/3</f>
        <v>1.8930969834224207</v>
      </c>
      <c r="C571" cm="1">
        <f t="array" ref="C571" xml:space="preserve"> mc(500, 0, 4, 1, 2, "x^2+y^2")-92/3</f>
        <v>-4.4515263087252066E-2</v>
      </c>
      <c r="D571" cm="1">
        <f t="array" ref="D571" xml:space="preserve"> mc(1000, 0, 4, 1, 2, "x^2+y^2")-92/3</f>
        <v>-0.66727588841624552</v>
      </c>
      <c r="F571" cm="1">
        <f t="array" ref="F571" xml:space="preserve"> ( mc(100, 3, 4, -1, 1, "EXP(x * sin(y))") ) - 7.39981</f>
        <v>0.44323041670805718</v>
      </c>
      <c r="G571" cm="1">
        <f t="array" ref="G571" xml:space="preserve"> ( mc(500, 3, 4, -1, 1, "EXP(x * sin(y))") ) - 7.39981</f>
        <v>-0.32171194393902969</v>
      </c>
      <c r="H571" cm="1">
        <f t="array" ref="H571" xml:space="preserve"> ( mc(1000, 3, 4, -1, 1, "EXP(x * sin(y))") ) - 7.39981</f>
        <v>-1.256294696315674E-2</v>
      </c>
      <c r="J571" cm="1">
        <f t="array" ref="J571" xml:space="preserve"> mc(100, -PI()/2,0,-1, 1, "ln(EXP(x * y))")</f>
        <v>-7.178907001539353E-2</v>
      </c>
      <c r="K571" cm="1">
        <f t="array" ref="K571" xml:space="preserve"> mc(500, -PI()/2,0,-1, 1, "ln(EXP(x * y))")</f>
        <v>1.5278415777649089E-2</v>
      </c>
      <c r="L571" cm="1">
        <f t="array" ref="L571" xml:space="preserve"> mc(1000, -PI()/2,0,-1, 1, "ln(EXP(x * y))")</f>
        <v>-5.283528730438037E-2</v>
      </c>
      <c r="N571" cm="1">
        <f t="array" ref="N571" xml:space="preserve"> mc(100, -PI()/2,PI()/2, 0, 1, "sin(cos(x + y))")-1.48235</f>
        <v>0.13664048239980464</v>
      </c>
      <c r="O571" cm="1">
        <f t="array" ref="O571" xml:space="preserve"> mc(500, -PI()/2,PI()/2, 0, 1, "sin(cos(x + y))")-1.48235</f>
        <v>5.9466372316949734E-2</v>
      </c>
      <c r="P571" cm="1">
        <f t="array" ref="P571" xml:space="preserve"> mc(1000, -PI()/2,PI()/2, 0, 1, "sin(cos(x + y))")-1.48235</f>
        <v>-3.803082989938078E-2</v>
      </c>
    </row>
    <row r="572" spans="1:16" x14ac:dyDescent="0.3">
      <c r="A572">
        <v>542</v>
      </c>
      <c r="B572" cm="1">
        <f t="array" ref="B572" xml:space="preserve"> mc(100, 0, 4, 1, 2, "x^2+y^2")-92/3</f>
        <v>-1.1515575665645557</v>
      </c>
      <c r="C572" cm="1">
        <f t="array" ref="C572" xml:space="preserve"> mc(500, 0, 4, 1, 2, "x^2+y^2")-92/3</f>
        <v>-1.6855664173515414</v>
      </c>
      <c r="D572" cm="1">
        <f t="array" ref="D572" xml:space="preserve"> mc(1000, 0, 4, 1, 2, "x^2+y^2")-92/3</f>
        <v>-0.65496984041451967</v>
      </c>
      <c r="F572" cm="1">
        <f t="array" ref="F572" xml:space="preserve"> ( mc(100, 3, 4, -1, 1, "EXP(x * sin(y))") ) - 7.39981</f>
        <v>-1.1763219852476796</v>
      </c>
      <c r="G572" cm="1">
        <f t="array" ref="G572" xml:space="preserve"> ( mc(500, 3, 4, -1, 1, "EXP(x * sin(y))") ) - 7.39981</f>
        <v>0.36371006338698297</v>
      </c>
      <c r="H572" cm="1">
        <f t="array" ref="H572" xml:space="preserve"> ( mc(1000, 3, 4, -1, 1, "EXP(x * sin(y))") ) - 7.39981</f>
        <v>-0.1644943103693608</v>
      </c>
      <c r="J572" cm="1">
        <f t="array" ref="J572" xml:space="preserve"> mc(100, -PI()/2,0,-1, 1, "ln(EXP(x * y))")</f>
        <v>-0.16032496433380028</v>
      </c>
      <c r="K572" cm="1">
        <f t="array" ref="K572" xml:space="preserve"> mc(500, -PI()/2,0,-1, 1, "ln(EXP(x * y))")</f>
        <v>-1.0925325407673202E-2</v>
      </c>
      <c r="L572" cm="1">
        <f t="array" ref="L572" xml:space="preserve"> mc(1000, -PI()/2,0,-1, 1, "ln(EXP(x * y))")</f>
        <v>-8.6291226138233368E-2</v>
      </c>
      <c r="N572" cm="1">
        <f t="array" ref="N572" xml:space="preserve"> mc(100, -PI()/2,PI()/2, 0, 1, "sin(cos(x + y))")-1.48235</f>
        <v>-0.17057618776386474</v>
      </c>
      <c r="O572" cm="1">
        <f t="array" ref="O572" xml:space="preserve"> mc(500, -PI()/2,PI()/2, 0, 1, "sin(cos(x + y))")-1.48235</f>
        <v>-4.4553543820156527E-2</v>
      </c>
      <c r="P572" cm="1">
        <f t="array" ref="P572" xml:space="preserve"> mc(1000, -PI()/2,PI()/2, 0, 1, "sin(cos(x + y))")-1.48235</f>
        <v>-5.2232977707129757E-2</v>
      </c>
    </row>
    <row r="573" spans="1:16" x14ac:dyDescent="0.3">
      <c r="A573">
        <v>543</v>
      </c>
      <c r="B573" cm="1">
        <f t="array" ref="B573" xml:space="preserve"> mc(100, 0, 4, 1, 2, "x^2+y^2")-92/3</f>
        <v>-4.0401118455420857</v>
      </c>
      <c r="C573" cm="1">
        <f t="array" ref="C573" xml:space="preserve"> mc(500, 0, 4, 1, 2, "x^2+y^2")-92/3</f>
        <v>1.0615142636772497</v>
      </c>
      <c r="D573" cm="1">
        <f t="array" ref="D573" xml:space="preserve"> mc(1000, 0, 4, 1, 2, "x^2+y^2")-92/3</f>
        <v>0.62247552841288822</v>
      </c>
      <c r="F573" cm="1">
        <f t="array" ref="F573" xml:space="preserve"> ( mc(100, 3, 4, -1, 1, "EXP(x * sin(y))") ) - 7.39981</f>
        <v>-0.82765380865841998</v>
      </c>
      <c r="G573" cm="1">
        <f t="array" ref="G573" xml:space="preserve"> ( mc(500, 3, 4, -1, 1, "EXP(x * sin(y))") ) - 7.39981</f>
        <v>0.21247391912147595</v>
      </c>
      <c r="H573" cm="1">
        <f t="array" ref="H573" xml:space="preserve"> ( mc(1000, 3, 4, -1, 1, "EXP(x * sin(y))") ) - 7.39981</f>
        <v>0.16029960175998248</v>
      </c>
      <c r="J573" cm="1">
        <f t="array" ref="J573" xml:space="preserve"> mc(100, -PI()/2,0,-1, 1, "ln(EXP(x * y))")</f>
        <v>-0.10925538653894978</v>
      </c>
      <c r="K573" cm="1">
        <f t="array" ref="K573" xml:space="preserve"> mc(500, -PI()/2,0,-1, 1, "ln(EXP(x * y))")</f>
        <v>-1.8140324506530827E-2</v>
      </c>
      <c r="L573" cm="1">
        <f t="array" ref="L573" xml:space="preserve"> mc(1000, -PI()/2,0,-1, 1, "ln(EXP(x * y))")</f>
        <v>-4.389418805609123E-2</v>
      </c>
      <c r="N573" cm="1">
        <f t="array" ref="N573" xml:space="preserve"> mc(100, -PI()/2,PI()/2, 0, 1, "sin(cos(x + y))")-1.48235</f>
        <v>-0.12474239813380805</v>
      </c>
      <c r="O573" cm="1">
        <f t="array" ref="O573" xml:space="preserve"> mc(500, -PI()/2,PI()/2, 0, 1, "sin(cos(x + y))")-1.48235</f>
        <v>-6.7776059048199055E-3</v>
      </c>
      <c r="P573" cm="1">
        <f t="array" ref="P573" xml:space="preserve"> mc(1000, -PI()/2,PI()/2, 0, 1, "sin(cos(x + y))")-1.48235</f>
        <v>-3.2806338860562612E-2</v>
      </c>
    </row>
    <row r="574" spans="1:16" x14ac:dyDescent="0.3">
      <c r="A574">
        <v>544</v>
      </c>
      <c r="B574" cm="1">
        <f t="array" ref="B574" xml:space="preserve"> mc(100, 0, 4, 1, 2, "x^2+y^2")-92/3</f>
        <v>2.2524569402243237</v>
      </c>
      <c r="C574" cm="1">
        <f t="array" ref="C574" xml:space="preserve"> mc(500, 0, 4, 1, 2, "x^2+y^2")-92/3</f>
        <v>-0.66284375909753734</v>
      </c>
      <c r="D574" cm="1">
        <f t="array" ref="D574" xml:space="preserve"> mc(1000, 0, 4, 1, 2, "x^2+y^2")-92/3</f>
        <v>-0.58689842436756123</v>
      </c>
      <c r="F574" cm="1">
        <f t="array" ref="F574" xml:space="preserve"> ( mc(100, 3, 4, -1, 1, "EXP(x * sin(y))") ) - 7.39981</f>
        <v>-0.20875780824649404</v>
      </c>
      <c r="G574" cm="1">
        <f t="array" ref="G574" xml:space="preserve"> ( mc(500, 3, 4, -1, 1, "EXP(x * sin(y))") ) - 7.39981</f>
        <v>-0.63989695201877783</v>
      </c>
      <c r="H574" cm="1">
        <f t="array" ref="H574" xml:space="preserve"> ( mc(1000, 3, 4, -1, 1, "EXP(x * sin(y))") ) - 7.39981</f>
        <v>1.8977039691847608E-2</v>
      </c>
      <c r="J574" cm="1">
        <f t="array" ref="J574" xml:space="preserve"> mc(100, -PI()/2,0,-1, 1, "ln(EXP(x * y))")</f>
        <v>-7.3317866782421859E-2</v>
      </c>
      <c r="K574" cm="1">
        <f t="array" ref="K574" xml:space="preserve"> mc(500, -PI()/2,0,-1, 1, "ln(EXP(x * y))")</f>
        <v>-6.970958108239029E-3</v>
      </c>
      <c r="L574" cm="1">
        <f t="array" ref="L574" xml:space="preserve"> mc(1000, -PI()/2,0,-1, 1, "ln(EXP(x * y))")</f>
        <v>7.81472864355202E-2</v>
      </c>
      <c r="N574" cm="1">
        <f t="array" ref="N574" xml:space="preserve"> mc(100, -PI()/2,PI()/2, 0, 1, "sin(cos(x + y))")-1.48235</f>
        <v>-9.7876904207758519E-2</v>
      </c>
      <c r="O574" cm="1">
        <f t="array" ref="O574" xml:space="preserve"> mc(500, -PI()/2,PI()/2, 0, 1, "sin(cos(x + y))")-1.48235</f>
        <v>-2.8713272081039909E-2</v>
      </c>
      <c r="P574" cm="1">
        <f t="array" ref="P574" xml:space="preserve"> mc(1000, -PI()/2,PI()/2, 0, 1, "sin(cos(x + y))")-1.48235</f>
        <v>-2.5881731365542837E-2</v>
      </c>
    </row>
    <row r="575" spans="1:16" x14ac:dyDescent="0.3">
      <c r="A575">
        <v>545</v>
      </c>
      <c r="B575" cm="1">
        <f t="array" ref="B575" xml:space="preserve"> mc(100, 0, 4, 1, 2, "x^2+y^2")-92/3</f>
        <v>-1.9836152813897279</v>
      </c>
      <c r="C575" cm="1">
        <f t="array" ref="C575" xml:space="preserve"> mc(500, 0, 4, 1, 2, "x^2+y^2")-92/3</f>
        <v>-1.1877743506894838</v>
      </c>
      <c r="D575" cm="1">
        <f t="array" ref="D575" xml:space="preserve"> mc(1000, 0, 4, 1, 2, "x^2+y^2")-92/3</f>
        <v>5.5524665053624744E-2</v>
      </c>
      <c r="F575" cm="1">
        <f t="array" ref="F575" xml:space="preserve"> ( mc(100, 3, 4, -1, 1, "EXP(x * sin(y))") ) - 7.39981</f>
        <v>-0.32534041145582648</v>
      </c>
      <c r="G575" cm="1">
        <f t="array" ref="G575" xml:space="preserve"> ( mc(500, 3, 4, -1, 1, "EXP(x * sin(y))") ) - 7.39981</f>
        <v>0.40994650137307254</v>
      </c>
      <c r="H575" cm="1">
        <f t="array" ref="H575" xml:space="preserve"> ( mc(1000, 3, 4, -1, 1, "EXP(x * sin(y))") ) - 7.39981</f>
        <v>9.2098765297625285E-2</v>
      </c>
      <c r="J575" cm="1">
        <f t="array" ref="J575" xml:space="preserve"> mc(100, -PI()/2,0,-1, 1, "ln(EXP(x * y))")</f>
        <v>-4.4234992851396635E-2</v>
      </c>
      <c r="K575" cm="1">
        <f t="array" ref="K575" xml:space="preserve"> mc(500, -PI()/2,0,-1, 1, "ln(EXP(x * y))")</f>
        <v>7.3405963051011422E-2</v>
      </c>
      <c r="L575" cm="1">
        <f t="array" ref="L575" xml:space="preserve"> mc(1000, -PI()/2,0,-1, 1, "ln(EXP(x * y))")</f>
        <v>9.0226416170677542E-3</v>
      </c>
      <c r="N575" cm="1">
        <f t="array" ref="N575" xml:space="preserve"> mc(100, -PI()/2,PI()/2, 0, 1, "sin(cos(x + y))")-1.48235</f>
        <v>0.1691308269270928</v>
      </c>
      <c r="O575" cm="1">
        <f t="array" ref="O575" xml:space="preserve"> mc(500, -PI()/2,PI()/2, 0, 1, "sin(cos(x + y))")-1.48235</f>
        <v>-2.6263875066215636E-2</v>
      </c>
      <c r="P575" cm="1">
        <f t="array" ref="P575" xml:space="preserve"> mc(1000, -PI()/2,PI()/2, 0, 1, "sin(cos(x + y))")-1.48235</f>
        <v>-8.408074746223182E-3</v>
      </c>
    </row>
    <row r="576" spans="1:16" x14ac:dyDescent="0.3">
      <c r="A576">
        <v>546</v>
      </c>
      <c r="B576" cm="1">
        <f t="array" ref="B576" xml:space="preserve"> mc(100, 0, 4, 1, 2, "x^2+y^2")-92/3</f>
        <v>-0.67915047661123396</v>
      </c>
      <c r="C576" cm="1">
        <f t="array" ref="C576" xml:space="preserve"> mc(500, 0, 4, 1, 2, "x^2+y^2")-92/3</f>
        <v>-1.033654644434435</v>
      </c>
      <c r="D576" cm="1">
        <f t="array" ref="D576" xml:space="preserve"> mc(1000, 0, 4, 1, 2, "x^2+y^2")-92/3</f>
        <v>1.0947248816265471</v>
      </c>
      <c r="F576" cm="1">
        <f t="array" ref="F576" xml:space="preserve"> ( mc(100, 3, 4, -1, 1, "EXP(x * sin(y))") ) - 7.39981</f>
        <v>-1.0314199905570449</v>
      </c>
      <c r="G576" cm="1">
        <f t="array" ref="G576" xml:space="preserve"> ( mc(500, 3, 4, -1, 1, "EXP(x * sin(y))") ) - 7.39981</f>
        <v>-7.7426173979803892E-2</v>
      </c>
      <c r="H576" cm="1">
        <f t="array" ref="H576" xml:space="preserve"> ( mc(1000, 3, 4, -1, 1, "EXP(x * sin(y))") ) - 7.39981</f>
        <v>0.10193721191629024</v>
      </c>
      <c r="J576" cm="1">
        <f t="array" ref="J576" xml:space="preserve"> mc(100, -PI()/2,0,-1, 1, "ln(EXP(x * y))")</f>
        <v>0.2878515368006927</v>
      </c>
      <c r="K576" cm="1">
        <f t="array" ref="K576" xml:space="preserve"> mc(500, -PI()/2,0,-1, 1, "ln(EXP(x * y))")</f>
        <v>-4.943369664465623E-2</v>
      </c>
      <c r="L576" cm="1">
        <f t="array" ref="L576" xml:space="preserve"> mc(1000, -PI()/2,0,-1, 1, "ln(EXP(x * y))")</f>
        <v>2.5279610880681824E-2</v>
      </c>
      <c r="N576" cm="1">
        <f t="array" ref="N576" xml:space="preserve"> mc(100, -PI()/2,PI()/2, 0, 1, "sin(cos(x + y))")-1.48235</f>
        <v>4.2953905060752584E-2</v>
      </c>
      <c r="O576" cm="1">
        <f t="array" ref="O576" xml:space="preserve"> mc(500, -PI()/2,PI()/2, 0, 1, "sin(cos(x + y))")-1.48235</f>
        <v>-6.7582929703064343E-2</v>
      </c>
      <c r="P576" cm="1">
        <f t="array" ref="P576" xml:space="preserve"> mc(1000, -PI()/2,PI()/2, 0, 1, "sin(cos(x + y))")-1.48235</f>
        <v>5.5719914750663735E-2</v>
      </c>
    </row>
    <row r="577" spans="1:16" x14ac:dyDescent="0.3">
      <c r="A577">
        <v>547</v>
      </c>
      <c r="B577" cm="1">
        <f t="array" ref="B577" xml:space="preserve"> mc(100, 0, 4, 1, 2, "x^2+y^2")-92/3</f>
        <v>3.9937481328299107</v>
      </c>
      <c r="C577" cm="1">
        <f t="array" ref="C577" xml:space="preserve"> mc(500, 0, 4, 1, 2, "x^2+y^2")-92/3</f>
        <v>1.1389973594488261</v>
      </c>
      <c r="D577" cm="1">
        <f t="array" ref="D577" xml:space="preserve"> mc(1000, 0, 4, 1, 2, "x^2+y^2")-92/3</f>
        <v>0.11720732937169132</v>
      </c>
      <c r="F577" cm="1">
        <f t="array" ref="F577" xml:space="preserve"> ( mc(100, 3, 4, -1, 1, "EXP(x * sin(y))") ) - 7.39981</f>
        <v>-1.4802496162379333</v>
      </c>
      <c r="G577" cm="1">
        <f t="array" ref="G577" xml:space="preserve"> ( mc(500, 3, 4, -1, 1, "EXP(x * sin(y))") ) - 7.39981</f>
        <v>-3.7165863799533128E-3</v>
      </c>
      <c r="H577" cm="1">
        <f t="array" ref="H577" xml:space="preserve"> ( mc(1000, 3, 4, -1, 1, "EXP(x * sin(y))") ) - 7.39981</f>
        <v>-0.13255802301638298</v>
      </c>
      <c r="J577" cm="1">
        <f t="array" ref="J577" xml:space="preserve"> mc(100, -PI()/2,0,-1, 1, "ln(EXP(x * y))")</f>
        <v>-0.19784808289962885</v>
      </c>
      <c r="K577" cm="1">
        <f t="array" ref="K577" xml:space="preserve"> mc(500, -PI()/2,0,-1, 1, "ln(EXP(x * y))")</f>
        <v>1.4952402129695699E-2</v>
      </c>
      <c r="L577" cm="1">
        <f t="array" ref="L577" xml:space="preserve"> mc(1000, -PI()/2,0,-1, 1, "ln(EXP(x * y))")</f>
        <v>1.3747484215805223E-2</v>
      </c>
      <c r="N577" cm="1">
        <f t="array" ref="N577" xml:space="preserve"> mc(100, -PI()/2,PI()/2, 0, 1, "sin(cos(x + y))")-1.48235</f>
        <v>-0.12685990279741666</v>
      </c>
      <c r="O577" cm="1">
        <f t="array" ref="O577" xml:space="preserve"> mc(500, -PI()/2,PI()/2, 0, 1, "sin(cos(x + y))")-1.48235</f>
        <v>-2.0805867848925796E-2</v>
      </c>
      <c r="P577" cm="1">
        <f t="array" ref="P577" xml:space="preserve"> mc(1000, -PI()/2,PI()/2, 0, 1, "sin(cos(x + y))")-1.48235</f>
        <v>7.2306122664340666E-2</v>
      </c>
    </row>
    <row r="578" spans="1:16" x14ac:dyDescent="0.3">
      <c r="A578">
        <v>548</v>
      </c>
      <c r="B578" cm="1">
        <f t="array" ref="B578" xml:space="preserve"> mc(100, 0, 4, 1, 2, "x^2+y^2")-92/3</f>
        <v>-1.9238871475866937</v>
      </c>
      <c r="C578" cm="1">
        <f t="array" ref="C578" xml:space="preserve"> mc(500, 0, 4, 1, 2, "x^2+y^2")-92/3</f>
        <v>-0.84967400451942865</v>
      </c>
      <c r="D578" cm="1">
        <f t="array" ref="D578" xml:space="preserve"> mc(1000, 0, 4, 1, 2, "x^2+y^2")-92/3</f>
        <v>-1.1172448712791798</v>
      </c>
      <c r="F578" cm="1">
        <f t="array" ref="F578" xml:space="preserve"> ( mc(100, 3, 4, -1, 1, "EXP(x * sin(y))") ) - 7.39981</f>
        <v>0.77631909083876849</v>
      </c>
      <c r="G578" cm="1">
        <f t="array" ref="G578" xml:space="preserve"> ( mc(500, 3, 4, -1, 1, "EXP(x * sin(y))") ) - 7.39981</f>
        <v>-0.99403808815710093</v>
      </c>
      <c r="H578" cm="1">
        <f t="array" ref="H578" xml:space="preserve"> ( mc(1000, 3, 4, -1, 1, "EXP(x * sin(y))") ) - 7.39981</f>
        <v>0.19110637807109399</v>
      </c>
      <c r="J578" cm="1">
        <f t="array" ref="J578" xml:space="preserve"> mc(100, -PI()/2,0,-1, 1, "ln(EXP(x * y))")</f>
        <v>0.28319829814667458</v>
      </c>
      <c r="K578" cm="1">
        <f t="array" ref="K578" xml:space="preserve"> mc(500, -PI()/2,0,-1, 1, "ln(EXP(x * y))")</f>
        <v>0.17245852835840764</v>
      </c>
      <c r="L578" cm="1">
        <f t="array" ref="L578" xml:space="preserve"> mc(1000, -PI()/2,0,-1, 1, "ln(EXP(x * y))")</f>
        <v>-2.5944657687228947E-2</v>
      </c>
      <c r="N578" cm="1">
        <f t="array" ref="N578" xml:space="preserve"> mc(100, -PI()/2,PI()/2, 0, 1, "sin(cos(x + y))")-1.48235</f>
        <v>9.905675070971931E-2</v>
      </c>
      <c r="O578" cm="1">
        <f t="array" ref="O578" xml:space="preserve"> mc(500, -PI()/2,PI()/2, 0, 1, "sin(cos(x + y))")-1.48235</f>
        <v>2.553783888648109E-2</v>
      </c>
      <c r="P578" cm="1">
        <f t="array" ref="P578" xml:space="preserve"> mc(1000, -PI()/2,PI()/2, 0, 1, "sin(cos(x + y))")-1.48235</f>
        <v>2.0163503608554567E-3</v>
      </c>
    </row>
    <row r="579" spans="1:16" x14ac:dyDescent="0.3">
      <c r="A579">
        <v>549</v>
      </c>
      <c r="B579" cm="1">
        <f t="array" ref="B579" xml:space="preserve"> mc(100, 0, 4, 1, 2, "x^2+y^2")-92/3</f>
        <v>1.2086440890476418</v>
      </c>
      <c r="C579" cm="1">
        <f t="array" ref="C579" xml:space="preserve"> mc(500, 0, 4, 1, 2, "x^2+y^2")-92/3</f>
        <v>0.2989287014364983</v>
      </c>
      <c r="D579" cm="1">
        <f t="array" ref="D579" xml:space="preserve"> mc(1000, 0, 4, 1, 2, "x^2+y^2")-92/3</f>
        <v>2.8109376450302648E-4</v>
      </c>
      <c r="F579" cm="1">
        <f t="array" ref="F579" xml:space="preserve"> ( mc(100, 3, 4, -1, 1, "EXP(x * sin(y))") ) - 7.39981</f>
        <v>-6.5830458286137983E-3</v>
      </c>
      <c r="G579" cm="1">
        <f t="array" ref="G579" xml:space="preserve"> ( mc(500, 3, 4, -1, 1, "EXP(x * sin(y))") ) - 7.39981</f>
        <v>-0.77713440808255374</v>
      </c>
      <c r="H579" cm="1">
        <f t="array" ref="H579" xml:space="preserve"> ( mc(1000, 3, 4, -1, 1, "EXP(x * sin(y))") ) - 7.39981</f>
        <v>0.76354871397135859</v>
      </c>
      <c r="J579" cm="1">
        <f t="array" ref="J579" xml:space="preserve"> mc(100, -PI()/2,0,-1, 1, "ln(EXP(x * y))")</f>
        <v>-0.28420458188864672</v>
      </c>
      <c r="K579" cm="1">
        <f t="array" ref="K579" xml:space="preserve"> mc(500, -PI()/2,0,-1, 1, "ln(EXP(x * y))")</f>
        <v>4.5629427859503191E-2</v>
      </c>
      <c r="L579" cm="1">
        <f t="array" ref="L579" xml:space="preserve"> mc(1000, -PI()/2,0,-1, 1, "ln(EXP(x * y))")</f>
        <v>3.9391837036928647E-2</v>
      </c>
      <c r="N579" cm="1">
        <f t="array" ref="N579" xml:space="preserve"> mc(100, -PI()/2,PI()/2, 0, 1, "sin(cos(x + y))")-1.48235</f>
        <v>-0.17280239391152485</v>
      </c>
      <c r="O579" cm="1">
        <f t="array" ref="O579" xml:space="preserve"> mc(500, -PI()/2,PI()/2, 0, 1, "sin(cos(x + y))")-1.48235</f>
        <v>-0.16529189718588211</v>
      </c>
      <c r="P579" cm="1">
        <f t="array" ref="P579" xml:space="preserve"> mc(1000, -PI()/2,PI()/2, 0, 1, "sin(cos(x + y))")-1.48235</f>
        <v>2.1935573228393901E-2</v>
      </c>
    </row>
    <row r="580" spans="1:16" x14ac:dyDescent="0.3">
      <c r="A580">
        <v>550</v>
      </c>
      <c r="B580" cm="1">
        <f t="array" ref="B580" xml:space="preserve"> mc(100, 0, 4, 1, 2, "x^2+y^2")-92/3</f>
        <v>2.2244928693806294</v>
      </c>
      <c r="C580" cm="1">
        <f t="array" ref="C580" xml:space="preserve"> mc(500, 0, 4, 1, 2, "x^2+y^2")-92/3</f>
        <v>0.42822845344456084</v>
      </c>
      <c r="D580" cm="1">
        <f t="array" ref="D580" xml:space="preserve"> mc(1000, 0, 4, 1, 2, "x^2+y^2")-92/3</f>
        <v>-0.11932187586508647</v>
      </c>
      <c r="F580" cm="1">
        <f t="array" ref="F580" xml:space="preserve"> ( mc(100, 3, 4, -1, 1, "EXP(x * sin(y))") ) - 7.39981</f>
        <v>0.1687805702465095</v>
      </c>
      <c r="G580" cm="1">
        <f t="array" ref="G580" xml:space="preserve"> ( mc(500, 3, 4, -1, 1, "EXP(x * sin(y))") ) - 7.39981</f>
        <v>-0.13791509371280952</v>
      </c>
      <c r="H580" cm="1">
        <f t="array" ref="H580" xml:space="preserve"> ( mc(1000, 3, 4, -1, 1, "EXP(x * sin(y))") ) - 7.39981</f>
        <v>-2.958228431044585E-2</v>
      </c>
      <c r="J580" cm="1">
        <f t="array" ref="J580" xml:space="preserve"> mc(100, -PI()/2,0,-1, 1, "ln(EXP(x * y))")</f>
        <v>0.16803964219319317</v>
      </c>
      <c r="K580" cm="1">
        <f t="array" ref="K580" xml:space="preserve"> mc(500, -PI()/2,0,-1, 1, "ln(EXP(x * y))")</f>
        <v>8.6204751213206574E-2</v>
      </c>
      <c r="L580" cm="1">
        <f t="array" ref="L580" xml:space="preserve"> mc(1000, -PI()/2,0,-1, 1, "ln(EXP(x * y))")</f>
        <v>-0.11530457589383099</v>
      </c>
      <c r="N580" cm="1">
        <f t="array" ref="N580" xml:space="preserve"> mc(100, -PI()/2,PI()/2, 0, 1, "sin(cos(x + y))")-1.48235</f>
        <v>-7.8593644259894235E-2</v>
      </c>
      <c r="O580" cm="1">
        <f t="array" ref="O580" xml:space="preserve"> mc(500, -PI()/2,PI()/2, 0, 1, "sin(cos(x + y))")-1.48235</f>
        <v>4.3918025847088815E-2</v>
      </c>
      <c r="P580" cm="1">
        <f t="array" ref="P580" xml:space="preserve"> mc(1000, -PI()/2,PI()/2, 0, 1, "sin(cos(x + y))")-1.48235</f>
        <v>-2.7696291004222662E-2</v>
      </c>
    </row>
    <row r="581" spans="1:16" x14ac:dyDescent="0.3">
      <c r="A581">
        <v>551</v>
      </c>
      <c r="B581" cm="1">
        <f t="array" ref="B581" xml:space="preserve"> mc(100, 0, 4, 1, 2, "x^2+y^2")-92/3</f>
        <v>1.5421692057540319</v>
      </c>
      <c r="C581" cm="1">
        <f t="array" ref="C581" xml:space="preserve"> mc(500, 0, 4, 1, 2, "x^2+y^2")-92/3</f>
        <v>-7.5253026239437304E-2</v>
      </c>
      <c r="D581" cm="1">
        <f t="array" ref="D581" xml:space="preserve"> mc(1000, 0, 4, 1, 2, "x^2+y^2")-92/3</f>
        <v>-9.3875939263039498E-2</v>
      </c>
      <c r="F581" cm="1">
        <f t="array" ref="F581" xml:space="preserve"> ( mc(100, 3, 4, -1, 1, "EXP(x * sin(y))") ) - 7.39981</f>
        <v>2.0580316833998857</v>
      </c>
      <c r="G581" cm="1">
        <f t="array" ref="G581" xml:space="preserve"> ( mc(500, 3, 4, -1, 1, "EXP(x * sin(y))") ) - 7.39981</f>
        <v>-0.2880505535250002</v>
      </c>
      <c r="H581" cm="1">
        <f t="array" ref="H581" xml:space="preserve"> ( mc(1000, 3, 4, -1, 1, "EXP(x * sin(y))") ) - 7.39981</f>
        <v>-0.65223837115495265</v>
      </c>
      <c r="J581" cm="1">
        <f t="array" ref="J581" xml:space="preserve"> mc(100, -PI()/2,0,-1, 1, "ln(EXP(x * y))")</f>
        <v>0.36777953929703422</v>
      </c>
      <c r="K581" cm="1">
        <f t="array" ref="K581" xml:space="preserve"> mc(500, -PI()/2,0,-1, 1, "ln(EXP(x * y))")</f>
        <v>7.978201467301628E-2</v>
      </c>
      <c r="L581" cm="1">
        <f t="array" ref="L581" xml:space="preserve"> mc(1000, -PI()/2,0,-1, 1, "ln(EXP(x * y))")</f>
        <v>-7.8430790172675322E-3</v>
      </c>
      <c r="N581" cm="1">
        <f t="array" ref="N581" xml:space="preserve"> mc(100, -PI()/2,PI()/2, 0, 1, "sin(cos(x + y))")-1.48235</f>
        <v>-0.15032745894475519</v>
      </c>
      <c r="O581" cm="1">
        <f t="array" ref="O581" xml:space="preserve"> mc(500, -PI()/2,PI()/2, 0, 1, "sin(cos(x + y))")-1.48235</f>
        <v>-5.188511289106712E-2</v>
      </c>
      <c r="P581" cm="1">
        <f t="array" ref="P581" xml:space="preserve"> mc(1000, -PI()/2,PI()/2, 0, 1, "sin(cos(x + y))")-1.48235</f>
        <v>7.5186252560902167E-2</v>
      </c>
    </row>
    <row r="582" spans="1:16" x14ac:dyDescent="0.3">
      <c r="A582">
        <v>552</v>
      </c>
      <c r="B582" cm="1">
        <f t="array" ref="B582" xml:space="preserve"> mc(100, 0, 4, 1, 2, "x^2+y^2")-92/3</f>
        <v>-0.28003053436725267</v>
      </c>
      <c r="C582" cm="1">
        <f t="array" ref="C582" xml:space="preserve"> mc(500, 0, 4, 1, 2, "x^2+y^2")-92/3</f>
        <v>-0.50688205079477555</v>
      </c>
      <c r="D582" cm="1">
        <f t="array" ref="D582" xml:space="preserve"> mc(1000, 0, 4, 1, 2, "x^2+y^2")-92/3</f>
        <v>0.33267026385387055</v>
      </c>
      <c r="F582" cm="1">
        <f t="array" ref="F582" xml:space="preserve"> ( mc(100, 3, 4, -1, 1, "EXP(x * sin(y))") ) - 7.39981</f>
        <v>-1.0457336383400735</v>
      </c>
      <c r="G582" cm="1">
        <f t="array" ref="G582" xml:space="preserve"> ( mc(500, 3, 4, -1, 1, "EXP(x * sin(y))") ) - 7.39981</f>
        <v>-5.5050869309254402E-2</v>
      </c>
      <c r="H582" cm="1">
        <f t="array" ref="H582" xml:space="preserve"> ( mc(1000, 3, 4, -1, 1, "EXP(x * sin(y))") ) - 7.39981</f>
        <v>0.42312197009386665</v>
      </c>
      <c r="J582" cm="1">
        <f t="array" ref="J582" xml:space="preserve"> mc(100, -PI()/2,0,-1, 1, "ln(EXP(x * y))")</f>
        <v>-9.9352000271131724E-2</v>
      </c>
      <c r="K582" cm="1">
        <f t="array" ref="K582" xml:space="preserve"> mc(500, -PI()/2,0,-1, 1, "ln(EXP(x * y))")</f>
        <v>-6.3604563961519145E-2</v>
      </c>
      <c r="L582" cm="1">
        <f t="array" ref="L582" xml:space="preserve"> mc(1000, -PI()/2,0,-1, 1, "ln(EXP(x * y))")</f>
        <v>-6.7515476519796988E-2</v>
      </c>
      <c r="N582" cm="1">
        <f t="array" ref="N582" xml:space="preserve"> mc(100, -PI()/2,PI()/2, 0, 1, "sin(cos(x + y))")-1.48235</f>
        <v>7.887986527123747E-3</v>
      </c>
      <c r="O582" cm="1">
        <f t="array" ref="O582" xml:space="preserve"> mc(500, -PI()/2,PI()/2, 0, 1, "sin(cos(x + y))")-1.48235</f>
        <v>2.9019123259922397E-2</v>
      </c>
      <c r="P582" cm="1">
        <f t="array" ref="P582" xml:space="preserve"> mc(1000, -PI()/2,PI()/2, 0, 1, "sin(cos(x + y))")-1.48235</f>
        <v>-3.8269233752705745E-3</v>
      </c>
    </row>
    <row r="583" spans="1:16" x14ac:dyDescent="0.3">
      <c r="A583">
        <v>553</v>
      </c>
      <c r="B583" cm="1">
        <f t="array" ref="B583" xml:space="preserve"> mc(100, 0, 4, 1, 2, "x^2+y^2")-92/3</f>
        <v>-0.45145070620234762</v>
      </c>
      <c r="C583" cm="1">
        <f t="array" ref="C583" xml:space="preserve"> mc(500, 0, 4, 1, 2, "x^2+y^2")-92/3</f>
        <v>2.462251362697998E-2</v>
      </c>
      <c r="D583" cm="1">
        <f t="array" ref="D583" xml:space="preserve"> mc(1000, 0, 4, 1, 2, "x^2+y^2")-92/3</f>
        <v>-0.12332965058244127</v>
      </c>
      <c r="F583" cm="1">
        <f t="array" ref="F583" xml:space="preserve"> ( mc(100, 3, 4, -1, 1, "EXP(x * sin(y))") ) - 7.39981</f>
        <v>-0.72380611011487694</v>
      </c>
      <c r="G583" cm="1">
        <f t="array" ref="G583" xml:space="preserve"> ( mc(500, 3, 4, -1, 1, "EXP(x * sin(y))") ) - 7.39981</f>
        <v>-0.2911683345388143</v>
      </c>
      <c r="H583" cm="1">
        <f t="array" ref="H583" xml:space="preserve"> ( mc(1000, 3, 4, -1, 1, "EXP(x * sin(y))") ) - 7.39981</f>
        <v>0.3293761624161089</v>
      </c>
      <c r="J583" cm="1">
        <f t="array" ref="J583" xml:space="preserve"> mc(100, -PI()/2,0,-1, 1, "ln(EXP(x * y))")</f>
        <v>-6.3853087446352097E-2</v>
      </c>
      <c r="K583" cm="1">
        <f t="array" ref="K583" xml:space="preserve"> mc(500, -PI()/2,0,-1, 1, "ln(EXP(x * y))")</f>
        <v>4.8195939410208465E-2</v>
      </c>
      <c r="L583" cm="1">
        <f t="array" ref="L583" xml:space="preserve"> mc(1000, -PI()/2,0,-1, 1, "ln(EXP(x * y))")</f>
        <v>7.4432919106916968E-3</v>
      </c>
      <c r="N583" cm="1">
        <f t="array" ref="N583" xml:space="preserve"> mc(100, -PI()/2,PI()/2, 0, 1, "sin(cos(x + y))")-1.48235</f>
        <v>-6.1403450861640563E-2</v>
      </c>
      <c r="O583" cm="1">
        <f t="array" ref="O583" xml:space="preserve"> mc(500, -PI()/2,PI()/2, 0, 1, "sin(cos(x + y))")-1.48235</f>
        <v>2.8161592235497857E-2</v>
      </c>
      <c r="P583" cm="1">
        <f t="array" ref="P583" xml:space="preserve"> mc(1000, -PI()/2,PI()/2, 0, 1, "sin(cos(x + y))")-1.48235</f>
        <v>1.103329630441463E-2</v>
      </c>
    </row>
    <row r="584" spans="1:16" x14ac:dyDescent="0.3">
      <c r="A584">
        <v>554</v>
      </c>
      <c r="B584" cm="1">
        <f t="array" ref="B584" xml:space="preserve"> mc(100, 0, 4, 1, 2, "x^2+y^2")-92/3</f>
        <v>-0.21733689410021029</v>
      </c>
      <c r="C584" cm="1">
        <f t="array" ref="C584" xml:space="preserve"> mc(500, 0, 4, 1, 2, "x^2+y^2")-92/3</f>
        <v>-9.8372253360341944E-2</v>
      </c>
      <c r="D584" cm="1">
        <f t="array" ref="D584" xml:space="preserve"> mc(1000, 0, 4, 1, 2, "x^2+y^2")-92/3</f>
        <v>-0.47442117091732428</v>
      </c>
      <c r="F584" cm="1">
        <f t="array" ref="F584" xml:space="preserve"> ( mc(100, 3, 4, -1, 1, "EXP(x * sin(y))") ) - 7.39981</f>
        <v>0.8924376188611518</v>
      </c>
      <c r="G584" cm="1">
        <f t="array" ref="G584" xml:space="preserve"> ( mc(500, 3, 4, -1, 1, "EXP(x * sin(y))") ) - 7.39981</f>
        <v>0.3512350528931627</v>
      </c>
      <c r="H584" cm="1">
        <f t="array" ref="H584" xml:space="preserve"> ( mc(1000, 3, 4, -1, 1, "EXP(x * sin(y))") ) - 7.39981</f>
        <v>0.62679614546480877</v>
      </c>
      <c r="J584" cm="1">
        <f t="array" ref="J584" xml:space="preserve"> mc(100, -PI()/2,0,-1, 1, "ln(EXP(x * y))")</f>
        <v>-0.1688548893395945</v>
      </c>
      <c r="K584" cm="1">
        <f t="array" ref="K584" xml:space="preserve"> mc(500, -PI()/2,0,-1, 1, "ln(EXP(x * y))")</f>
        <v>-1.5909220978632725E-2</v>
      </c>
      <c r="L584" cm="1">
        <f t="array" ref="L584" xml:space="preserve"> mc(1000, -PI()/2,0,-1, 1, "ln(EXP(x * y))")</f>
        <v>1.0331034673679271E-2</v>
      </c>
      <c r="N584" cm="1">
        <f t="array" ref="N584" xml:space="preserve"> mc(100, -PI()/2,PI()/2, 0, 1, "sin(cos(x + y))")-1.48235</f>
        <v>4.7191203040988228E-3</v>
      </c>
      <c r="O584" cm="1">
        <f t="array" ref="O584" xml:space="preserve"> mc(500, -PI()/2,PI()/2, 0, 1, "sin(cos(x + y))")-1.48235</f>
        <v>-3.099695145194481E-3</v>
      </c>
      <c r="P584" cm="1">
        <f t="array" ref="P584" xml:space="preserve"> mc(1000, -PI()/2,PI()/2, 0, 1, "sin(cos(x + y))")-1.48235</f>
        <v>1.5541661947708674E-2</v>
      </c>
    </row>
    <row r="585" spans="1:16" x14ac:dyDescent="0.3">
      <c r="A585">
        <v>555</v>
      </c>
      <c r="B585" cm="1">
        <f t="array" ref="B585" xml:space="preserve"> mc(100, 0, 4, 1, 2, "x^2+y^2")-92/3</f>
        <v>0.21287153872044939</v>
      </c>
      <c r="C585" cm="1">
        <f t="array" ref="C585" xml:space="preserve"> mc(500, 0, 4, 1, 2, "x^2+y^2")-92/3</f>
        <v>8.0607674298200038E-2</v>
      </c>
      <c r="D585" cm="1">
        <f t="array" ref="D585" xml:space="preserve"> mc(1000, 0, 4, 1, 2, "x^2+y^2")-92/3</f>
        <v>-0.24785640404969911</v>
      </c>
      <c r="F585" cm="1">
        <f t="array" ref="F585" xml:space="preserve"> ( mc(100, 3, 4, -1, 1, "EXP(x * sin(y))") ) - 7.39981</f>
        <v>0.84569665837814512</v>
      </c>
      <c r="G585" cm="1">
        <f t="array" ref="G585" xml:space="preserve"> ( mc(500, 3, 4, -1, 1, "EXP(x * sin(y))") ) - 7.39981</f>
        <v>-0.60835194818478122</v>
      </c>
      <c r="H585" cm="1">
        <f t="array" ref="H585" xml:space="preserve"> ( mc(1000, 3, 4, -1, 1, "EXP(x * sin(y))") ) - 7.39981</f>
        <v>7.0657938665108055E-2</v>
      </c>
      <c r="J585" cm="1">
        <f t="array" ref="J585" xml:space="preserve"> mc(100, -PI()/2,0,-1, 1, "ln(EXP(x * y))")</f>
        <v>-0.16788803682497203</v>
      </c>
      <c r="K585" cm="1">
        <f t="array" ref="K585" xml:space="preserve"> mc(500, -PI()/2,0,-1, 1, "ln(EXP(x * y))")</f>
        <v>6.0691800344743002E-2</v>
      </c>
      <c r="L585" cm="1">
        <f t="array" ref="L585" xml:space="preserve"> mc(1000, -PI()/2,0,-1, 1, "ln(EXP(x * y))")</f>
        <v>1.9052233248278202E-2</v>
      </c>
      <c r="N585" cm="1">
        <f t="array" ref="N585" xml:space="preserve"> mc(100, -PI()/2,PI()/2, 0, 1, "sin(cos(x + y))")-1.48235</f>
        <v>-0.12486883730708076</v>
      </c>
      <c r="O585" cm="1">
        <f t="array" ref="O585" xml:space="preserve"> mc(500, -PI()/2,PI()/2, 0, 1, "sin(cos(x + y))")-1.48235</f>
        <v>3.9006726454577256E-2</v>
      </c>
      <c r="P585" cm="1">
        <f t="array" ref="P585" xml:space="preserve"> mc(1000, -PI()/2,PI()/2, 0, 1, "sin(cos(x + y))")-1.48235</f>
        <v>-7.8439810055041193E-2</v>
      </c>
    </row>
    <row r="586" spans="1:16" x14ac:dyDescent="0.3">
      <c r="A586">
        <v>556</v>
      </c>
      <c r="B586" cm="1">
        <f t="array" ref="B586" xml:space="preserve"> mc(100, 0, 4, 1, 2, "x^2+y^2")-92/3</f>
        <v>0.49959722617293778</v>
      </c>
      <c r="C586" cm="1">
        <f t="array" ref="C586" xml:space="preserve"> mc(500, 0, 4, 1, 2, "x^2+y^2")-92/3</f>
        <v>1.8959602361126393</v>
      </c>
      <c r="D586" cm="1">
        <f t="array" ref="D586" xml:space="preserve"> mc(1000, 0, 4, 1, 2, "x^2+y^2")-92/3</f>
        <v>-0.46516507403093144</v>
      </c>
      <c r="F586" cm="1">
        <f t="array" ref="F586" xml:space="preserve"> ( mc(100, 3, 4, -1, 1, "EXP(x * sin(y))") ) - 7.39981</f>
        <v>2.9030483069033952</v>
      </c>
      <c r="G586" cm="1">
        <f t="array" ref="G586" xml:space="preserve"> ( mc(500, 3, 4, -1, 1, "EXP(x * sin(y))") ) - 7.39981</f>
        <v>0.34735303046277632</v>
      </c>
      <c r="H586" cm="1">
        <f t="array" ref="H586" xml:space="preserve"> ( mc(1000, 3, 4, -1, 1, "EXP(x * sin(y))") ) - 7.39981</f>
        <v>7.2994123583021597E-2</v>
      </c>
      <c r="J586" cm="1">
        <f t="array" ref="J586" xml:space="preserve"> mc(100, -PI()/2,0,-1, 1, "ln(EXP(x * y))")</f>
        <v>4.7921130417647742E-2</v>
      </c>
      <c r="K586" cm="1">
        <f t="array" ref="K586" xml:space="preserve"> mc(500, -PI()/2,0,-1, 1, "ln(EXP(x * y))")</f>
        <v>-9.1791945421920554E-2</v>
      </c>
      <c r="L586" cm="1">
        <f t="array" ref="L586" xml:space="preserve"> mc(1000, -PI()/2,0,-1, 1, "ln(EXP(x * y))")</f>
        <v>1.4196527898808421E-2</v>
      </c>
      <c r="N586" cm="1">
        <f t="array" ref="N586" xml:space="preserve"> mc(100, -PI()/2,PI()/2, 0, 1, "sin(cos(x + y))")-1.48235</f>
        <v>0.14359906220546859</v>
      </c>
      <c r="O586" cm="1">
        <f t="array" ref="O586" xml:space="preserve"> mc(500, -PI()/2,PI()/2, 0, 1, "sin(cos(x + y))")-1.48235</f>
        <v>1.157237433333691E-2</v>
      </c>
      <c r="P586" cm="1">
        <f t="array" ref="P586" xml:space="preserve"> mc(1000, -PI()/2,PI()/2, 0, 1, "sin(cos(x + y))")-1.48235</f>
        <v>-3.8838132151719496E-3</v>
      </c>
    </row>
    <row r="587" spans="1:16" x14ac:dyDescent="0.3">
      <c r="A587">
        <v>557</v>
      </c>
      <c r="B587" cm="1">
        <f t="array" ref="B587" xml:space="preserve"> mc(100, 0, 4, 1, 2, "x^2+y^2")-92/3</f>
        <v>4.5575072246455441</v>
      </c>
      <c r="C587" cm="1">
        <f t="array" ref="C587" xml:space="preserve"> mc(500, 0, 4, 1, 2, "x^2+y^2")-92/3</f>
        <v>-0.4951725709264494</v>
      </c>
      <c r="D587" cm="1">
        <f t="array" ref="D587" xml:space="preserve"> mc(1000, 0, 4, 1, 2, "x^2+y^2")-92/3</f>
        <v>-8.7672860734500091E-4</v>
      </c>
      <c r="F587" cm="1">
        <f t="array" ref="F587" xml:space="preserve"> ( mc(100, 3, 4, -1, 1, "EXP(x * sin(y))") ) - 7.39981</f>
        <v>-0.39341867095592242</v>
      </c>
      <c r="G587" cm="1">
        <f t="array" ref="G587" xml:space="preserve"> ( mc(500, 3, 4, -1, 1, "EXP(x * sin(y))") ) - 7.39981</f>
        <v>0.15641996375508693</v>
      </c>
      <c r="H587" cm="1">
        <f t="array" ref="H587" xml:space="preserve"> ( mc(1000, 3, 4, -1, 1, "EXP(x * sin(y))") ) - 7.39981</f>
        <v>-3.5963494359858572E-2</v>
      </c>
      <c r="J587" cm="1">
        <f t="array" ref="J587" xml:space="preserve"> mc(100, -PI()/2,0,-1, 1, "ln(EXP(x * y))")</f>
        <v>6.6660766088787904E-2</v>
      </c>
      <c r="K587" cm="1">
        <f t="array" ref="K587" xml:space="preserve"> mc(500, -PI()/2,0,-1, 1, "ln(EXP(x * y))")</f>
        <v>7.6779715537868234E-2</v>
      </c>
      <c r="L587" cm="1">
        <f t="array" ref="L587" xml:space="preserve"> mc(1000, -PI()/2,0,-1, 1, "ln(EXP(x * y))")</f>
        <v>-3.2025307131011274E-2</v>
      </c>
      <c r="N587" cm="1">
        <f t="array" ref="N587" xml:space="preserve"> mc(100, -PI()/2,PI()/2, 0, 1, "sin(cos(x + y))")-1.48235</f>
        <v>2.8990560895622464E-2</v>
      </c>
      <c r="O587" cm="1">
        <f t="array" ref="O587" xml:space="preserve"> mc(500, -PI()/2,PI()/2, 0, 1, "sin(cos(x + y))")-1.48235</f>
        <v>4.639066730672381E-2</v>
      </c>
      <c r="P587" cm="1">
        <f t="array" ref="P587" xml:space="preserve"> mc(1000, -PI()/2,PI()/2, 0, 1, "sin(cos(x + y))")-1.48235</f>
        <v>-3.8127934356435356E-2</v>
      </c>
    </row>
    <row r="588" spans="1:16" x14ac:dyDescent="0.3">
      <c r="A588">
        <v>558</v>
      </c>
      <c r="B588" cm="1">
        <f t="array" ref="B588" xml:space="preserve"> mc(100, 0, 4, 1, 2, "x^2+y^2")-92/3</f>
        <v>-0.67966278749678821</v>
      </c>
      <c r="C588" cm="1">
        <f t="array" ref="C588" xml:space="preserve"> mc(500, 0, 4, 1, 2, "x^2+y^2")-92/3</f>
        <v>-0.22589905565245871</v>
      </c>
      <c r="D588" cm="1">
        <f t="array" ref="D588" xml:space="preserve"> mc(1000, 0, 4, 1, 2, "x^2+y^2")-92/3</f>
        <v>0.83870762100700702</v>
      </c>
      <c r="F588" cm="1">
        <f t="array" ref="F588" xml:space="preserve"> ( mc(100, 3, 4, -1, 1, "EXP(x * sin(y))") ) - 7.39981</f>
        <v>-1.3315157255766978</v>
      </c>
      <c r="G588" cm="1">
        <f t="array" ref="G588" xml:space="preserve"> ( mc(500, 3, 4, -1, 1, "EXP(x * sin(y))") ) - 7.39981</f>
        <v>-0.35893258664858685</v>
      </c>
      <c r="H588" cm="1">
        <f t="array" ref="H588" xml:space="preserve"> ( mc(1000, 3, 4, -1, 1, "EXP(x * sin(y))") ) - 7.39981</f>
        <v>-0.19721035185448876</v>
      </c>
      <c r="J588" cm="1">
        <f t="array" ref="J588" xml:space="preserve"> mc(100, -PI()/2,0,-1, 1, "ln(EXP(x * y))")</f>
        <v>-0.10660452123477757</v>
      </c>
      <c r="K588" cm="1">
        <f t="array" ref="K588" xml:space="preserve"> mc(500, -PI()/2,0,-1, 1, "ln(EXP(x * y))")</f>
        <v>-8.7273521834442078E-2</v>
      </c>
      <c r="L588" cm="1">
        <f t="array" ref="L588" xml:space="preserve"> mc(1000, -PI()/2,0,-1, 1, "ln(EXP(x * y))")</f>
        <v>1.3129623134799701E-2</v>
      </c>
      <c r="N588" cm="1">
        <f t="array" ref="N588" xml:space="preserve"> mc(100, -PI()/2,PI()/2, 0, 1, "sin(cos(x + y))")-1.48235</f>
        <v>0.17189414888603749</v>
      </c>
      <c r="O588" cm="1">
        <f t="array" ref="O588" xml:space="preserve"> mc(500, -PI()/2,PI()/2, 0, 1, "sin(cos(x + y))")-1.48235</f>
        <v>-3.2545937624925525E-2</v>
      </c>
      <c r="P588" cm="1">
        <f t="array" ref="P588" xml:space="preserve"> mc(1000, -PI()/2,PI()/2, 0, 1, "sin(cos(x + y))")-1.48235</f>
        <v>-1.3883556484468595E-2</v>
      </c>
    </row>
    <row r="589" spans="1:16" x14ac:dyDescent="0.3">
      <c r="A589">
        <v>559</v>
      </c>
      <c r="B589" cm="1">
        <f t="array" ref="B589" xml:space="preserve"> mc(100, 0, 4, 1, 2, "x^2+y^2")-92/3</f>
        <v>-0.83889930445152316</v>
      </c>
      <c r="C589" cm="1">
        <f t="array" ref="C589" xml:space="preserve"> mc(500, 0, 4, 1, 2, "x^2+y^2")-92/3</f>
        <v>-0.53557965945121921</v>
      </c>
      <c r="D589" cm="1">
        <f t="array" ref="D589" xml:space="preserve"> mc(1000, 0, 4, 1, 2, "x^2+y^2")-92/3</f>
        <v>0.69875109815268033</v>
      </c>
      <c r="F589" cm="1">
        <f t="array" ref="F589" xml:space="preserve"> ( mc(100, 3, 4, -1, 1, "EXP(x * sin(y))") ) - 7.39981</f>
        <v>-0.3915407360371379</v>
      </c>
      <c r="G589" cm="1">
        <f t="array" ref="G589" xml:space="preserve"> ( mc(500, 3, 4, -1, 1, "EXP(x * sin(y))") ) - 7.39981</f>
        <v>0.50666155632899024</v>
      </c>
      <c r="H589" cm="1">
        <f t="array" ref="H589" xml:space="preserve"> ( mc(1000, 3, 4, -1, 1, "EXP(x * sin(y))") ) - 7.39981</f>
        <v>0.58182543508753692</v>
      </c>
      <c r="J589" cm="1">
        <f t="array" ref="J589" xml:space="preserve"> mc(100, -PI()/2,0,-1, 1, "ln(EXP(x * y))")</f>
        <v>0.15345444358448573</v>
      </c>
      <c r="K589" cm="1">
        <f t="array" ref="K589" xml:space="preserve"> mc(500, -PI()/2,0,-1, 1, "ln(EXP(x * y))")</f>
        <v>9.7165618284398736E-2</v>
      </c>
      <c r="L589" cm="1">
        <f t="array" ref="L589" xml:space="preserve"> mc(1000, -PI()/2,0,-1, 1, "ln(EXP(x * y))")</f>
        <v>4.3595936335195526E-2</v>
      </c>
      <c r="N589" cm="1">
        <f t="array" ref="N589" xml:space="preserve"> mc(100, -PI()/2,PI()/2, 0, 1, "sin(cos(x + y))")-1.48235</f>
        <v>-0.12017720668026577</v>
      </c>
      <c r="O589" cm="1">
        <f t="array" ref="O589" xml:space="preserve"> mc(500, -PI()/2,PI()/2, 0, 1, "sin(cos(x + y))")-1.48235</f>
        <v>-2.618411308042079E-3</v>
      </c>
      <c r="P589" cm="1">
        <f t="array" ref="P589" xml:space="preserve"> mc(1000, -PI()/2,PI()/2, 0, 1, "sin(cos(x + y))")-1.48235</f>
        <v>4.3808692541256189E-2</v>
      </c>
    </row>
    <row r="590" spans="1:16" x14ac:dyDescent="0.3">
      <c r="A590">
        <v>560</v>
      </c>
      <c r="B590" cm="1">
        <f t="array" ref="B590" xml:space="preserve"> mc(100, 0, 4, 1, 2, "x^2+y^2")-92/3</f>
        <v>3.1659482048752245</v>
      </c>
      <c r="C590" cm="1">
        <f t="array" ref="C590" xml:space="preserve"> mc(500, 0, 4, 1, 2, "x^2+y^2")-92/3</f>
        <v>-0.69291207412021549</v>
      </c>
      <c r="D590" cm="1">
        <f t="array" ref="D590" xml:space="preserve"> mc(1000, 0, 4, 1, 2, "x^2+y^2")-92/3</f>
        <v>-0.15545537780110052</v>
      </c>
      <c r="F590" cm="1">
        <f t="array" ref="F590" xml:space="preserve"> ( mc(100, 3, 4, -1, 1, "EXP(x * sin(y))") ) - 7.39981</f>
        <v>0.10117853495371065</v>
      </c>
      <c r="G590" cm="1">
        <f t="array" ref="G590" xml:space="preserve"> ( mc(500, 3, 4, -1, 1, "EXP(x * sin(y))") ) - 7.39981</f>
        <v>-0.39308121129551576</v>
      </c>
      <c r="H590" cm="1">
        <f t="array" ref="H590" xml:space="preserve"> ( mc(1000, 3, 4, -1, 1, "EXP(x * sin(y))") ) - 7.39981</f>
        <v>-0.25516839757444743</v>
      </c>
      <c r="J590" cm="1">
        <f t="array" ref="J590" xml:space="preserve"> mc(100, -PI()/2,0,-1, 1, "ln(EXP(x * y))")</f>
        <v>-0.34063390887463896</v>
      </c>
      <c r="K590" cm="1">
        <f t="array" ref="K590" xml:space="preserve"> mc(500, -PI()/2,0,-1, 1, "ln(EXP(x * y))")</f>
        <v>4.2883613610258733E-2</v>
      </c>
      <c r="L590" cm="1">
        <f t="array" ref="L590" xml:space="preserve"> mc(1000, -PI()/2,0,-1, 1, "ln(EXP(x * y))")</f>
        <v>-0.10357917610442606</v>
      </c>
      <c r="N590" cm="1">
        <f t="array" ref="N590" xml:space="preserve"> mc(100, -PI()/2,PI()/2, 0, 1, "sin(cos(x + y))")-1.48235</f>
        <v>0.20622322138847982</v>
      </c>
      <c r="O590" cm="1">
        <f t="array" ref="O590" xml:space="preserve"> mc(500, -PI()/2,PI()/2, 0, 1, "sin(cos(x + y))")-1.48235</f>
        <v>-1.6587266619473517E-2</v>
      </c>
      <c r="P590" cm="1">
        <f t="array" ref="P590" xml:space="preserve"> mc(1000, -PI()/2,PI()/2, 0, 1, "sin(cos(x + y))")-1.48235</f>
        <v>-1.292511044664324E-2</v>
      </c>
    </row>
    <row r="591" spans="1:16" x14ac:dyDescent="0.3">
      <c r="A591">
        <v>561</v>
      </c>
      <c r="B591" cm="1">
        <f t="array" ref="B591" xml:space="preserve"> mc(100, 0, 4, 1, 2, "x^2+y^2")-92/3</f>
        <v>-1.9597087416580017</v>
      </c>
      <c r="C591" cm="1">
        <f t="array" ref="C591" xml:space="preserve"> mc(500, 0, 4, 1, 2, "x^2+y^2")-92/3</f>
        <v>-1.9385793179582116</v>
      </c>
      <c r="D591" cm="1">
        <f t="array" ref="D591" xml:space="preserve"> mc(1000, 0, 4, 1, 2, "x^2+y^2")-92/3</f>
        <v>7.0542337292316404E-3</v>
      </c>
      <c r="F591" cm="1">
        <f t="array" ref="F591" xml:space="preserve"> ( mc(100, 3, 4, -1, 1, "EXP(x * sin(y))") ) - 7.39981</f>
        <v>-0.91254832853985679</v>
      </c>
      <c r="G591" cm="1">
        <f t="array" ref="G591" xml:space="preserve"> ( mc(500, 3, 4, -1, 1, "EXP(x * sin(y))") ) - 7.39981</f>
        <v>0.21340253856714586</v>
      </c>
      <c r="H591" cm="1">
        <f t="array" ref="H591" xml:space="preserve"> ( mc(1000, 3, 4, -1, 1, "EXP(x * sin(y))") ) - 7.39981</f>
        <v>0.38932972557963907</v>
      </c>
      <c r="J591" cm="1">
        <f t="array" ref="J591" xml:space="preserve"> mc(100, -PI()/2,0,-1, 1, "ln(EXP(x * y))")</f>
        <v>-0.29451470526532142</v>
      </c>
      <c r="K591" cm="1">
        <f t="array" ref="K591" xml:space="preserve"> mc(500, -PI()/2,0,-1, 1, "ln(EXP(x * y))")</f>
        <v>-0.19664725535707961</v>
      </c>
      <c r="L591" cm="1">
        <f t="array" ref="L591" xml:space="preserve"> mc(1000, -PI()/2,0,-1, 1, "ln(EXP(x * y))")</f>
        <v>2.290372297530489E-2</v>
      </c>
      <c r="N591" cm="1">
        <f t="array" ref="N591" xml:space="preserve"> mc(100, -PI()/2,PI()/2, 0, 1, "sin(cos(x + y))")-1.48235</f>
        <v>7.8794542451076754E-2</v>
      </c>
      <c r="O591" cm="1">
        <f t="array" ref="O591" xml:space="preserve"> mc(500, -PI()/2,PI()/2, 0, 1, "sin(cos(x + y))")-1.48235</f>
        <v>1.4512063765876881E-2</v>
      </c>
      <c r="P591" cm="1">
        <f t="array" ref="P591" xml:space="preserve"> mc(1000, -PI()/2,PI()/2, 0, 1, "sin(cos(x + y))")-1.48235</f>
        <v>2.0318960298304489E-2</v>
      </c>
    </row>
    <row r="592" spans="1:16" x14ac:dyDescent="0.3">
      <c r="A592">
        <v>562</v>
      </c>
      <c r="B592" cm="1">
        <f t="array" ref="B592" xml:space="preserve"> mc(100, 0, 4, 1, 2, "x^2+y^2")-92/3</f>
        <v>-2.4706117502492191</v>
      </c>
      <c r="C592" cm="1">
        <f t="array" ref="C592" xml:space="preserve"> mc(500, 0, 4, 1, 2, "x^2+y^2")-92/3</f>
        <v>-0.62878337522694139</v>
      </c>
      <c r="D592" cm="1">
        <f t="array" ref="D592" xml:space="preserve"> mc(1000, 0, 4, 1, 2, "x^2+y^2")-92/3</f>
        <v>-9.070733051504476E-2</v>
      </c>
      <c r="F592" cm="1">
        <f t="array" ref="F592" xml:space="preserve"> ( mc(100, 3, 4, -1, 1, "EXP(x * sin(y))") ) - 7.39981</f>
        <v>-0.60336959833886272</v>
      </c>
      <c r="G592" cm="1">
        <f t="array" ref="G592" xml:space="preserve"> ( mc(500, 3, 4, -1, 1, "EXP(x * sin(y))") ) - 7.39981</f>
        <v>-0.11487369434569228</v>
      </c>
      <c r="H592" cm="1">
        <f t="array" ref="H592" xml:space="preserve"> ( mc(1000, 3, 4, -1, 1, "EXP(x * sin(y))") ) - 7.39981</f>
        <v>3.6825876151955761E-2</v>
      </c>
      <c r="J592" cm="1">
        <f t="array" ref="J592" xml:space="preserve"> mc(100, -PI()/2,0,-1, 1, "ln(EXP(x * y))")</f>
        <v>7.0899870889872346E-2</v>
      </c>
      <c r="K592" cm="1">
        <f t="array" ref="K592" xml:space="preserve"> mc(500, -PI()/2,0,-1, 1, "ln(EXP(x * y))")</f>
        <v>-9.920952769072058E-3</v>
      </c>
      <c r="L592" cm="1">
        <f t="array" ref="L592" xml:space="preserve"> mc(1000, -PI()/2,0,-1, 1, "ln(EXP(x * y))")</f>
        <v>-6.7048034215166891E-2</v>
      </c>
      <c r="N592" cm="1">
        <f t="array" ref="N592" xml:space="preserve"> mc(100, -PI()/2,PI()/2, 0, 1, "sin(cos(x + y))")-1.48235</f>
        <v>7.883577321224311E-2</v>
      </c>
      <c r="O592" cm="1">
        <f t="array" ref="O592" xml:space="preserve"> mc(500, -PI()/2,PI()/2, 0, 1, "sin(cos(x + y))")-1.48235</f>
        <v>-9.3515273409474187E-2</v>
      </c>
      <c r="P592" cm="1">
        <f t="array" ref="P592" xml:space="preserve"> mc(1000, -PI()/2,PI()/2, 0, 1, "sin(cos(x + y))")-1.48235</f>
        <v>-1.1516356188908672E-2</v>
      </c>
    </row>
    <row r="593" spans="1:16" x14ac:dyDescent="0.3">
      <c r="A593">
        <v>563</v>
      </c>
      <c r="B593" cm="1">
        <f t="array" ref="B593" xml:space="preserve"> mc(100, 0, 4, 1, 2, "x^2+y^2")-92/3</f>
        <v>-2.4756332818437699</v>
      </c>
      <c r="C593" cm="1">
        <f t="array" ref="C593" xml:space="preserve"> mc(500, 0, 4, 1, 2, "x^2+y^2")-92/3</f>
        <v>-0.73416271715166914</v>
      </c>
      <c r="D593" cm="1">
        <f t="array" ref="D593" xml:space="preserve"> mc(1000, 0, 4, 1, 2, "x^2+y^2")-92/3</f>
        <v>9.4759150033659978E-2</v>
      </c>
      <c r="F593" cm="1">
        <f t="array" ref="F593" xml:space="preserve"> ( mc(100, 3, 4, -1, 1, "EXP(x * sin(y))") ) - 7.39981</f>
        <v>-0.18152196608304294</v>
      </c>
      <c r="G593" cm="1">
        <f t="array" ref="G593" xml:space="preserve"> ( mc(500, 3, 4, -1, 1, "EXP(x * sin(y))") ) - 7.39981</f>
        <v>-0.30257396437823481</v>
      </c>
      <c r="H593" cm="1">
        <f t="array" ref="H593" xml:space="preserve"> ( mc(1000, 3, 4, -1, 1, "EXP(x * sin(y))") ) - 7.39981</f>
        <v>5.2782453074211588E-2</v>
      </c>
      <c r="J593" cm="1">
        <f t="array" ref="J593" xml:space="preserve"> mc(100, -PI()/2,0,-1, 1, "ln(EXP(x * y))")</f>
        <v>-0.19424528678940298</v>
      </c>
      <c r="K593" cm="1">
        <f t="array" ref="K593" xml:space="preserve"> mc(500, -PI()/2,0,-1, 1, "ln(EXP(x * y))")</f>
        <v>4.6692016612793388E-2</v>
      </c>
      <c r="L593" cm="1">
        <f t="array" ref="L593" xml:space="preserve"> mc(1000, -PI()/2,0,-1, 1, "ln(EXP(x * y))")</f>
        <v>-2.1834931922147621E-2</v>
      </c>
      <c r="N593" cm="1">
        <f t="array" ref="N593" xml:space="preserve"> mc(100, -PI()/2,PI()/2, 0, 1, "sin(cos(x + y))")-1.48235</f>
        <v>0.11941014465886601</v>
      </c>
      <c r="O593" cm="1">
        <f t="array" ref="O593" xml:space="preserve"> mc(500, -PI()/2,PI()/2, 0, 1, "sin(cos(x + y))")-1.48235</f>
        <v>8.5954043160469951E-2</v>
      </c>
      <c r="P593" cm="1">
        <f t="array" ref="P593" xml:space="preserve"> mc(1000, -PI()/2,PI()/2, 0, 1, "sin(cos(x + y))")-1.48235</f>
        <v>-7.8833553566175496E-3</v>
      </c>
    </row>
    <row r="594" spans="1:16" x14ac:dyDescent="0.3">
      <c r="A594">
        <v>564</v>
      </c>
      <c r="B594" cm="1">
        <f t="array" ref="B594" xml:space="preserve"> mc(100, 0, 4, 1, 2, "x^2+y^2")-92/3</f>
        <v>1.3816353980809346</v>
      </c>
      <c r="C594" cm="1">
        <f t="array" ref="C594" xml:space="preserve"> mc(500, 0, 4, 1, 2, "x^2+y^2")-92/3</f>
        <v>0.74209643841988893</v>
      </c>
      <c r="D594" cm="1">
        <f t="array" ref="D594" xml:space="preserve"> mc(1000, 0, 4, 1, 2, "x^2+y^2")-92/3</f>
        <v>0.11979144805678743</v>
      </c>
      <c r="F594" cm="1">
        <f t="array" ref="F594" xml:space="preserve"> ( mc(100, 3, 4, -1, 1, "EXP(x * sin(y))") ) - 7.39981</f>
        <v>1.0335145337982077</v>
      </c>
      <c r="G594" cm="1">
        <f t="array" ref="G594" xml:space="preserve"> ( mc(500, 3, 4, -1, 1, "EXP(x * sin(y))") ) - 7.39981</f>
        <v>-0.43435927322320467</v>
      </c>
      <c r="H594" cm="1">
        <f t="array" ref="H594" xml:space="preserve"> ( mc(1000, 3, 4, -1, 1, "EXP(x * sin(y))") ) - 7.39981</f>
        <v>0.42479772914614511</v>
      </c>
      <c r="J594" cm="1">
        <f t="array" ref="J594" xml:space="preserve"> mc(100, -PI()/2,0,-1, 1, "ln(EXP(x * y))")</f>
        <v>0.10098045007469102</v>
      </c>
      <c r="K594" cm="1">
        <f t="array" ref="K594" xml:space="preserve"> mc(500, -PI()/2,0,-1, 1, "ln(EXP(x * y))")</f>
        <v>-0.13103163778061516</v>
      </c>
      <c r="L594" cm="1">
        <f t="array" ref="L594" xml:space="preserve"> mc(1000, -PI()/2,0,-1, 1, "ln(EXP(x * y))")</f>
        <v>3.3413407399190638E-2</v>
      </c>
      <c r="N594" cm="1">
        <f t="array" ref="N594" xml:space="preserve"> mc(100, -PI()/2,PI()/2, 0, 1, "sin(cos(x + y))")-1.48235</f>
        <v>0.18035517176873994</v>
      </c>
      <c r="O594" cm="1">
        <f t="array" ref="O594" xml:space="preserve"> mc(500, -PI()/2,PI()/2, 0, 1, "sin(cos(x + y))")-1.48235</f>
        <v>4.5085418000932798E-2</v>
      </c>
      <c r="P594" cm="1">
        <f t="array" ref="P594" xml:space="preserve"> mc(1000, -PI()/2,PI()/2, 0, 1, "sin(cos(x + y))")-1.48235</f>
        <v>-1.135912137615902E-2</v>
      </c>
    </row>
    <row r="595" spans="1:16" x14ac:dyDescent="0.3">
      <c r="A595">
        <v>565</v>
      </c>
      <c r="B595" cm="1">
        <f t="array" ref="B595" xml:space="preserve"> mc(100, 0, 4, 1, 2, "x^2+y^2")-92/3</f>
        <v>1.0263971709153736</v>
      </c>
      <c r="C595" cm="1">
        <f t="array" ref="C595" xml:space="preserve"> mc(500, 0, 4, 1, 2, "x^2+y^2")-92/3</f>
        <v>1.0925253814262632</v>
      </c>
      <c r="D595" cm="1">
        <f t="array" ref="D595" xml:space="preserve"> mc(1000, 0, 4, 1, 2, "x^2+y^2")-92/3</f>
        <v>1.1128723767463526</v>
      </c>
      <c r="F595" cm="1">
        <f t="array" ref="F595" xml:space="preserve"> ( mc(100, 3, 4, -1, 1, "EXP(x * sin(y))") ) - 7.39981</f>
        <v>0.94992700424416654</v>
      </c>
      <c r="G595" cm="1">
        <f t="array" ref="G595" xml:space="preserve"> ( mc(500, 3, 4, -1, 1, "EXP(x * sin(y))") ) - 7.39981</f>
        <v>-1.0098125493330175</v>
      </c>
      <c r="H595" cm="1">
        <f t="array" ref="H595" xml:space="preserve"> ( mc(1000, 3, 4, -1, 1, "EXP(x * sin(y))") ) - 7.39981</f>
        <v>-4.4477398416228553E-2</v>
      </c>
      <c r="J595" cm="1">
        <f t="array" ref="J595" xml:space="preserve"> mc(100, -PI()/2,0,-1, 1, "ln(EXP(x * y))")</f>
        <v>8.990958956205114E-2</v>
      </c>
      <c r="K595" cm="1">
        <f t="array" ref="K595" xml:space="preserve"> mc(500, -PI()/2,0,-1, 1, "ln(EXP(x * y))")</f>
        <v>-9.2476591446121637E-2</v>
      </c>
      <c r="L595" cm="1">
        <f t="array" ref="L595" xml:space="preserve"> mc(1000, -PI()/2,0,-1, 1, "ln(EXP(x * y))")</f>
        <v>1.7625713146690779E-2</v>
      </c>
      <c r="N595" cm="1">
        <f t="array" ref="N595" xml:space="preserve"> mc(100, -PI()/2,PI()/2, 0, 1, "sin(cos(x + y))")-1.48235</f>
        <v>-1.6265214784832338E-2</v>
      </c>
      <c r="O595" cm="1">
        <f t="array" ref="O595" xml:space="preserve"> mc(500, -PI()/2,PI()/2, 0, 1, "sin(cos(x + y))")-1.48235</f>
        <v>7.6013787559108259E-2</v>
      </c>
      <c r="P595" cm="1">
        <f t="array" ref="P595" xml:space="preserve"> mc(1000, -PI()/2,PI()/2, 0, 1, "sin(cos(x + y))")-1.48235</f>
        <v>-1.9228119015587852E-2</v>
      </c>
    </row>
    <row r="596" spans="1:16" x14ac:dyDescent="0.3">
      <c r="A596">
        <v>566</v>
      </c>
      <c r="B596" cm="1">
        <f t="array" ref="B596" xml:space="preserve"> mc(100, 0, 4, 1, 2, "x^2+y^2")-92/3</f>
        <v>-1.4232273516142797</v>
      </c>
      <c r="C596" cm="1">
        <f t="array" ref="C596" xml:space="preserve"> mc(500, 0, 4, 1, 2, "x^2+y^2")-92/3</f>
        <v>0.75948161596527086</v>
      </c>
      <c r="D596" cm="1">
        <f t="array" ref="D596" xml:space="preserve"> mc(1000, 0, 4, 1, 2, "x^2+y^2")-92/3</f>
        <v>0.63633533461488767</v>
      </c>
      <c r="F596" cm="1">
        <f t="array" ref="F596" xml:space="preserve"> ( mc(100, 3, 4, -1, 1, "EXP(x * sin(y))") ) - 7.39981</f>
        <v>-0.30321888981533007</v>
      </c>
      <c r="G596" cm="1">
        <f t="array" ref="G596" xml:space="preserve"> ( mc(500, 3, 4, -1, 1, "EXP(x * sin(y))") ) - 7.39981</f>
        <v>0.28975231811478608</v>
      </c>
      <c r="H596" cm="1">
        <f t="array" ref="H596" xml:space="preserve"> ( mc(1000, 3, 4, -1, 1, "EXP(x * sin(y))") ) - 7.39981</f>
        <v>2.0608183328906904E-2</v>
      </c>
      <c r="J596" cm="1">
        <f t="array" ref="J596" xml:space="preserve"> mc(100, -PI()/2,0,-1, 1, "ln(EXP(x * y))")</f>
        <v>-1.07903351412617E-2</v>
      </c>
      <c r="K596" cm="1">
        <f t="array" ref="K596" xml:space="preserve"> mc(500, -PI()/2,0,-1, 1, "ln(EXP(x * y))")</f>
        <v>-2.2134474979485948E-2</v>
      </c>
      <c r="L596" cm="1">
        <f t="array" ref="L596" xml:space="preserve"> mc(1000, -PI()/2,0,-1, 1, "ln(EXP(x * y))")</f>
        <v>8.7884794208878386E-3</v>
      </c>
      <c r="N596" cm="1">
        <f t="array" ref="N596" xml:space="preserve"> mc(100, -PI()/2,PI()/2, 0, 1, "sin(cos(x + y))")-1.48235</f>
        <v>-4.9356155901607357E-2</v>
      </c>
      <c r="O596" cm="1">
        <f t="array" ref="O596" xml:space="preserve"> mc(500, -PI()/2,PI()/2, 0, 1, "sin(cos(x + y))")-1.48235</f>
        <v>2.5617067312213138E-2</v>
      </c>
      <c r="P596" cm="1">
        <f t="array" ref="P596" xml:space="preserve"> mc(1000, -PI()/2,PI()/2, 0, 1, "sin(cos(x + y))")-1.48235</f>
        <v>-5.031469587831805E-2</v>
      </c>
    </row>
    <row r="597" spans="1:16" x14ac:dyDescent="0.3">
      <c r="A597">
        <v>567</v>
      </c>
      <c r="B597" cm="1">
        <f t="array" ref="B597" xml:space="preserve"> mc(100, 0, 4, 1, 2, "x^2+y^2")-92/3</f>
        <v>2.5895034149607277</v>
      </c>
      <c r="C597" cm="1">
        <f t="array" ref="C597" xml:space="preserve"> mc(500, 0, 4, 1, 2, "x^2+y^2")-92/3</f>
        <v>-1.0824798819101886</v>
      </c>
      <c r="D597" cm="1">
        <f t="array" ref="D597" xml:space="preserve"> mc(1000, 0, 4, 1, 2, "x^2+y^2")-92/3</f>
        <v>-0.23945034223385875</v>
      </c>
      <c r="F597" cm="1">
        <f t="array" ref="F597" xml:space="preserve"> ( mc(100, 3, 4, -1, 1, "EXP(x * sin(y))") ) - 7.39981</f>
        <v>-1.336004933148712</v>
      </c>
      <c r="G597" cm="1">
        <f t="array" ref="G597" xml:space="preserve"> ( mc(500, 3, 4, -1, 1, "EXP(x * sin(y))") ) - 7.39981</f>
        <v>-9.2814196316215458E-4</v>
      </c>
      <c r="H597" cm="1">
        <f t="array" ref="H597" xml:space="preserve"> ( mc(1000, 3, 4, -1, 1, "EXP(x * sin(y))") ) - 7.39981</f>
        <v>-0.64604898972692393</v>
      </c>
      <c r="J597" cm="1">
        <f t="array" ref="J597" xml:space="preserve"> mc(100, -PI()/2,0,-1, 1, "ln(EXP(x * y))")</f>
        <v>6.0557830175597155E-2</v>
      </c>
      <c r="K597" cm="1">
        <f t="array" ref="K597" xml:space="preserve"> mc(500, -PI()/2,0,-1, 1, "ln(EXP(x * y))")</f>
        <v>0.1037484763719521</v>
      </c>
      <c r="L597" cm="1">
        <f t="array" ref="L597" xml:space="preserve"> mc(1000, -PI()/2,0,-1, 1, "ln(EXP(x * y))")</f>
        <v>-8.1860951892572836E-2</v>
      </c>
      <c r="N597" cm="1">
        <f t="array" ref="N597" xml:space="preserve"> mc(100, -PI()/2,PI()/2, 0, 1, "sin(cos(x + y))")-1.48235</f>
        <v>3.1297615683662405E-2</v>
      </c>
      <c r="O597" cm="1">
        <f t="array" ref="O597" xml:space="preserve"> mc(500, -PI()/2,PI()/2, 0, 1, "sin(cos(x + y))")-1.48235</f>
        <v>3.2484917667878088E-2</v>
      </c>
      <c r="P597" cm="1">
        <f t="array" ref="P597" xml:space="preserve"> mc(1000, -PI()/2,PI()/2, 0, 1, "sin(cos(x + y))")-1.48235</f>
        <v>7.4722538582551179E-2</v>
      </c>
    </row>
    <row r="598" spans="1:16" x14ac:dyDescent="0.3">
      <c r="A598">
        <v>568</v>
      </c>
      <c r="B598" cm="1">
        <f t="array" ref="B598" xml:space="preserve"> mc(100, 0, 4, 1, 2, "x^2+y^2")-92/3</f>
        <v>0.36560472303064984</v>
      </c>
      <c r="C598" cm="1">
        <f t="array" ref="C598" xml:space="preserve"> mc(500, 0, 4, 1, 2, "x^2+y^2")-92/3</f>
        <v>-0.16436112254139346</v>
      </c>
      <c r="D598" cm="1">
        <f t="array" ref="D598" xml:space="preserve"> mc(1000, 0, 4, 1, 2, "x^2+y^2")-92/3</f>
        <v>-1.4041349152236933</v>
      </c>
      <c r="F598" cm="1">
        <f t="array" ref="F598" xml:space="preserve"> ( mc(100, 3, 4, -1, 1, "EXP(x * sin(y))") ) - 7.39981</f>
        <v>0.3505115620059831</v>
      </c>
      <c r="G598" cm="1">
        <f t="array" ref="G598" xml:space="preserve"> ( mc(500, 3, 4, -1, 1, "EXP(x * sin(y))") ) - 7.39981</f>
        <v>-0.33526850161779542</v>
      </c>
      <c r="H598" cm="1">
        <f t="array" ref="H598" xml:space="preserve"> ( mc(1000, 3, 4, -1, 1, "EXP(x * sin(y))") ) - 7.39981</f>
        <v>-9.3649727850291242E-2</v>
      </c>
      <c r="J598" cm="1">
        <f t="array" ref="J598" xml:space="preserve"> mc(100, -PI()/2,0,-1, 1, "ln(EXP(x * y))")</f>
        <v>0.17585053938089767</v>
      </c>
      <c r="K598" cm="1">
        <f t="array" ref="K598" xml:space="preserve"> mc(500, -PI()/2,0,-1, 1, "ln(EXP(x * y))")</f>
        <v>6.3310022535401939E-2</v>
      </c>
      <c r="L598" cm="1">
        <f t="array" ref="L598" xml:space="preserve"> mc(1000, -PI()/2,0,-1, 1, "ln(EXP(x * y))")</f>
        <v>2.9561824351230018E-2</v>
      </c>
      <c r="N598" cm="1">
        <f t="array" ref="N598" xml:space="preserve"> mc(100, -PI()/2,PI()/2, 0, 1, "sin(cos(x + y))")-1.48235</f>
        <v>2.9374684518527427E-2</v>
      </c>
      <c r="O598" cm="1">
        <f t="array" ref="O598" xml:space="preserve"> mc(500, -PI()/2,PI()/2, 0, 1, "sin(cos(x + y))")-1.48235</f>
        <v>-1.3947477341956338E-2</v>
      </c>
      <c r="P598" cm="1">
        <f t="array" ref="P598" xml:space="preserve"> mc(1000, -PI()/2,PI()/2, 0, 1, "sin(cos(x + y))")-1.48235</f>
        <v>3.8225234588413759E-3</v>
      </c>
    </row>
    <row r="599" spans="1:16" x14ac:dyDescent="0.3">
      <c r="A599">
        <v>569</v>
      </c>
      <c r="B599" cm="1">
        <f t="array" ref="B599" xml:space="preserve"> mc(100, 0, 4, 1, 2, "x^2+y^2")-92/3</f>
        <v>-2.1172387846766121</v>
      </c>
      <c r="C599" cm="1">
        <f t="array" ref="C599" xml:space="preserve"> mc(500, 0, 4, 1, 2, "x^2+y^2")-92/3</f>
        <v>-1.0102763973166873</v>
      </c>
      <c r="D599" cm="1">
        <f t="array" ref="D599" xml:space="preserve"> mc(1000, 0, 4, 1, 2, "x^2+y^2")-92/3</f>
        <v>-0.99523732664563624</v>
      </c>
      <c r="F599" cm="1">
        <f t="array" ref="F599" xml:space="preserve"> ( mc(100, 3, 4, -1, 1, "EXP(x * sin(y))") ) - 7.39981</f>
        <v>-0.12375061281029698</v>
      </c>
      <c r="G599" cm="1">
        <f t="array" ref="G599" xml:space="preserve"> ( mc(500, 3, 4, -1, 1, "EXP(x * sin(y))") ) - 7.39981</f>
        <v>1.0409108949608523</v>
      </c>
      <c r="H599" cm="1">
        <f t="array" ref="H599" xml:space="preserve"> ( mc(1000, 3, 4, -1, 1, "EXP(x * sin(y))") ) - 7.39981</f>
        <v>-0.21176681150198728</v>
      </c>
      <c r="J599" cm="1">
        <f t="array" ref="J599" xml:space="preserve"> mc(100, -PI()/2,0,-1, 1, "ln(EXP(x * y))")</f>
        <v>0.11006717697082026</v>
      </c>
      <c r="K599" cm="1">
        <f t="array" ref="K599" xml:space="preserve"> mc(500, -PI()/2,0,-1, 1, "ln(EXP(x * y))")</f>
        <v>5.4679558630277535E-2</v>
      </c>
      <c r="L599" cm="1">
        <f t="array" ref="L599" xml:space="preserve"> mc(1000, -PI()/2,0,-1, 1, "ln(EXP(x * y))")</f>
        <v>-4.2241353738077199E-2</v>
      </c>
      <c r="N599" cm="1">
        <f t="array" ref="N599" xml:space="preserve"> mc(100, -PI()/2,PI()/2, 0, 1, "sin(cos(x + y))")-1.48235</f>
        <v>2.6883808407065501E-3</v>
      </c>
      <c r="O599" cm="1">
        <f t="array" ref="O599" xml:space="preserve"> mc(500, -PI()/2,PI()/2, 0, 1, "sin(cos(x + y))")-1.48235</f>
        <v>-3.6796910519417469E-2</v>
      </c>
      <c r="P599" cm="1">
        <f t="array" ref="P599" xml:space="preserve"> mc(1000, -PI()/2,PI()/2, 0, 1, "sin(cos(x + y))")-1.48235</f>
        <v>-6.0756704386433213E-3</v>
      </c>
    </row>
    <row r="600" spans="1:16" x14ac:dyDescent="0.3">
      <c r="A600">
        <v>570</v>
      </c>
      <c r="B600" cm="1">
        <f t="array" ref="B600" xml:space="preserve"> mc(100, 0, 4, 1, 2, "x^2+y^2")-92/3</f>
        <v>0.23120168191882229</v>
      </c>
      <c r="C600" cm="1">
        <f t="array" ref="C600" xml:space="preserve"> mc(500, 0, 4, 1, 2, "x^2+y^2")-92/3</f>
        <v>-0.15766080905293833</v>
      </c>
      <c r="D600" cm="1">
        <f t="array" ref="D600" xml:space="preserve"> mc(1000, 0, 4, 1, 2, "x^2+y^2")-92/3</f>
        <v>9.6588311130098248E-2</v>
      </c>
      <c r="F600" cm="1">
        <f t="array" ref="F600" xml:space="preserve"> ( mc(100, 3, 4, -1, 1, "EXP(x * sin(y))") ) - 7.39981</f>
        <v>0.28914162459843151</v>
      </c>
      <c r="G600" cm="1">
        <f t="array" ref="G600" xml:space="preserve"> ( mc(500, 3, 4, -1, 1, "EXP(x * sin(y))") ) - 7.39981</f>
        <v>0.2580422097835342</v>
      </c>
      <c r="H600" cm="1">
        <f t="array" ref="H600" xml:space="preserve"> ( mc(1000, 3, 4, -1, 1, "EXP(x * sin(y))") ) - 7.39981</f>
        <v>-0.33277722134955567</v>
      </c>
      <c r="J600" cm="1">
        <f t="array" ref="J600" xml:space="preserve"> mc(100, -PI()/2,0,-1, 1, "ln(EXP(x * y))")</f>
        <v>-2.9482603534321694E-2</v>
      </c>
      <c r="K600" cm="1">
        <f t="array" ref="K600" xml:space="preserve"> mc(500, -PI()/2,0,-1, 1, "ln(EXP(x * y))")</f>
        <v>-3.0743861985195048E-2</v>
      </c>
      <c r="L600" cm="1">
        <f t="array" ref="L600" xml:space="preserve"> mc(1000, -PI()/2,0,-1, 1, "ln(EXP(x * y))")</f>
        <v>-8.175887980052178E-3</v>
      </c>
      <c r="N600" cm="1">
        <f t="array" ref="N600" xml:space="preserve"> mc(100, -PI()/2,PI()/2, 0, 1, "sin(cos(x + y))")-1.48235</f>
        <v>-0.21507786832062936</v>
      </c>
      <c r="O600" cm="1">
        <f t="array" ref="O600" xml:space="preserve"> mc(500, -PI()/2,PI()/2, 0, 1, "sin(cos(x + y))")-1.48235</f>
        <v>5.0319237636087477E-2</v>
      </c>
      <c r="P600" cm="1">
        <f t="array" ref="P600" xml:space="preserve"> mc(1000, -PI()/2,PI()/2, 0, 1, "sin(cos(x + y))")-1.48235</f>
        <v>2.5824976951360989E-2</v>
      </c>
    </row>
    <row r="601" spans="1:16" x14ac:dyDescent="0.3">
      <c r="A601">
        <v>571</v>
      </c>
      <c r="B601" cm="1">
        <f t="array" ref="B601" xml:space="preserve"> mc(100, 0, 4, 1, 2, "x^2+y^2")-92/3</f>
        <v>3.1396316360007539</v>
      </c>
      <c r="C601" cm="1">
        <f t="array" ref="C601" xml:space="preserve"> mc(500, 0, 4, 1, 2, "x^2+y^2")-92/3</f>
        <v>-0.1711734666475806</v>
      </c>
      <c r="D601" cm="1">
        <f t="array" ref="D601" xml:space="preserve"> mc(1000, 0, 4, 1, 2, "x^2+y^2")-92/3</f>
        <v>-0.98016817675978984</v>
      </c>
      <c r="F601" cm="1">
        <f t="array" ref="F601" xml:space="preserve"> ( mc(100, 3, 4, -1, 1, "EXP(x * sin(y))") ) - 7.39981</f>
        <v>-0.56214089138457179</v>
      </c>
      <c r="G601" cm="1">
        <f t="array" ref="G601" xml:space="preserve"> ( mc(500, 3, 4, -1, 1, "EXP(x * sin(y))") ) - 7.39981</f>
        <v>-0.57926248061328778</v>
      </c>
      <c r="H601" cm="1">
        <f t="array" ref="H601" xml:space="preserve"> ( mc(1000, 3, 4, -1, 1, "EXP(x * sin(y))") ) - 7.39981</f>
        <v>-9.0706378213045724E-3</v>
      </c>
      <c r="J601" cm="1">
        <f t="array" ref="J601" xml:space="preserve"> mc(100, -PI()/2,0,-1, 1, "ln(EXP(x * y))")</f>
        <v>-0.1911685964603605</v>
      </c>
      <c r="K601" cm="1">
        <f t="array" ref="K601" xml:space="preserve"> mc(500, -PI()/2,0,-1, 1, "ln(EXP(x * y))")</f>
        <v>-2.5410263723816922E-2</v>
      </c>
      <c r="L601" cm="1">
        <f t="array" ref="L601" xml:space="preserve"> mc(1000, -PI()/2,0,-1, 1, "ln(EXP(x * y))")</f>
        <v>-4.2029118473696128E-2</v>
      </c>
      <c r="N601" cm="1">
        <f t="array" ref="N601" xml:space="preserve"> mc(100, -PI()/2,PI()/2, 0, 1, "sin(cos(x + y))")-1.48235</f>
        <v>6.0342521888471445E-2</v>
      </c>
      <c r="O601" cm="1">
        <f t="array" ref="O601" xml:space="preserve"> mc(500, -PI()/2,PI()/2, 0, 1, "sin(cos(x + y))")-1.48235</f>
        <v>-3.0582278930968654E-2</v>
      </c>
      <c r="P601" cm="1">
        <f t="array" ref="P601" xml:space="preserve"> mc(1000, -PI()/2,PI()/2, 0, 1, "sin(cos(x + y))")-1.48235</f>
        <v>3.5177751585332873E-2</v>
      </c>
    </row>
    <row r="602" spans="1:16" x14ac:dyDescent="0.3">
      <c r="A602">
        <v>572</v>
      </c>
      <c r="B602" cm="1">
        <f t="array" ref="B602" xml:space="preserve"> mc(100, 0, 4, 1, 2, "x^2+y^2")-92/3</f>
        <v>4.3176116157614821</v>
      </c>
      <c r="C602" cm="1">
        <f t="array" ref="C602" xml:space="preserve"> mc(500, 0, 4, 1, 2, "x^2+y^2")-92/3</f>
        <v>-1.1037887950957561</v>
      </c>
      <c r="D602" cm="1">
        <f t="array" ref="D602" xml:space="preserve"> mc(1000, 0, 4, 1, 2, "x^2+y^2")-92/3</f>
        <v>0.47594836756679726</v>
      </c>
      <c r="F602" cm="1">
        <f t="array" ref="F602" xml:space="preserve"> ( mc(100, 3, 4, -1, 1, "EXP(x * sin(y))") ) - 7.39981</f>
        <v>1.4446795286409415</v>
      </c>
      <c r="G602" cm="1">
        <f t="array" ref="G602" xml:space="preserve"> ( mc(500, 3, 4, -1, 1, "EXP(x * sin(y))") ) - 7.39981</f>
        <v>-0.65201744703748865</v>
      </c>
      <c r="H602" cm="1">
        <f t="array" ref="H602" xml:space="preserve"> ( mc(1000, 3, 4, -1, 1, "EXP(x * sin(y))") ) - 7.39981</f>
        <v>-0.13337888569625456</v>
      </c>
      <c r="J602" cm="1">
        <f t="array" ref="J602" xml:space="preserve"> mc(100, -PI()/2,0,-1, 1, "ln(EXP(x * y))")</f>
        <v>-6.2131962611180293E-2</v>
      </c>
      <c r="K602" cm="1">
        <f t="array" ref="K602" xml:space="preserve"> mc(500, -PI()/2,0,-1, 1, "ln(EXP(x * y))")</f>
        <v>0.16792019940761577</v>
      </c>
      <c r="L602" cm="1">
        <f t="array" ref="L602" xml:space="preserve"> mc(1000, -PI()/2,0,-1, 1, "ln(EXP(x * y))")</f>
        <v>7.9929794900219474E-3</v>
      </c>
      <c r="N602" cm="1">
        <f t="array" ref="N602" xml:space="preserve"> mc(100, -PI()/2,PI()/2, 0, 1, "sin(cos(x + y))")-1.48235</f>
        <v>5.4546890756326682E-2</v>
      </c>
      <c r="O602" cm="1">
        <f t="array" ref="O602" xml:space="preserve"> mc(500, -PI()/2,PI()/2, 0, 1, "sin(cos(x + y))")-1.48235</f>
        <v>-6.1388479728405665E-2</v>
      </c>
      <c r="P602" cm="1">
        <f t="array" ref="P602" xml:space="preserve"> mc(1000, -PI()/2,PI()/2, 0, 1, "sin(cos(x + y))")-1.48235</f>
        <v>5.3743789990794433E-3</v>
      </c>
    </row>
    <row r="603" spans="1:16" x14ac:dyDescent="0.3">
      <c r="A603">
        <v>573</v>
      </c>
      <c r="B603" cm="1">
        <f t="array" ref="B603" xml:space="preserve"> mc(100, 0, 4, 1, 2, "x^2+y^2")-92/3</f>
        <v>1.9662740895509749</v>
      </c>
      <c r="C603" cm="1">
        <f t="array" ref="C603" xml:space="preserve"> mc(500, 0, 4, 1, 2, "x^2+y^2")-92/3</f>
        <v>-1.2035237901540512</v>
      </c>
      <c r="D603" cm="1">
        <f t="array" ref="D603" xml:space="preserve"> mc(1000, 0, 4, 1, 2, "x^2+y^2")-92/3</f>
        <v>0.43479088144417233</v>
      </c>
      <c r="F603" cm="1">
        <f t="array" ref="F603" xml:space="preserve"> ( mc(100, 3, 4, -1, 1, "EXP(x * sin(y))") ) - 7.39981</f>
        <v>1.515302261798066</v>
      </c>
      <c r="G603" cm="1">
        <f t="array" ref="G603" xml:space="preserve"> ( mc(500, 3, 4, -1, 1, "EXP(x * sin(y))") ) - 7.39981</f>
        <v>-0.82514876046132901</v>
      </c>
      <c r="H603" cm="1">
        <f t="array" ref="H603" xml:space="preserve"> ( mc(1000, 3, 4, -1, 1, "EXP(x * sin(y))") ) - 7.39981</f>
        <v>-0.12998332153245151</v>
      </c>
      <c r="J603" cm="1">
        <f t="array" ref="J603" xml:space="preserve"> mc(100, -PI()/2,0,-1, 1, "ln(EXP(x * y))")</f>
        <v>1.7802124123218781E-2</v>
      </c>
      <c r="K603" cm="1">
        <f t="array" ref="K603" xml:space="preserve"> mc(500, -PI()/2,0,-1, 1, "ln(EXP(x * y))")</f>
        <v>0.12911610697335318</v>
      </c>
      <c r="L603" cm="1">
        <f t="array" ref="L603" xml:space="preserve"> mc(1000, -PI()/2,0,-1, 1, "ln(EXP(x * y))")</f>
        <v>-1.7284194103457131E-2</v>
      </c>
      <c r="N603" cm="1">
        <f t="array" ref="N603" xml:space="preserve"> mc(100, -PI()/2,PI()/2, 0, 1, "sin(cos(x + y))")-1.48235</f>
        <v>0.1433674765558739</v>
      </c>
      <c r="O603" cm="1">
        <f t="array" ref="O603" xml:space="preserve"> mc(500, -PI()/2,PI()/2, 0, 1, "sin(cos(x + y))")-1.48235</f>
        <v>3.8141804084716791E-2</v>
      </c>
      <c r="P603" cm="1">
        <f t="array" ref="P603" xml:space="preserve"> mc(1000, -PI()/2,PI()/2, 0, 1, "sin(cos(x + y))")-1.48235</f>
        <v>-1.2282238160736592E-2</v>
      </c>
    </row>
    <row r="604" spans="1:16" x14ac:dyDescent="0.3">
      <c r="A604">
        <v>574</v>
      </c>
      <c r="B604" cm="1">
        <f t="array" ref="B604" xml:space="preserve"> mc(100, 0, 4, 1, 2, "x^2+y^2")-92/3</f>
        <v>-3.2107753272510706</v>
      </c>
      <c r="C604" cm="1">
        <f t="array" ref="C604" xml:space="preserve"> mc(500, 0, 4, 1, 2, "x^2+y^2")-92/3</f>
        <v>-0.58852849482114777</v>
      </c>
      <c r="D604" cm="1">
        <f t="array" ref="D604" xml:space="preserve"> mc(1000, 0, 4, 1, 2, "x^2+y^2")-92/3</f>
        <v>-0.38514209704021951</v>
      </c>
      <c r="F604" cm="1">
        <f t="array" ref="F604" xml:space="preserve"> ( mc(100, 3, 4, -1, 1, "EXP(x * sin(y))") ) - 7.39981</f>
        <v>0.54459569349952908</v>
      </c>
      <c r="G604" cm="1">
        <f t="array" ref="G604" xml:space="preserve"> ( mc(500, 3, 4, -1, 1, "EXP(x * sin(y))") ) - 7.39981</f>
        <v>7.9245551211621468E-2</v>
      </c>
      <c r="H604" cm="1">
        <f t="array" ref="H604" xml:space="preserve"> ( mc(1000, 3, 4, -1, 1, "EXP(x * sin(y))") ) - 7.39981</f>
        <v>-0.42474924342953368</v>
      </c>
      <c r="J604" cm="1">
        <f t="array" ref="J604" xml:space="preserve"> mc(100, -PI()/2,0,-1, 1, "ln(EXP(x * y))")</f>
        <v>-0.11453084616574914</v>
      </c>
      <c r="K604" cm="1">
        <f t="array" ref="K604" xml:space="preserve"> mc(500, -PI()/2,0,-1, 1, "ln(EXP(x * y))")</f>
        <v>-6.5222810747066085E-3</v>
      </c>
      <c r="L604" cm="1">
        <f t="array" ref="L604" xml:space="preserve"> mc(1000, -PI()/2,0,-1, 1, "ln(EXP(x * y))")</f>
        <v>4.3968215876561495E-2</v>
      </c>
      <c r="N604" cm="1">
        <f t="array" ref="N604" xml:space="preserve"> mc(100, -PI()/2,PI()/2, 0, 1, "sin(cos(x + y))")-1.48235</f>
        <v>-5.9968683192193062E-3</v>
      </c>
      <c r="O604" cm="1">
        <f t="array" ref="O604" xml:space="preserve"> mc(500, -PI()/2,PI()/2, 0, 1, "sin(cos(x + y))")-1.48235</f>
        <v>-2.871308074159673E-2</v>
      </c>
      <c r="P604" cm="1">
        <f t="array" ref="P604" xml:space="preserve"> mc(1000, -PI()/2,PI()/2, 0, 1, "sin(cos(x + y))")-1.48235</f>
        <v>-1.8961511760950511E-2</v>
      </c>
    </row>
    <row r="605" spans="1:16" x14ac:dyDescent="0.3">
      <c r="A605">
        <v>575</v>
      </c>
      <c r="B605" cm="1">
        <f t="array" ref="B605" xml:space="preserve"> mc(100, 0, 4, 1, 2, "x^2+y^2")-92/3</f>
        <v>2.5083142794938205</v>
      </c>
      <c r="C605" cm="1">
        <f t="array" ref="C605" xml:space="preserve"> mc(500, 0, 4, 1, 2, "x^2+y^2")-92/3</f>
        <v>-1.1799468919718734</v>
      </c>
      <c r="D605" cm="1">
        <f t="array" ref="D605" xml:space="preserve"> mc(1000, 0, 4, 1, 2, "x^2+y^2")-92/3</f>
        <v>-0.91531707149773567</v>
      </c>
      <c r="F605" cm="1">
        <f t="array" ref="F605" xml:space="preserve"> ( mc(100, 3, 4, -1, 1, "EXP(x * sin(y))") ) - 7.39981</f>
        <v>-0.37960416101366867</v>
      </c>
      <c r="G605" cm="1">
        <f t="array" ref="G605" xml:space="preserve"> ( mc(500, 3, 4, -1, 1, "EXP(x * sin(y))") ) - 7.39981</f>
        <v>-1.0488632471733261E-2</v>
      </c>
      <c r="H605" cm="1">
        <f t="array" ref="H605" xml:space="preserve"> ( mc(1000, 3, 4, -1, 1, "EXP(x * sin(y))") ) - 7.39981</f>
        <v>-0.34253374249358348</v>
      </c>
      <c r="J605" cm="1">
        <f t="array" ref="J605" xml:space="preserve"> mc(100, -PI()/2,0,-1, 1, "ln(EXP(x * y))")</f>
        <v>0.23124469113540197</v>
      </c>
      <c r="K605" cm="1">
        <f t="array" ref="K605" xml:space="preserve"> mc(500, -PI()/2,0,-1, 1, "ln(EXP(x * y))")</f>
        <v>-5.2013020947274191E-3</v>
      </c>
      <c r="L605" cm="1">
        <f t="array" ref="L605" xml:space="preserve"> mc(1000, -PI()/2,0,-1, 1, "ln(EXP(x * y))")</f>
        <v>7.7990468418522946E-2</v>
      </c>
      <c r="N605" cm="1">
        <f t="array" ref="N605" xml:space="preserve"> mc(100, -PI()/2,PI()/2, 0, 1, "sin(cos(x + y))")-1.48235</f>
        <v>-7.6276746527463857E-2</v>
      </c>
      <c r="O605" cm="1">
        <f t="array" ref="O605" xml:space="preserve"> mc(500, -PI()/2,PI()/2, 0, 1, "sin(cos(x + y))")-1.48235</f>
        <v>-5.2669431825577373E-2</v>
      </c>
      <c r="P605" cm="1">
        <f t="array" ref="P605" xml:space="preserve"> mc(1000, -PI()/2,PI()/2, 0, 1, "sin(cos(x + y))")-1.48235</f>
        <v>-4.8735927058805917E-2</v>
      </c>
    </row>
    <row r="606" spans="1:16" x14ac:dyDescent="0.3">
      <c r="A606">
        <v>576</v>
      </c>
      <c r="B606" cm="1">
        <f t="array" ref="B606" xml:space="preserve"> mc(100, 0, 4, 1, 2, "x^2+y^2")-92/3</f>
        <v>1.4466397303560505</v>
      </c>
      <c r="C606" cm="1">
        <f t="array" ref="C606" xml:space="preserve"> mc(500, 0, 4, 1, 2, "x^2+y^2")-92/3</f>
        <v>1.3154898018061374</v>
      </c>
      <c r="D606" cm="1">
        <f t="array" ref="D606" xml:space="preserve"> mc(1000, 0, 4, 1, 2, "x^2+y^2")-92/3</f>
        <v>1.4580542052914289</v>
      </c>
      <c r="F606" cm="1">
        <f t="array" ref="F606" xml:space="preserve"> ( mc(100, 3, 4, -1, 1, "EXP(x * sin(y))") ) - 7.39981</f>
        <v>1.9555492124494336</v>
      </c>
      <c r="G606" cm="1">
        <f t="array" ref="G606" xml:space="preserve"> ( mc(500, 3, 4, -1, 1, "EXP(x * sin(y))") ) - 7.39981</f>
        <v>4.225302402384834E-2</v>
      </c>
      <c r="H606" cm="1">
        <f t="array" ref="H606" xml:space="preserve"> ( mc(1000, 3, 4, -1, 1, "EXP(x * sin(y))") ) - 7.39981</f>
        <v>-0.36233911309861444</v>
      </c>
      <c r="J606" cm="1">
        <f t="array" ref="J606" xml:space="preserve"> mc(100, -PI()/2,0,-1, 1, "ln(EXP(x * y))")</f>
        <v>-0.23272327873410187</v>
      </c>
      <c r="K606" cm="1">
        <f t="array" ref="K606" xml:space="preserve"> mc(500, -PI()/2,0,-1, 1, "ln(EXP(x * y))")</f>
        <v>4.5012235679093286E-2</v>
      </c>
      <c r="L606" cm="1">
        <f t="array" ref="L606" xml:space="preserve"> mc(1000, -PI()/2,0,-1, 1, "ln(EXP(x * y))")</f>
        <v>-7.5519946305527913E-2</v>
      </c>
      <c r="N606" cm="1">
        <f t="array" ref="N606" xml:space="preserve"> mc(100, -PI()/2,PI()/2, 0, 1, "sin(cos(x + y))")-1.48235</f>
        <v>-0.12543822775557567</v>
      </c>
      <c r="O606" cm="1">
        <f t="array" ref="O606" xml:space="preserve"> mc(500, -PI()/2,PI()/2, 0, 1, "sin(cos(x + y))")-1.48235</f>
        <v>-2.4945682453303419E-3</v>
      </c>
      <c r="P606" cm="1">
        <f t="array" ref="P606" xml:space="preserve"> mc(1000, -PI()/2,PI()/2, 0, 1, "sin(cos(x + y))")-1.48235</f>
        <v>-6.0283414101238719E-3</v>
      </c>
    </row>
    <row r="607" spans="1:16" x14ac:dyDescent="0.3">
      <c r="A607">
        <v>577</v>
      </c>
      <c r="B607" cm="1">
        <f t="array" ref="B607" xml:space="preserve"> mc(100, 0, 4, 1, 2, "x^2+y^2")-92/3</f>
        <v>2.3456705118671515</v>
      </c>
      <c r="C607" cm="1">
        <f t="array" ref="C607" xml:space="preserve"> mc(500, 0, 4, 1, 2, "x^2+y^2")-92/3</f>
        <v>-7.9675225392747961E-2</v>
      </c>
      <c r="D607" cm="1">
        <f t="array" ref="D607" xml:space="preserve"> mc(1000, 0, 4, 1, 2, "x^2+y^2")-92/3</f>
        <v>-9.7308629000227853E-2</v>
      </c>
      <c r="F607" cm="1">
        <f t="array" ref="F607" xml:space="preserve"> ( mc(100, 3, 4, -1, 1, "EXP(x * sin(y))") ) - 7.39981</f>
        <v>-2.4553507507836612</v>
      </c>
      <c r="G607" cm="1">
        <f t="array" ref="G607" xml:space="preserve"> ( mc(500, 3, 4, -1, 1, "EXP(x * sin(y))") ) - 7.39981</f>
        <v>-0.89071775732563463</v>
      </c>
      <c r="H607" cm="1">
        <f t="array" ref="H607" xml:space="preserve"> ( mc(1000, 3, 4, -1, 1, "EXP(x * sin(y))") ) - 7.39981</f>
        <v>-0.11400407143468794</v>
      </c>
      <c r="J607" cm="1">
        <f t="array" ref="J607" xml:space="preserve"> mc(100, -PI()/2,0,-1, 1, "ln(EXP(x * y))")</f>
        <v>-2.587478688418013E-3</v>
      </c>
      <c r="K607" cm="1">
        <f t="array" ref="K607" xml:space="preserve"> mc(500, -PI()/2,0,-1, 1, "ln(EXP(x * y))")</f>
        <v>-1.1486186200776821E-2</v>
      </c>
      <c r="L607" cm="1">
        <f t="array" ref="L607" xml:space="preserve"> mc(1000, -PI()/2,0,-1, 1, "ln(EXP(x * y))")</f>
        <v>3.2141424826507586E-2</v>
      </c>
      <c r="N607" cm="1">
        <f t="array" ref="N607" xml:space="preserve"> mc(100, -PI()/2,PI()/2, 0, 1, "sin(cos(x + y))")-1.48235</f>
        <v>-0.1182048773303781</v>
      </c>
      <c r="O607" cm="1">
        <f t="array" ref="O607" xml:space="preserve"> mc(500, -PI()/2,PI()/2, 0, 1, "sin(cos(x + y))")-1.48235</f>
        <v>-8.0314772271107282E-2</v>
      </c>
      <c r="P607" cm="1">
        <f t="array" ref="P607" xml:space="preserve"> mc(1000, -PI()/2,PI()/2, 0, 1, "sin(cos(x + y))")-1.48235</f>
        <v>1.2790583822437585E-2</v>
      </c>
    </row>
    <row r="608" spans="1:16" x14ac:dyDescent="0.3">
      <c r="A608">
        <v>578</v>
      </c>
      <c r="B608" cm="1">
        <f t="array" ref="B608" xml:space="preserve"> mc(100, 0, 4, 1, 2, "x^2+y^2")-92/3</f>
        <v>0.80348904742374572</v>
      </c>
      <c r="C608" cm="1">
        <f t="array" ref="C608" xml:space="preserve"> mc(500, 0, 4, 1, 2, "x^2+y^2")-92/3</f>
        <v>2.2126085604326811</v>
      </c>
      <c r="D608" cm="1">
        <f t="array" ref="D608" xml:space="preserve"> mc(1000, 0, 4, 1, 2, "x^2+y^2")-92/3</f>
        <v>-1.1670664099833701</v>
      </c>
      <c r="F608" cm="1">
        <f t="array" ref="F608" xml:space="preserve"> ( mc(100, 3, 4, -1, 1, "EXP(x * sin(y))") ) - 7.39981</f>
        <v>-1.0377715478313236</v>
      </c>
      <c r="G608" cm="1">
        <f t="array" ref="G608" xml:space="preserve"> ( mc(500, 3, 4, -1, 1, "EXP(x * sin(y))") ) - 7.39981</f>
        <v>0.79988937664669457</v>
      </c>
      <c r="H608" cm="1">
        <f t="array" ref="H608" xml:space="preserve"> ( mc(1000, 3, 4, -1, 1, "EXP(x * sin(y))") ) - 7.39981</f>
        <v>0.15712211361456063</v>
      </c>
      <c r="J608" cm="1">
        <f t="array" ref="J608" xml:space="preserve"> mc(100, -PI()/2,0,-1, 1, "ln(EXP(x * y))")</f>
        <v>-0.1243007016870951</v>
      </c>
      <c r="K608" cm="1">
        <f t="array" ref="K608" xml:space="preserve"> mc(500, -PI()/2,0,-1, 1, "ln(EXP(x * y))")</f>
        <v>-1.6131643477169891E-2</v>
      </c>
      <c r="L608" cm="1">
        <f t="array" ref="L608" xml:space="preserve"> mc(1000, -PI()/2,0,-1, 1, "ln(EXP(x * y))")</f>
        <v>-3.1699872719629679E-2</v>
      </c>
      <c r="N608" cm="1">
        <f t="array" ref="N608" xml:space="preserve"> mc(100, -PI()/2,PI()/2, 0, 1, "sin(cos(x + y))")-1.48235</f>
        <v>-3.0501279402219472E-2</v>
      </c>
      <c r="O608" cm="1">
        <f t="array" ref="O608" xml:space="preserve"> mc(500, -PI()/2,PI()/2, 0, 1, "sin(cos(x + y))")-1.48235</f>
        <v>-4.6232050230613719E-2</v>
      </c>
      <c r="P608" cm="1">
        <f t="array" ref="P608" xml:space="preserve"> mc(1000, -PI()/2,PI()/2, 0, 1, "sin(cos(x + y))")-1.48235</f>
        <v>-2.4548310329478573E-2</v>
      </c>
    </row>
    <row r="609" spans="1:16" x14ac:dyDescent="0.3">
      <c r="A609">
        <v>579</v>
      </c>
      <c r="B609" cm="1">
        <f t="array" ref="B609" xml:space="preserve"> mc(100, 0, 4, 1, 2, "x^2+y^2")-92/3</f>
        <v>0.35959379750257625</v>
      </c>
      <c r="C609" cm="1">
        <f t="array" ref="C609" xml:space="preserve"> mc(500, 0, 4, 1, 2, "x^2+y^2")-92/3</f>
        <v>1.2839550035095328</v>
      </c>
      <c r="D609" cm="1">
        <f t="array" ref="D609" xml:space="preserve"> mc(1000, 0, 4, 1, 2, "x^2+y^2")-92/3</f>
        <v>-0.62660949290418699</v>
      </c>
      <c r="F609" cm="1">
        <f t="array" ref="F609" xml:space="preserve"> ( mc(100, 3, 4, -1, 1, "EXP(x * sin(y))") ) - 7.39981</f>
        <v>0.83914134184351674</v>
      </c>
      <c r="G609" cm="1">
        <f t="array" ref="G609" xml:space="preserve"> ( mc(500, 3, 4, -1, 1, "EXP(x * sin(y))") ) - 7.39981</f>
        <v>-0.36063610529982615</v>
      </c>
      <c r="H609" cm="1">
        <f t="array" ref="H609" xml:space="preserve"> ( mc(1000, 3, 4, -1, 1, "EXP(x * sin(y))") ) - 7.39981</f>
        <v>0.42232532365080289</v>
      </c>
      <c r="J609" cm="1">
        <f t="array" ref="J609" xml:space="preserve"> mc(100, -PI()/2,0,-1, 1, "ln(EXP(x * y))")</f>
        <v>3.3361644618442751E-2</v>
      </c>
      <c r="K609" cm="1">
        <f t="array" ref="K609" xml:space="preserve"> mc(500, -PI()/2,0,-1, 1, "ln(EXP(x * y))")</f>
        <v>9.1082310306470529E-2</v>
      </c>
      <c r="L609" cm="1">
        <f t="array" ref="L609" xml:space="preserve"> mc(1000, -PI()/2,0,-1, 1, "ln(EXP(x * y))")</f>
        <v>0.10068102977330252</v>
      </c>
      <c r="N609" cm="1">
        <f t="array" ref="N609" xml:space="preserve"> mc(100, -PI()/2,PI()/2, 0, 1, "sin(cos(x + y))")-1.48235</f>
        <v>-3.7760061653804966E-2</v>
      </c>
      <c r="O609" cm="1">
        <f t="array" ref="O609" xml:space="preserve"> mc(500, -PI()/2,PI()/2, 0, 1, "sin(cos(x + y))")-1.48235</f>
        <v>2.8778371681438486E-2</v>
      </c>
      <c r="P609" cm="1">
        <f t="array" ref="P609" xml:space="preserve"> mc(1000, -PI()/2,PI()/2, 0, 1, "sin(cos(x + y))")-1.48235</f>
        <v>-9.2154775700012959E-3</v>
      </c>
    </row>
    <row r="610" spans="1:16" x14ac:dyDescent="0.3">
      <c r="A610">
        <v>580</v>
      </c>
      <c r="B610" cm="1">
        <f t="array" ref="B610" xml:space="preserve"> mc(100, 0, 4, 1, 2, "x^2+y^2")-92/3</f>
        <v>-1.2553792293416457</v>
      </c>
      <c r="C610" cm="1">
        <f t="array" ref="C610" xml:space="preserve"> mc(500, 0, 4, 1, 2, "x^2+y^2")-92/3</f>
        <v>-0.4674168826426488</v>
      </c>
      <c r="D610" cm="1">
        <f t="array" ref="D610" xml:space="preserve"> mc(1000, 0, 4, 1, 2, "x^2+y^2")-92/3</f>
        <v>-8.4939419781346004E-2</v>
      </c>
      <c r="F610" cm="1">
        <f t="array" ref="F610" xml:space="preserve"> ( mc(100, 3, 4, -1, 1, "EXP(x * sin(y))") ) - 7.39981</f>
        <v>-0.44872813208459394</v>
      </c>
      <c r="G610" cm="1">
        <f t="array" ref="G610" xml:space="preserve"> ( mc(500, 3, 4, -1, 1, "EXP(x * sin(y))") ) - 7.39981</f>
        <v>0.32104764867424063</v>
      </c>
      <c r="H610" cm="1">
        <f t="array" ref="H610" xml:space="preserve"> ( mc(1000, 3, 4, -1, 1, "EXP(x * sin(y))") ) - 7.39981</f>
        <v>-0.19395919973832232</v>
      </c>
      <c r="J610" cm="1">
        <f t="array" ref="J610" xml:space="preserve"> mc(100, -PI()/2,0,-1, 1, "ln(EXP(x * y))")</f>
        <v>-5.3235334982929108E-2</v>
      </c>
      <c r="K610" cm="1">
        <f t="array" ref="K610" xml:space="preserve"> mc(500, -PI()/2,0,-1, 1, "ln(EXP(x * y))")</f>
        <v>-0.16376336689406354</v>
      </c>
      <c r="L610" cm="1">
        <f t="array" ref="L610" xml:space="preserve"> mc(1000, -PI()/2,0,-1, 1, "ln(EXP(x * y))")</f>
        <v>1.4584386015802892E-2</v>
      </c>
      <c r="N610" cm="1">
        <f t="array" ref="N610" xml:space="preserve"> mc(100, -PI()/2,PI()/2, 0, 1, "sin(cos(x + y))")-1.48235</f>
        <v>0.20291145151091738</v>
      </c>
      <c r="O610" cm="1">
        <f t="array" ref="O610" xml:space="preserve"> mc(500, -PI()/2,PI()/2, 0, 1, "sin(cos(x + y))")-1.48235</f>
        <v>1.3202850655595899E-2</v>
      </c>
      <c r="P610" cm="1">
        <f t="array" ref="P610" xml:space="preserve"> mc(1000, -PI()/2,PI()/2, 0, 1, "sin(cos(x + y))")-1.48235</f>
        <v>7.4069718795988226E-3</v>
      </c>
    </row>
    <row r="611" spans="1:16" x14ac:dyDescent="0.3">
      <c r="A611">
        <v>581</v>
      </c>
      <c r="B611" cm="1">
        <f t="array" ref="B611" xml:space="preserve"> mc(100, 0, 4, 1, 2, "x^2+y^2")-92/3</f>
        <v>0.45630740227762345</v>
      </c>
      <c r="C611" cm="1">
        <f t="array" ref="C611" xml:space="preserve"> mc(500, 0, 4, 1, 2, "x^2+y^2")-92/3</f>
        <v>2.4852520357207197E-2</v>
      </c>
      <c r="D611" cm="1">
        <f t="array" ref="D611" xml:space="preserve"> mc(1000, 0, 4, 1, 2, "x^2+y^2")-92/3</f>
        <v>-0.18040033383335441</v>
      </c>
      <c r="F611" cm="1">
        <f t="array" ref="F611" xml:space="preserve"> ( mc(100, 3, 4, -1, 1, "EXP(x * sin(y))") ) - 7.39981</f>
        <v>-1.2674462396017407</v>
      </c>
      <c r="G611" cm="1">
        <f t="array" ref="G611" xml:space="preserve"> ( mc(500, 3, 4, -1, 1, "EXP(x * sin(y))") ) - 7.39981</f>
        <v>0.24528017527519541</v>
      </c>
      <c r="H611" cm="1">
        <f t="array" ref="H611" xml:space="preserve"> ( mc(1000, 3, 4, -1, 1, "EXP(x * sin(y))") ) - 7.39981</f>
        <v>-0.1956340515250572</v>
      </c>
      <c r="J611" cm="1">
        <f t="array" ref="J611" xml:space="preserve"> mc(100, -PI()/2,0,-1, 1, "ln(EXP(x * y))")</f>
        <v>-0.1780048665941229</v>
      </c>
      <c r="K611" cm="1">
        <f t="array" ref="K611" xml:space="preserve"> mc(500, -PI()/2,0,-1, 1, "ln(EXP(x * y))")</f>
        <v>-9.1772866184314864E-2</v>
      </c>
      <c r="L611" cm="1">
        <f t="array" ref="L611" xml:space="preserve"> mc(1000, -PI()/2,0,-1, 1, "ln(EXP(x * y))")</f>
        <v>5.2280747795699689E-2</v>
      </c>
      <c r="N611" cm="1">
        <f t="array" ref="N611" xml:space="preserve"> mc(100, -PI()/2,PI()/2, 0, 1, "sin(cos(x + y))")-1.48235</f>
        <v>-9.0723590665360065E-2</v>
      </c>
      <c r="O611" cm="1">
        <f t="array" ref="O611" xml:space="preserve"> mc(500, -PI()/2,PI()/2, 0, 1, "sin(cos(x + y))")-1.48235</f>
        <v>-2.2044212308679256E-2</v>
      </c>
      <c r="P611" cm="1">
        <f t="array" ref="P611" xml:space="preserve"> mc(1000, -PI()/2,PI()/2, 0, 1, "sin(cos(x + y))")-1.48235</f>
        <v>3.112538989403224E-2</v>
      </c>
    </row>
    <row r="612" spans="1:16" x14ac:dyDescent="0.3">
      <c r="A612">
        <v>582</v>
      </c>
      <c r="B612" cm="1">
        <f t="array" ref="B612" xml:space="preserve"> mc(100, 0, 4, 1, 2, "x^2+y^2")-92/3</f>
        <v>-0.32524335783033465</v>
      </c>
      <c r="C612" cm="1">
        <f t="array" ref="C612" xml:space="preserve"> mc(500, 0, 4, 1, 2, "x^2+y^2")-92/3</f>
        <v>-0.34171110479895361</v>
      </c>
      <c r="D612" cm="1">
        <f t="array" ref="D612" xml:space="preserve"> mc(1000, 0, 4, 1, 2, "x^2+y^2")-92/3</f>
        <v>-0.38362638323648213</v>
      </c>
      <c r="F612" cm="1">
        <f t="array" ref="F612" xml:space="preserve"> ( mc(100, 3, 4, -1, 1, "EXP(x * sin(y))") ) - 7.39981</f>
        <v>1.1251170846571767</v>
      </c>
      <c r="G612" cm="1">
        <f t="array" ref="G612" xml:space="preserve"> ( mc(500, 3, 4, -1, 1, "EXP(x * sin(y))") ) - 7.39981</f>
        <v>-0.1462356815836916</v>
      </c>
      <c r="H612" cm="1">
        <f t="array" ref="H612" xml:space="preserve"> ( mc(1000, 3, 4, -1, 1, "EXP(x * sin(y))") ) - 7.39981</f>
        <v>0.16298746098311678</v>
      </c>
      <c r="J612" cm="1">
        <f t="array" ref="J612" xml:space="preserve"> mc(100, -PI()/2,0,-1, 1, "ln(EXP(x * y))")</f>
        <v>-3.7568341141187379E-2</v>
      </c>
      <c r="K612" cm="1">
        <f t="array" ref="K612" xml:space="preserve"> mc(500, -PI()/2,0,-1, 1, "ln(EXP(x * y))")</f>
        <v>-6.5242236701862535E-2</v>
      </c>
      <c r="L612" cm="1">
        <f t="array" ref="L612" xml:space="preserve"> mc(1000, -PI()/2,0,-1, 1, "ln(EXP(x * y))")</f>
        <v>-2.5033740032896441E-2</v>
      </c>
      <c r="N612" cm="1">
        <f t="array" ref="N612" xml:space="preserve"> mc(100, -PI()/2,PI()/2, 0, 1, "sin(cos(x + y))")-1.48235</f>
        <v>4.2804268056241934E-2</v>
      </c>
      <c r="O612" cm="1">
        <f t="array" ref="O612" xml:space="preserve"> mc(500, -PI()/2,PI()/2, 0, 1, "sin(cos(x + y))")-1.48235</f>
        <v>-6.3628365412889298E-2</v>
      </c>
      <c r="P612" cm="1">
        <f t="array" ref="P612" xml:space="preserve"> mc(1000, -PI()/2,PI()/2, 0, 1, "sin(cos(x + y))")-1.48235</f>
        <v>-5.8347194446962014E-2</v>
      </c>
    </row>
    <row r="613" spans="1:16" x14ac:dyDescent="0.3">
      <c r="A613">
        <v>583</v>
      </c>
      <c r="B613" cm="1">
        <f t="array" ref="B613" xml:space="preserve"> mc(100, 0, 4, 1, 2, "x^2+y^2")-92/3</f>
        <v>-0.17536357308999584</v>
      </c>
      <c r="C613" cm="1">
        <f t="array" ref="C613" xml:space="preserve"> mc(500, 0, 4, 1, 2, "x^2+y^2")-92/3</f>
        <v>-1.0523668822372692</v>
      </c>
      <c r="D613" cm="1">
        <f t="array" ref="D613" xml:space="preserve"> mc(1000, 0, 4, 1, 2, "x^2+y^2")-92/3</f>
        <v>-0.27547307103916907</v>
      </c>
      <c r="F613" cm="1">
        <f t="array" ref="F613" xml:space="preserve"> ( mc(100, 3, 4, -1, 1, "EXP(x * sin(y))") ) - 7.39981</f>
        <v>1.4028530502996279</v>
      </c>
      <c r="G613" cm="1">
        <f t="array" ref="G613" xml:space="preserve"> ( mc(500, 3, 4, -1, 1, "EXP(x * sin(y))") ) - 7.39981</f>
        <v>0.47837315441100792</v>
      </c>
      <c r="H613" cm="1">
        <f t="array" ref="H613" xml:space="preserve"> ( mc(1000, 3, 4, -1, 1, "EXP(x * sin(y))") ) - 7.39981</f>
        <v>0.56960953085838462</v>
      </c>
      <c r="J613" cm="1">
        <f t="array" ref="J613" xml:space="preserve"> mc(100, -PI()/2,0,-1, 1, "ln(EXP(x * y))")</f>
        <v>0.26763896535845783</v>
      </c>
      <c r="K613" cm="1">
        <f t="array" ref="K613" xml:space="preserve"> mc(500, -PI()/2,0,-1, 1, "ln(EXP(x * y))")</f>
        <v>-3.5655149397568947E-2</v>
      </c>
      <c r="L613" cm="1">
        <f t="array" ref="L613" xml:space="preserve"> mc(1000, -PI()/2,0,-1, 1, "ln(EXP(x * y))")</f>
        <v>-4.3411114651724758E-2</v>
      </c>
      <c r="N613" cm="1">
        <f t="array" ref="N613" xml:space="preserve"> mc(100, -PI()/2,PI()/2, 0, 1, "sin(cos(x + y))")-1.48235</f>
        <v>-0.16125609359762283</v>
      </c>
      <c r="O613" cm="1">
        <f t="array" ref="O613" xml:space="preserve"> mc(500, -PI()/2,PI()/2, 0, 1, "sin(cos(x + y))")-1.48235</f>
        <v>3.0269865440561761E-2</v>
      </c>
      <c r="P613" cm="1">
        <f t="array" ref="P613" xml:space="preserve"> mc(1000, -PI()/2,PI()/2, 0, 1, "sin(cos(x + y))")-1.48235</f>
        <v>4.6549460798662734E-2</v>
      </c>
    </row>
    <row r="614" spans="1:16" x14ac:dyDescent="0.3">
      <c r="A614">
        <v>584</v>
      </c>
      <c r="B614" cm="1">
        <f t="array" ref="B614" xml:space="preserve"> mc(100, 0, 4, 1, 2, "x^2+y^2")-92/3</f>
        <v>-1.4590451944886027</v>
      </c>
      <c r="C614" cm="1">
        <f t="array" ref="C614" xml:space="preserve"> mc(500, 0, 4, 1, 2, "x^2+y^2")-92/3</f>
        <v>0.74327983864933245</v>
      </c>
      <c r="D614" cm="1">
        <f t="array" ref="D614" xml:space="preserve"> mc(1000, 0, 4, 1, 2, "x^2+y^2")-92/3</f>
        <v>0.55233790653034731</v>
      </c>
      <c r="F614" cm="1">
        <f t="array" ref="F614" xml:space="preserve"> ( mc(100, 3, 4, -1, 1, "EXP(x * sin(y))") ) - 7.39981</f>
        <v>-0.20123636607595952</v>
      </c>
      <c r="G614" cm="1">
        <f t="array" ref="G614" xml:space="preserve"> ( mc(500, 3, 4, -1, 1, "EXP(x * sin(y))") ) - 7.39981</f>
        <v>-0.46049923110502267</v>
      </c>
      <c r="H614" cm="1">
        <f t="array" ref="H614" xml:space="preserve"> ( mc(1000, 3, 4, -1, 1, "EXP(x * sin(y))") ) - 7.39981</f>
        <v>0.28961786674520251</v>
      </c>
      <c r="J614" cm="1">
        <f t="array" ref="J614" xml:space="preserve"> mc(100, -PI()/2,0,-1, 1, "ln(EXP(x * y))")</f>
        <v>7.5480918944358308E-2</v>
      </c>
      <c r="K614" cm="1">
        <f t="array" ref="K614" xml:space="preserve"> mc(500, -PI()/2,0,-1, 1, "ln(EXP(x * y))")</f>
        <v>7.5656722814888997E-3</v>
      </c>
      <c r="L614" cm="1">
        <f t="array" ref="L614" xml:space="preserve"> mc(1000, -PI()/2,0,-1, 1, "ln(EXP(x * y))")</f>
        <v>-5.7237350419134039E-2</v>
      </c>
      <c r="N614" cm="1">
        <f t="array" ref="N614" xml:space="preserve"> mc(100, -PI()/2,PI()/2, 0, 1, "sin(cos(x + y))")-1.48235</f>
        <v>0.20974792070172477</v>
      </c>
      <c r="O614" cm="1">
        <f t="array" ref="O614" xml:space="preserve"> mc(500, -PI()/2,PI()/2, 0, 1, "sin(cos(x + y))")-1.48235</f>
        <v>-7.0093967650443956E-2</v>
      </c>
      <c r="P614" cm="1">
        <f t="array" ref="P614" xml:space="preserve"> mc(1000, -PI()/2,PI()/2, 0, 1, "sin(cos(x + y))")-1.48235</f>
        <v>-5.0705256504786078E-3</v>
      </c>
    </row>
    <row r="615" spans="1:16" x14ac:dyDescent="0.3">
      <c r="A615">
        <v>585</v>
      </c>
      <c r="B615" cm="1">
        <f t="array" ref="B615" xml:space="preserve"> mc(100, 0, 4, 1, 2, "x^2+y^2")-92/3</f>
        <v>0.55540534915515138</v>
      </c>
      <c r="C615" cm="1">
        <f t="array" ref="C615" xml:space="preserve"> mc(500, 0, 4, 1, 2, "x^2+y^2")-92/3</f>
        <v>0.20502383634581278</v>
      </c>
      <c r="D615" cm="1">
        <f t="array" ref="D615" xml:space="preserve"> mc(1000, 0, 4, 1, 2, "x^2+y^2")-92/3</f>
        <v>-0.16035148098840679</v>
      </c>
      <c r="F615" cm="1">
        <f t="array" ref="F615" xml:space="preserve"> ( mc(100, 3, 4, -1, 1, "EXP(x * sin(y))") ) - 7.39981</f>
        <v>0.98714913931951997</v>
      </c>
      <c r="G615" cm="1">
        <f t="array" ref="G615" xml:space="preserve"> ( mc(500, 3, 4, -1, 1, "EXP(x * sin(y))") ) - 7.39981</f>
        <v>-0.12272855490029588</v>
      </c>
      <c r="H615" cm="1">
        <f t="array" ref="H615" xml:space="preserve"> ( mc(1000, 3, 4, -1, 1, "EXP(x * sin(y))") ) - 7.39981</f>
        <v>1.6263191182420478E-2</v>
      </c>
      <c r="J615" cm="1">
        <f t="array" ref="J615" xml:space="preserve"> mc(100, -PI()/2,0,-1, 1, "ln(EXP(x * y))")</f>
        <v>-5.9803966305586938E-2</v>
      </c>
      <c r="K615" cm="1">
        <f t="array" ref="K615" xml:space="preserve"> mc(500, -PI()/2,0,-1, 1, "ln(EXP(x * y))")</f>
        <v>0.18008183699528443</v>
      </c>
      <c r="L615" cm="1">
        <f t="array" ref="L615" xml:space="preserve"> mc(1000, -PI()/2,0,-1, 1, "ln(EXP(x * y))")</f>
        <v>-0.12127019033985731</v>
      </c>
      <c r="N615" cm="1">
        <f t="array" ref="N615" xml:space="preserve"> mc(100, -PI()/2,PI()/2, 0, 1, "sin(cos(x + y))")-1.48235</f>
        <v>-8.3157678182189221E-2</v>
      </c>
      <c r="O615" cm="1">
        <f t="array" ref="O615" xml:space="preserve"> mc(500, -PI()/2,PI()/2, 0, 1, "sin(cos(x + y))")-1.48235</f>
        <v>6.4140963049535538E-2</v>
      </c>
      <c r="P615" cm="1">
        <f t="array" ref="P615" xml:space="preserve"> mc(1000, -PI()/2,PI()/2, 0, 1, "sin(cos(x + y))")-1.48235</f>
        <v>2.7218833885974902E-2</v>
      </c>
    </row>
    <row r="616" spans="1:16" x14ac:dyDescent="0.3">
      <c r="A616">
        <v>586</v>
      </c>
      <c r="B616" cm="1">
        <f t="array" ref="B616" xml:space="preserve"> mc(100, 0, 4, 1, 2, "x^2+y^2")-92/3</f>
        <v>-1.3207001935342468</v>
      </c>
      <c r="C616" cm="1">
        <f t="array" ref="C616" xml:space="preserve"> mc(500, 0, 4, 1, 2, "x^2+y^2")-92/3</f>
        <v>0.52628903675109484</v>
      </c>
      <c r="D616" cm="1">
        <f t="array" ref="D616" xml:space="preserve"> mc(1000, 0, 4, 1, 2, "x^2+y^2")-92/3</f>
        <v>0.38064981086883876</v>
      </c>
      <c r="F616" cm="1">
        <f t="array" ref="F616" xml:space="preserve"> ( mc(100, 3, 4, -1, 1, "EXP(x * sin(y))") ) - 7.39981</f>
        <v>-0.31660254675661736</v>
      </c>
      <c r="G616" cm="1">
        <f t="array" ref="G616" xml:space="preserve"> ( mc(500, 3, 4, -1, 1, "EXP(x * sin(y))") ) - 7.39981</f>
        <v>-7.2727987963657093E-2</v>
      </c>
      <c r="H616" cm="1">
        <f t="array" ref="H616" xml:space="preserve"> ( mc(1000, 3, 4, -1, 1, "EXP(x * sin(y))") ) - 7.39981</f>
        <v>0.26869164244692634</v>
      </c>
      <c r="J616" cm="1">
        <f t="array" ref="J616" xml:space="preserve"> mc(100, -PI()/2,0,-1, 1, "ln(EXP(x * y))")</f>
        <v>-2.591942249180771E-2</v>
      </c>
      <c r="K616" cm="1">
        <f t="array" ref="K616" xml:space="preserve"> mc(500, -PI()/2,0,-1, 1, "ln(EXP(x * y))")</f>
        <v>4.9694569788214474E-2</v>
      </c>
      <c r="L616" cm="1">
        <f t="array" ref="L616" xml:space="preserve"> mc(1000, -PI()/2,0,-1, 1, "ln(EXP(x * y))")</f>
        <v>-5.5859145578486612E-2</v>
      </c>
      <c r="N616" cm="1">
        <f t="array" ref="N616" xml:space="preserve"> mc(100, -PI()/2,PI()/2, 0, 1, "sin(cos(x + y))")-1.48235</f>
        <v>5.9696268117244156E-2</v>
      </c>
      <c r="O616" cm="1">
        <f t="array" ref="O616" xml:space="preserve"> mc(500, -PI()/2,PI()/2, 0, 1, "sin(cos(x + y))")-1.48235</f>
        <v>-1.376802351814832E-2</v>
      </c>
      <c r="P616" cm="1">
        <f t="array" ref="P616" xml:space="preserve"> mc(1000, -PI()/2,PI()/2, 0, 1, "sin(cos(x + y))")-1.48235</f>
        <v>-1.7898006700318048E-2</v>
      </c>
    </row>
    <row r="617" spans="1:16" x14ac:dyDescent="0.3">
      <c r="A617">
        <v>587</v>
      </c>
      <c r="B617" cm="1">
        <f t="array" ref="B617" xml:space="preserve"> mc(100, 0, 4, 1, 2, "x^2+y^2")-92/3</f>
        <v>-2.8604399257736688</v>
      </c>
      <c r="C617" cm="1">
        <f t="array" ref="C617" xml:space="preserve"> mc(500, 0, 4, 1, 2, "x^2+y^2")-92/3</f>
        <v>6.2651181469671968E-2</v>
      </c>
      <c r="D617" cm="1">
        <f t="array" ref="D617" xml:space="preserve"> mc(1000, 0, 4, 1, 2, "x^2+y^2")-92/3</f>
        <v>0.31030966588738451</v>
      </c>
      <c r="F617" cm="1">
        <f t="array" ref="F617" xml:space="preserve"> ( mc(100, 3, 4, -1, 1, "EXP(x * sin(y))") ) - 7.39981</f>
        <v>2.2731465889632982</v>
      </c>
      <c r="G617" cm="1">
        <f t="array" ref="G617" xml:space="preserve"> ( mc(500, 3, 4, -1, 1, "EXP(x * sin(y))") ) - 7.39981</f>
        <v>0.29205837147735103</v>
      </c>
      <c r="H617" cm="1">
        <f t="array" ref="H617" xml:space="preserve"> ( mc(1000, 3, 4, -1, 1, "EXP(x * sin(y))") ) - 7.39981</f>
        <v>3.08212608611802E-2</v>
      </c>
      <c r="J617" cm="1">
        <f t="array" ref="J617" xml:space="preserve"> mc(100, -PI()/2,0,-1, 1, "ln(EXP(x * y))")</f>
        <v>4.1347842979745697E-2</v>
      </c>
      <c r="K617" cm="1">
        <f t="array" ref="K617" xml:space="preserve"> mc(500, -PI()/2,0,-1, 1, "ln(EXP(x * y))")</f>
        <v>-9.2623203813188754E-2</v>
      </c>
      <c r="L617" cm="1">
        <f t="array" ref="L617" xml:space="preserve"> mc(1000, -PI()/2,0,-1, 1, "ln(EXP(x * y))")</f>
        <v>8.4136185416669534E-2</v>
      </c>
      <c r="N617" cm="1">
        <f t="array" ref="N617" xml:space="preserve"> mc(100, -PI()/2,PI()/2, 0, 1, "sin(cos(x + y))")-1.48235</f>
        <v>1.5201155093495622E-2</v>
      </c>
      <c r="O617" cm="1">
        <f t="array" ref="O617" xml:space="preserve"> mc(500, -PI()/2,PI()/2, 0, 1, "sin(cos(x + y))")-1.48235</f>
        <v>2.8787713752241872E-2</v>
      </c>
      <c r="P617" cm="1">
        <f t="array" ref="P617" xml:space="preserve"> mc(1000, -PI()/2,PI()/2, 0, 1, "sin(cos(x + y))")-1.48235</f>
        <v>1.0418179507190928E-2</v>
      </c>
    </row>
    <row r="618" spans="1:16" x14ac:dyDescent="0.3">
      <c r="A618">
        <v>588</v>
      </c>
      <c r="B618" cm="1">
        <f t="array" ref="B618" xml:space="preserve"> mc(100, 0, 4, 1, 2, "x^2+y^2")-92/3</f>
        <v>4.2840302283249976</v>
      </c>
      <c r="C618" cm="1">
        <f t="array" ref="C618" xml:space="preserve"> mc(500, 0, 4, 1, 2, "x^2+y^2")-92/3</f>
        <v>1.2586564054253202</v>
      </c>
      <c r="D618" cm="1">
        <f t="array" ref="D618" xml:space="preserve"> mc(1000, 0, 4, 1, 2, "x^2+y^2")-92/3</f>
        <v>0.74374420995907542</v>
      </c>
      <c r="F618" cm="1">
        <f t="array" ref="F618" xml:space="preserve"> ( mc(100, 3, 4, -1, 1, "EXP(x * sin(y))") ) - 7.39981</f>
        <v>0.96072118113274207</v>
      </c>
      <c r="G618" cm="1">
        <f t="array" ref="G618" xml:space="preserve"> ( mc(500, 3, 4, -1, 1, "EXP(x * sin(y))") ) - 7.39981</f>
        <v>0.15249808578325741</v>
      </c>
      <c r="H618" cm="1">
        <f t="array" ref="H618" xml:space="preserve"> ( mc(1000, 3, 4, -1, 1, "EXP(x * sin(y))") ) - 7.39981</f>
        <v>-0.43737744447942184</v>
      </c>
      <c r="J618" cm="1">
        <f t="array" ref="J618" xml:space="preserve"> mc(100, -PI()/2,0,-1, 1, "ln(EXP(x * y))")</f>
        <v>-8.5438420434801987E-2</v>
      </c>
      <c r="K618" cm="1">
        <f t="array" ref="K618" xml:space="preserve"> mc(500, -PI()/2,0,-1, 1, "ln(EXP(x * y))")</f>
        <v>9.0924591767436752E-2</v>
      </c>
      <c r="L618" cm="1">
        <f t="array" ref="L618" xml:space="preserve"> mc(1000, -PI()/2,0,-1, 1, "ln(EXP(x * y))")</f>
        <v>6.5680433464181148E-2</v>
      </c>
      <c r="N618" cm="1">
        <f t="array" ref="N618" xml:space="preserve"> mc(100, -PI()/2,PI()/2, 0, 1, "sin(cos(x + y))")-1.48235</f>
        <v>6.7421161244382688E-2</v>
      </c>
      <c r="O618" cm="1">
        <f t="array" ref="O618" xml:space="preserve"> mc(500, -PI()/2,PI()/2, 0, 1, "sin(cos(x + y))")-1.48235</f>
        <v>2.7670736053476475E-2</v>
      </c>
      <c r="P618" cm="1">
        <f t="array" ref="P618" xml:space="preserve"> mc(1000, -PI()/2,PI()/2, 0, 1, "sin(cos(x + y))")-1.48235</f>
        <v>-1.3243550889834754E-2</v>
      </c>
    </row>
    <row r="619" spans="1:16" x14ac:dyDescent="0.3">
      <c r="A619">
        <v>589</v>
      </c>
      <c r="B619" cm="1">
        <f t="array" ref="B619" xml:space="preserve"> mc(100, 0, 4, 1, 2, "x^2+y^2")-92/3</f>
        <v>0.511416644248186</v>
      </c>
      <c r="C619" cm="1">
        <f t="array" ref="C619" xml:space="preserve"> mc(500, 0, 4, 1, 2, "x^2+y^2")-92/3</f>
        <v>1.100551334808614</v>
      </c>
      <c r="D619" cm="1">
        <f t="array" ref="D619" xml:space="preserve"> mc(1000, 0, 4, 1, 2, "x^2+y^2")-92/3</f>
        <v>-0.88118282180451146</v>
      </c>
      <c r="F619" cm="1">
        <f t="array" ref="F619" xml:space="preserve"> ( mc(100, 3, 4, -1, 1, "EXP(x * sin(y))") ) - 7.39981</f>
        <v>-1.2174430337831303</v>
      </c>
      <c r="G619" cm="1">
        <f t="array" ref="G619" xml:space="preserve"> ( mc(500, 3, 4, -1, 1, "EXP(x * sin(y))") ) - 7.39981</f>
        <v>-0.18533049148970626</v>
      </c>
      <c r="H619" cm="1">
        <f t="array" ref="H619" xml:space="preserve"> ( mc(1000, 3, 4, -1, 1, "EXP(x * sin(y))") ) - 7.39981</f>
        <v>-0.38558103889390871</v>
      </c>
      <c r="J619" cm="1">
        <f t="array" ref="J619" xml:space="preserve"> mc(100, -PI()/2,0,-1, 1, "ln(EXP(x * y))")</f>
        <v>-2.4239323325735765E-2</v>
      </c>
      <c r="K619" cm="1">
        <f t="array" ref="K619" xml:space="preserve"> mc(500, -PI()/2,0,-1, 1, "ln(EXP(x * y))")</f>
        <v>6.0383530527563345E-2</v>
      </c>
      <c r="L619" cm="1">
        <f t="array" ref="L619" xml:space="preserve"> mc(1000, -PI()/2,0,-1, 1, "ln(EXP(x * y))")</f>
        <v>1.1648356869345398E-2</v>
      </c>
      <c r="N619" cm="1">
        <f t="array" ref="N619" xml:space="preserve"> mc(100, -PI()/2,PI()/2, 0, 1, "sin(cos(x + y))")-1.48235</f>
        <v>-0.16580096118829624</v>
      </c>
      <c r="O619" cm="1">
        <f t="array" ref="O619" xml:space="preserve"> mc(500, -PI()/2,PI()/2, 0, 1, "sin(cos(x + y))")-1.48235</f>
        <v>2.1272241048042373E-2</v>
      </c>
      <c r="P619" cm="1">
        <f t="array" ref="P619" xml:space="preserve"> mc(1000, -PI()/2,PI()/2, 0, 1, "sin(cos(x + y))")-1.48235</f>
        <v>7.0838101057943081E-2</v>
      </c>
    </row>
    <row r="620" spans="1:16" x14ac:dyDescent="0.3">
      <c r="A620">
        <v>590</v>
      </c>
      <c r="B620" cm="1">
        <f t="array" ref="B620" xml:space="preserve"> mc(100, 0, 4, 1, 2, "x^2+y^2")-92/3</f>
        <v>3.2347776399447525E-2</v>
      </c>
      <c r="C620" cm="1">
        <f t="array" ref="C620" xml:space="preserve"> mc(500, 0, 4, 1, 2, "x^2+y^2")-92/3</f>
        <v>-1.0601917801249598</v>
      </c>
      <c r="D620" cm="1">
        <f t="array" ref="D620" xml:space="preserve"> mc(1000, 0, 4, 1, 2, "x^2+y^2")-92/3</f>
        <v>0.29644949064262605</v>
      </c>
      <c r="F620" cm="1">
        <f t="array" ref="F620" xml:space="preserve"> ( mc(100, 3, 4, -1, 1, "EXP(x * sin(y))") ) - 7.39981</f>
        <v>7.2221567086105942E-2</v>
      </c>
      <c r="G620" cm="1">
        <f t="array" ref="G620" xml:space="preserve"> ( mc(500, 3, 4, -1, 1, "EXP(x * sin(y))") ) - 7.39981</f>
        <v>-5.9473064826918609E-2</v>
      </c>
      <c r="H620" cm="1">
        <f t="array" ref="H620" xml:space="preserve"> ( mc(1000, 3, 4, -1, 1, "EXP(x * sin(y))") ) - 7.39981</f>
        <v>0.4054920979651726</v>
      </c>
      <c r="J620" cm="1">
        <f t="array" ref="J620" xml:space="preserve"> mc(100, -PI()/2,0,-1, 1, "ln(EXP(x * y))")</f>
        <v>-0.404064142313318</v>
      </c>
      <c r="K620" cm="1">
        <f t="array" ref="K620" xml:space="preserve"> mc(500, -PI()/2,0,-1, 1, "ln(EXP(x * y))")</f>
        <v>-4.964858819880983E-2</v>
      </c>
      <c r="L620" cm="1">
        <f t="array" ref="L620" xml:space="preserve"> mc(1000, -PI()/2,0,-1, 1, "ln(EXP(x * y))")</f>
        <v>2.5402246132752618E-2</v>
      </c>
      <c r="N620" cm="1">
        <f t="array" ref="N620" xml:space="preserve"> mc(100, -PI()/2,PI()/2, 0, 1, "sin(cos(x + y))")-1.48235</f>
        <v>-0.20658558092430601</v>
      </c>
      <c r="O620" cm="1">
        <f t="array" ref="O620" xml:space="preserve"> mc(500, -PI()/2,PI()/2, 0, 1, "sin(cos(x + y))")-1.48235</f>
        <v>-4.4231308407944647E-2</v>
      </c>
      <c r="P620" cm="1">
        <f t="array" ref="P620" xml:space="preserve"> mc(1000, -PI()/2,PI()/2, 0, 1, "sin(cos(x + y))")-1.48235</f>
        <v>-2.4169791643811278E-2</v>
      </c>
    </row>
    <row r="621" spans="1:16" x14ac:dyDescent="0.3">
      <c r="A621">
        <v>591</v>
      </c>
      <c r="B621" cm="1">
        <f t="array" ref="B621" xml:space="preserve"> mc(100, 0, 4, 1, 2, "x^2+y^2")-92/3</f>
        <v>-0.8124941456892536</v>
      </c>
      <c r="C621" cm="1">
        <f t="array" ref="C621" xml:space="preserve"> mc(500, 0, 4, 1, 2, "x^2+y^2")-92/3</f>
        <v>0.56580179465383651</v>
      </c>
      <c r="D621" cm="1">
        <f t="array" ref="D621" xml:space="preserve"> mc(1000, 0, 4, 1, 2, "x^2+y^2")-92/3</f>
        <v>-1.0392428447616098</v>
      </c>
      <c r="F621" cm="1">
        <f t="array" ref="F621" xml:space="preserve"> ( mc(100, 3, 4, -1, 1, "EXP(x * sin(y))") ) - 7.39981</f>
        <v>-9.3011569734913202E-2</v>
      </c>
      <c r="G621" cm="1">
        <f t="array" ref="G621" xml:space="preserve"> ( mc(500, 3, 4, -1, 1, "EXP(x * sin(y))") ) - 7.39981</f>
        <v>0.46514320736561299</v>
      </c>
      <c r="H621" cm="1">
        <f t="array" ref="H621" xml:space="preserve"> ( mc(1000, 3, 4, -1, 1, "EXP(x * sin(y))") ) - 7.39981</f>
        <v>0.22561339524533253</v>
      </c>
      <c r="J621" cm="1">
        <f t="array" ref="J621" xml:space="preserve"> mc(100, -PI()/2,0,-1, 1, "ln(EXP(x * y))")</f>
        <v>0.10705826550511929</v>
      </c>
      <c r="K621" cm="1">
        <f t="array" ref="K621" xml:space="preserve"> mc(500, -PI()/2,0,-1, 1, "ln(EXP(x * y))")</f>
        <v>8.4985095672657787E-2</v>
      </c>
      <c r="L621" cm="1">
        <f t="array" ref="L621" xml:space="preserve"> mc(1000, -PI()/2,0,-1, 1, "ln(EXP(x * y))")</f>
        <v>4.1809118167449789E-2</v>
      </c>
      <c r="N621" cm="1">
        <f t="array" ref="N621" xml:space="preserve"> mc(100, -PI()/2,PI()/2, 0, 1, "sin(cos(x + y))")-1.48235</f>
        <v>1.891748677841143E-3</v>
      </c>
      <c r="O621" cm="1">
        <f t="array" ref="O621" xml:space="preserve"> mc(500, -PI()/2,PI()/2, 0, 1, "sin(cos(x + y))")-1.48235</f>
        <v>4.5959991454034732E-2</v>
      </c>
      <c r="P621" cm="1">
        <f t="array" ref="P621" xml:space="preserve"> mc(1000, -PI()/2,PI()/2, 0, 1, "sin(cos(x + y))")-1.48235</f>
        <v>-3.2762179692731763E-2</v>
      </c>
    </row>
    <row r="622" spans="1:16" x14ac:dyDescent="0.3">
      <c r="A622">
        <v>592</v>
      </c>
      <c r="B622" cm="1">
        <f t="array" ref="B622" xml:space="preserve"> mc(100, 0, 4, 1, 2, "x^2+y^2")-92/3</f>
        <v>-0.13920269808722097</v>
      </c>
      <c r="C622" cm="1">
        <f t="array" ref="C622" xml:space="preserve"> mc(500, 0, 4, 1, 2, "x^2+y^2")-92/3</f>
        <v>-0.58241103498172819</v>
      </c>
      <c r="D622" cm="1">
        <f t="array" ref="D622" xml:space="preserve"> mc(1000, 0, 4, 1, 2, "x^2+y^2")-92/3</f>
        <v>0.68641458470719385</v>
      </c>
      <c r="F622" cm="1">
        <f t="array" ref="F622" xml:space="preserve"> ( mc(100, 3, 4, -1, 1, "EXP(x * sin(y))") ) - 7.39981</f>
        <v>-0.49361781576630115</v>
      </c>
      <c r="G622" cm="1">
        <f t="array" ref="G622" xml:space="preserve"> ( mc(500, 3, 4, -1, 1, "EXP(x * sin(y))") ) - 7.39981</f>
        <v>-7.0068072291055827E-2</v>
      </c>
      <c r="H622" cm="1">
        <f t="array" ref="H622" xml:space="preserve"> ( mc(1000, 3, 4, -1, 1, "EXP(x * sin(y))") ) - 7.39981</f>
        <v>0.19507095758797455</v>
      </c>
      <c r="J622" cm="1">
        <f t="array" ref="J622" xml:space="preserve"> mc(100, -PI()/2,0,-1, 1, "ln(EXP(x * y))")</f>
        <v>0.21359775502264705</v>
      </c>
      <c r="K622" cm="1">
        <f t="array" ref="K622" xml:space="preserve"> mc(500, -PI()/2,0,-1, 1, "ln(EXP(x * y))")</f>
        <v>6.3458815713557923E-2</v>
      </c>
      <c r="L622" cm="1">
        <f t="array" ref="L622" xml:space="preserve"> mc(1000, -PI()/2,0,-1, 1, "ln(EXP(x * y))")</f>
        <v>-2.2667524570507115E-2</v>
      </c>
      <c r="N622" cm="1">
        <f t="array" ref="N622" xml:space="preserve"> mc(100, -PI()/2,PI()/2, 0, 1, "sin(cos(x + y))")-1.48235</f>
        <v>0.14194414063385907</v>
      </c>
      <c r="O622" cm="1">
        <f t="array" ref="O622" xml:space="preserve"> mc(500, -PI()/2,PI()/2, 0, 1, "sin(cos(x + y))")-1.48235</f>
        <v>-3.3001984637410775E-3</v>
      </c>
      <c r="P622" cm="1">
        <f t="array" ref="P622" xml:space="preserve"> mc(1000, -PI()/2,PI()/2, 0, 1, "sin(cos(x + y))")-1.48235</f>
        <v>-1.5543591326684814E-2</v>
      </c>
    </row>
    <row r="623" spans="1:16" x14ac:dyDescent="0.3">
      <c r="A623">
        <v>593</v>
      </c>
      <c r="B623" cm="1">
        <f t="array" ref="B623" xml:space="preserve"> mc(100, 0, 4, 1, 2, "x^2+y^2")-92/3</f>
        <v>0.8599994281583534</v>
      </c>
      <c r="C623" cm="1">
        <f t="array" ref="C623" xml:space="preserve"> mc(500, 0, 4, 1, 2, "x^2+y^2")-92/3</f>
        <v>0.25908760898337135</v>
      </c>
      <c r="D623" cm="1">
        <f t="array" ref="D623" xml:space="preserve"> mc(1000, 0, 4, 1, 2, "x^2+y^2")-92/3</f>
        <v>-0.26380000896858746</v>
      </c>
      <c r="F623" cm="1">
        <f t="array" ref="F623" xml:space="preserve"> ( mc(100, 3, 4, -1, 1, "EXP(x * sin(y))") ) - 7.39981</f>
        <v>1.2210188977556982</v>
      </c>
      <c r="G623" cm="1">
        <f t="array" ref="G623" xml:space="preserve"> ( mc(500, 3, 4, -1, 1, "EXP(x * sin(y))") ) - 7.39981</f>
        <v>-0.21929840407943146</v>
      </c>
      <c r="H623" cm="1">
        <f t="array" ref="H623" xml:space="preserve"> ( mc(1000, 3, 4, -1, 1, "EXP(x * sin(y))") ) - 7.39981</f>
        <v>6.0515233594689022E-2</v>
      </c>
      <c r="J623" cm="1">
        <f t="array" ref="J623" xml:space="preserve"> mc(100, -PI()/2,0,-1, 1, "ln(EXP(x * y))")</f>
        <v>-0.27324719835980144</v>
      </c>
      <c r="K623" cm="1">
        <f t="array" ref="K623" xml:space="preserve"> mc(500, -PI()/2,0,-1, 1, "ln(EXP(x * y))")</f>
        <v>2.1215827009489884E-2</v>
      </c>
      <c r="L623" cm="1">
        <f t="array" ref="L623" xml:space="preserve"> mc(1000, -PI()/2,0,-1, 1, "ln(EXP(x * y))")</f>
        <v>3.0653961884058754E-2</v>
      </c>
      <c r="N623" cm="1">
        <f t="array" ref="N623" xml:space="preserve"> mc(100, -PI()/2,PI()/2, 0, 1, "sin(cos(x + y))")-1.48235</f>
        <v>-0.2955595200136254</v>
      </c>
      <c r="O623" cm="1">
        <f t="array" ref="O623" xml:space="preserve"> mc(500, -PI()/2,PI()/2, 0, 1, "sin(cos(x + y))")-1.48235</f>
        <v>-6.2262635073486061E-2</v>
      </c>
      <c r="P623" cm="1">
        <f t="array" ref="P623" xml:space="preserve"> mc(1000, -PI()/2,PI()/2, 0, 1, "sin(cos(x + y))")-1.48235</f>
        <v>7.224950827587473E-2</v>
      </c>
    </row>
    <row r="624" spans="1:16" x14ac:dyDescent="0.3">
      <c r="A624">
        <v>594</v>
      </c>
      <c r="B624" cm="1">
        <f t="array" ref="B624" xml:space="preserve"> mc(100, 0, 4, 1, 2, "x^2+y^2")-92/3</f>
        <v>0.43038236932119744</v>
      </c>
      <c r="C624" cm="1">
        <f t="array" ref="C624" xml:space="preserve"> mc(500, 0, 4, 1, 2, "x^2+y^2")-92/3</f>
        <v>0.85066271052389553</v>
      </c>
      <c r="D624" cm="1">
        <f t="array" ref="D624" xml:space="preserve"> mc(1000, 0, 4, 1, 2, "x^2+y^2")-92/3</f>
        <v>0.47272569583622115</v>
      </c>
      <c r="F624" cm="1">
        <f t="array" ref="F624" xml:space="preserve"> ( mc(100, 3, 4, -1, 1, "EXP(x * sin(y))") ) - 7.39981</f>
        <v>-2.4522005268715965</v>
      </c>
      <c r="G624" cm="1">
        <f t="array" ref="G624" xml:space="preserve"> ( mc(500, 3, 4, -1, 1, "EXP(x * sin(y))") ) - 7.39981</f>
        <v>-0.15860870800707971</v>
      </c>
      <c r="H624" cm="1">
        <f t="array" ref="H624" xml:space="preserve"> ( mc(1000, 3, 4, -1, 1, "EXP(x * sin(y))") ) - 7.39981</f>
        <v>-0.36188475314233415</v>
      </c>
      <c r="J624" cm="1">
        <f t="array" ref="J624" xml:space="preserve"> mc(100, -PI()/2,0,-1, 1, "ln(EXP(x * y))")</f>
        <v>-0.19739329122052579</v>
      </c>
      <c r="K624" cm="1">
        <f t="array" ref="K624" xml:space="preserve"> mc(500, -PI()/2,0,-1, 1, "ln(EXP(x * y))")</f>
        <v>0.13261463234375256</v>
      </c>
      <c r="L624" cm="1">
        <f t="array" ref="L624" xml:space="preserve"> mc(1000, -PI()/2,0,-1, 1, "ln(EXP(x * y))")</f>
        <v>4.8283031026013355E-2</v>
      </c>
      <c r="N624" cm="1">
        <f t="array" ref="N624" xml:space="preserve"> mc(100, -PI()/2,PI()/2, 0, 1, "sin(cos(x + y))")-1.48235</f>
        <v>-0.23232367716872515</v>
      </c>
      <c r="O624" cm="1">
        <f t="array" ref="O624" xml:space="preserve"> mc(500, -PI()/2,PI()/2, 0, 1, "sin(cos(x + y))")-1.48235</f>
        <v>-2.2359137943321006E-2</v>
      </c>
      <c r="P624" cm="1">
        <f t="array" ref="P624" xml:space="preserve"> mc(1000, -PI()/2,PI()/2, 0, 1, "sin(cos(x + y))")-1.48235</f>
        <v>-4.8437350353343067E-3</v>
      </c>
    </row>
    <row r="625" spans="1:16" x14ac:dyDescent="0.3">
      <c r="A625">
        <v>595</v>
      </c>
      <c r="B625" cm="1">
        <f t="array" ref="B625" xml:space="preserve"> mc(100, 0, 4, 1, 2, "x^2+y^2")-92/3</f>
        <v>2.6477784390790511</v>
      </c>
      <c r="C625" cm="1">
        <f t="array" ref="C625" xml:space="preserve"> mc(500, 0, 4, 1, 2, "x^2+y^2")-92/3</f>
        <v>0.4869975461767666</v>
      </c>
      <c r="D625" cm="1">
        <f t="array" ref="D625" xml:space="preserve"> mc(1000, 0, 4, 1, 2, "x^2+y^2")-92/3</f>
        <v>0.30292517181718992</v>
      </c>
      <c r="F625" cm="1">
        <f t="array" ref="F625" xml:space="preserve"> ( mc(100, 3, 4, -1, 1, "EXP(x * sin(y))") ) - 7.39981</f>
        <v>-0.66528019022780782</v>
      </c>
      <c r="G625" cm="1">
        <f t="array" ref="G625" xml:space="preserve"> ( mc(500, 3, 4, -1, 1, "EXP(x * sin(y))") ) - 7.39981</f>
        <v>-0.64443007794278184</v>
      </c>
      <c r="H625" cm="1">
        <f t="array" ref="H625" xml:space="preserve"> ( mc(1000, 3, 4, -1, 1, "EXP(x * sin(y))") ) - 7.39981</f>
        <v>-8.0707944407818921E-2</v>
      </c>
      <c r="J625" cm="1">
        <f t="array" ref="J625" xml:space="preserve"> mc(100, -PI()/2,0,-1, 1, "ln(EXP(x * y))")</f>
        <v>-0.21467556698895987</v>
      </c>
      <c r="K625" cm="1">
        <f t="array" ref="K625" xml:space="preserve"> mc(500, -PI()/2,0,-1, 1, "ln(EXP(x * y))")</f>
        <v>-6.4802237003320669E-3</v>
      </c>
      <c r="L625" cm="1">
        <f t="array" ref="L625" xml:space="preserve"> mc(1000, -PI()/2,0,-1, 1, "ln(EXP(x * y))")</f>
        <v>4.4446504581456971E-2</v>
      </c>
      <c r="N625" cm="1">
        <f t="array" ref="N625" xml:space="preserve"> mc(100, -PI()/2,PI()/2, 0, 1, "sin(cos(x + y))")-1.48235</f>
        <v>-8.5189541595757978E-2</v>
      </c>
      <c r="O625" cm="1">
        <f t="array" ref="O625" xml:space="preserve"> mc(500, -PI()/2,PI()/2, 0, 1, "sin(cos(x + y))")-1.48235</f>
        <v>1.556453490460985E-2</v>
      </c>
      <c r="P625" cm="1">
        <f t="array" ref="P625" xml:space="preserve"> mc(1000, -PI()/2,PI()/2, 0, 1, "sin(cos(x + y))")-1.48235</f>
        <v>-4.4219821925437497E-3</v>
      </c>
    </row>
    <row r="626" spans="1:16" x14ac:dyDescent="0.3">
      <c r="A626">
        <v>596</v>
      </c>
      <c r="B626" cm="1">
        <f t="array" ref="B626" xml:space="preserve"> mc(100, 0, 4, 1, 2, "x^2+y^2")-92/3</f>
        <v>1.2797934669636497</v>
      </c>
      <c r="C626" cm="1">
        <f t="array" ref="C626" xml:space="preserve"> mc(500, 0, 4, 1, 2, "x^2+y^2")-92/3</f>
        <v>0.23449958577341334</v>
      </c>
      <c r="D626" cm="1">
        <f t="array" ref="D626" xml:space="preserve"> mc(1000, 0, 4, 1, 2, "x^2+y^2")-92/3</f>
        <v>0.43270066778591953</v>
      </c>
      <c r="F626" cm="1">
        <f t="array" ref="F626" xml:space="preserve"> ( mc(100, 3, 4, -1, 1, "EXP(x * sin(y))") ) - 7.39981</f>
        <v>-1.4557258754994491</v>
      </c>
      <c r="G626" cm="1">
        <f t="array" ref="G626" xml:space="preserve"> ( mc(500, 3, 4, -1, 1, "EXP(x * sin(y))") ) - 7.39981</f>
        <v>0.45056151545074119</v>
      </c>
      <c r="H626" cm="1">
        <f t="array" ref="H626" xml:space="preserve"> ( mc(1000, 3, 4, -1, 1, "EXP(x * sin(y))") ) - 7.39981</f>
        <v>-0.11910436763261956</v>
      </c>
      <c r="J626" cm="1">
        <f t="array" ref="J626" xml:space="preserve"> mc(100, -PI()/2,0,-1, 1, "ln(EXP(x * y))")</f>
        <v>0.14905131590406448</v>
      </c>
      <c r="K626" cm="1">
        <f t="array" ref="K626" xml:space="preserve"> mc(500, -PI()/2,0,-1, 1, "ln(EXP(x * y))")</f>
        <v>-4.1273385119399202E-2</v>
      </c>
      <c r="L626" cm="1">
        <f t="array" ref="L626" xml:space="preserve"> mc(1000, -PI()/2,0,-1, 1, "ln(EXP(x * y))")</f>
        <v>2.1123108020292367E-2</v>
      </c>
      <c r="N626" cm="1">
        <f t="array" ref="N626" xml:space="preserve"> mc(100, -PI()/2,PI()/2, 0, 1, "sin(cos(x + y))")-1.48235</f>
        <v>0.12853758637848234</v>
      </c>
      <c r="O626" cm="1">
        <f t="array" ref="O626" xml:space="preserve"> mc(500, -PI()/2,PI()/2, 0, 1, "sin(cos(x + y))")-1.48235</f>
        <v>1.402632261357617E-2</v>
      </c>
      <c r="P626" cm="1">
        <f t="array" ref="P626" xml:space="preserve"> mc(1000, -PI()/2,PI()/2, 0, 1, "sin(cos(x + y))")-1.48235</f>
        <v>-5.0998752927462698E-2</v>
      </c>
    </row>
    <row r="627" spans="1:16" x14ac:dyDescent="0.3">
      <c r="A627">
        <v>597</v>
      </c>
      <c r="B627" cm="1">
        <f t="array" ref="B627" xml:space="preserve"> mc(100, 0, 4, 1, 2, "x^2+y^2")-92/3</f>
        <v>0.33590689330446111</v>
      </c>
      <c r="C627" cm="1">
        <f t="array" ref="C627" xml:space="preserve"> mc(500, 0, 4, 1, 2, "x^2+y^2")-92/3</f>
        <v>0.10842196701996087</v>
      </c>
      <c r="D627" cm="1">
        <f t="array" ref="D627" xml:space="preserve"> mc(1000, 0, 4, 1, 2, "x^2+y^2")-92/3</f>
        <v>-4.6145687282376002E-2</v>
      </c>
      <c r="F627" cm="1">
        <f t="array" ref="F627" xml:space="preserve"> ( mc(100, 3, 4, -1, 1, "EXP(x * sin(y))") ) - 7.39981</f>
        <v>1.1067450562290801</v>
      </c>
      <c r="G627" cm="1">
        <f t="array" ref="G627" xml:space="preserve"> ( mc(500, 3, 4, -1, 1, "EXP(x * sin(y))") ) - 7.39981</f>
        <v>0.31169969432887168</v>
      </c>
      <c r="H627" cm="1">
        <f t="array" ref="H627" xml:space="preserve"> ( mc(1000, 3, 4, -1, 1, "EXP(x * sin(y))") ) - 7.39981</f>
        <v>8.0649772022822752E-2</v>
      </c>
      <c r="J627" cm="1">
        <f t="array" ref="J627" xml:space="preserve"> mc(100, -PI()/2,0,-1, 1, "ln(EXP(x * y))")</f>
        <v>1.2954466257271468E-4</v>
      </c>
      <c r="K627" cm="1">
        <f t="array" ref="K627" xml:space="preserve"> mc(500, -PI()/2,0,-1, 1, "ln(EXP(x * y))")</f>
        <v>6.5623248879482093E-2</v>
      </c>
      <c r="L627" cm="1">
        <f t="array" ref="L627" xml:space="preserve"> mc(1000, -PI()/2,0,-1, 1, "ln(EXP(x * y))")</f>
        <v>3.6846509918143699E-2</v>
      </c>
      <c r="N627" cm="1">
        <f t="array" ref="N627" xml:space="preserve"> mc(100, -PI()/2,PI()/2, 0, 1, "sin(cos(x + y))")-1.48235</f>
        <v>-6.8161317127772181E-2</v>
      </c>
      <c r="O627" cm="1">
        <f t="array" ref="O627" xml:space="preserve"> mc(500, -PI()/2,PI()/2, 0, 1, "sin(cos(x + y))")-1.48235</f>
        <v>-4.8381559638820848E-2</v>
      </c>
      <c r="P627" cm="1">
        <f t="array" ref="P627" xml:space="preserve"> mc(1000, -PI()/2,PI()/2, 0, 1, "sin(cos(x + y))")-1.48235</f>
        <v>4.2082642550733684E-3</v>
      </c>
    </row>
    <row r="628" spans="1:16" x14ac:dyDescent="0.3">
      <c r="A628">
        <v>598</v>
      </c>
      <c r="B628" cm="1">
        <f t="array" ref="B628" xml:space="preserve"> mc(100, 0, 4, 1, 2, "x^2+y^2")-92/3</f>
        <v>-3.369388509844029E-2</v>
      </c>
      <c r="C628" cm="1">
        <f t="array" ref="C628" xml:space="preserve"> mc(500, 0, 4, 1, 2, "x^2+y^2")-92/3</f>
        <v>1.4831665579161744</v>
      </c>
      <c r="D628" cm="1">
        <f t="array" ref="D628" xml:space="preserve"> mc(1000, 0, 4, 1, 2, "x^2+y^2")-92/3</f>
        <v>-0.14210382118260512</v>
      </c>
      <c r="F628" cm="1">
        <f t="array" ref="F628" xml:space="preserve"> ( mc(100, 3, 4, -1, 1, "EXP(x * sin(y))") ) - 7.39981</f>
        <v>-0.36998689948663532</v>
      </c>
      <c r="G628" cm="1">
        <f t="array" ref="G628" xml:space="preserve"> ( mc(500, 3, 4, -1, 1, "EXP(x * sin(y))") ) - 7.39981</f>
        <v>0.20867383387682459</v>
      </c>
      <c r="H628" cm="1">
        <f t="array" ref="H628" xml:space="preserve"> ( mc(1000, 3, 4, -1, 1, "EXP(x * sin(y))") ) - 7.39981</f>
        <v>-5.8994281294850737E-2</v>
      </c>
      <c r="J628" cm="1">
        <f t="array" ref="J628" xml:space="preserve"> mc(100, -PI()/2,0,-1, 1, "ln(EXP(x * y))")</f>
        <v>0.19390650782864782</v>
      </c>
      <c r="K628" cm="1">
        <f t="array" ref="K628" xml:space="preserve"> mc(500, -PI()/2,0,-1, 1, "ln(EXP(x * y))")</f>
        <v>-4.436801349563692E-3</v>
      </c>
      <c r="L628" cm="1">
        <f t="array" ref="L628" xml:space="preserve"> mc(1000, -PI()/2,0,-1, 1, "ln(EXP(x * y))")</f>
        <v>3.3341617401913223E-3</v>
      </c>
      <c r="N628" cm="1">
        <f t="array" ref="N628" xml:space="preserve"> mc(100, -PI()/2,PI()/2, 0, 1, "sin(cos(x + y))")-1.48235</f>
        <v>0.13937536304953024</v>
      </c>
      <c r="O628" cm="1">
        <f t="array" ref="O628" xml:space="preserve"> mc(500, -PI()/2,PI()/2, 0, 1, "sin(cos(x + y))")-1.48235</f>
        <v>-2.3800428133017526E-2</v>
      </c>
      <c r="P628" cm="1">
        <f t="array" ref="P628" xml:space="preserve"> mc(1000, -PI()/2,PI()/2, 0, 1, "sin(cos(x + y))")-1.48235</f>
        <v>-2.2360231633315131E-2</v>
      </c>
    </row>
    <row r="629" spans="1:16" x14ac:dyDescent="0.3">
      <c r="A629">
        <v>599</v>
      </c>
      <c r="B629" cm="1">
        <f t="array" ref="B629" xml:space="preserve"> mc(100, 0, 4, 1, 2, "x^2+y^2")-92/3</f>
        <v>0.30480296731071377</v>
      </c>
      <c r="C629" cm="1">
        <f t="array" ref="C629" xml:space="preserve"> mc(500, 0, 4, 1, 2, "x^2+y^2")-92/3</f>
        <v>-0.18202433799276108</v>
      </c>
      <c r="D629" cm="1">
        <f t="array" ref="D629" xml:space="preserve"> mc(1000, 0, 4, 1, 2, "x^2+y^2")-92/3</f>
        <v>0.7035607911049695</v>
      </c>
      <c r="F629" cm="1">
        <f t="array" ref="F629" xml:space="preserve"> ( mc(100, 3, 4, -1, 1, "EXP(x * sin(y))") ) - 7.39981</f>
        <v>1.3386013173511611</v>
      </c>
      <c r="G629" cm="1">
        <f t="array" ref="G629" xml:space="preserve"> ( mc(500, 3, 4, -1, 1, "EXP(x * sin(y))") ) - 7.39981</f>
        <v>-0.55512236687938188</v>
      </c>
      <c r="H629" cm="1">
        <f t="array" ref="H629" xml:space="preserve"> ( mc(1000, 3, 4, -1, 1, "EXP(x * sin(y))") ) - 7.39981</f>
        <v>0.19521401294522267</v>
      </c>
      <c r="J629" cm="1">
        <f t="array" ref="J629" xml:space="preserve"> mc(100, -PI()/2,0,-1, 1, "ln(EXP(x * y))")</f>
        <v>-6.5208491714871072E-2</v>
      </c>
      <c r="K629" cm="1">
        <f t="array" ref="K629" xml:space="preserve"> mc(500, -PI()/2,0,-1, 1, "ln(EXP(x * y))")</f>
        <v>-4.4166923689939457E-2</v>
      </c>
      <c r="L629" cm="1">
        <f t="array" ref="L629" xml:space="preserve"> mc(1000, -PI()/2,0,-1, 1, "ln(EXP(x * y))")</f>
        <v>0.13272837698864909</v>
      </c>
      <c r="N629" cm="1">
        <f t="array" ref="N629" xml:space="preserve"> mc(100, -PI()/2,PI()/2, 0, 1, "sin(cos(x + y))")-1.48235</f>
        <v>-5.7320807429009912E-2</v>
      </c>
      <c r="O629" cm="1">
        <f t="array" ref="O629" xml:space="preserve"> mc(500, -PI()/2,PI()/2, 0, 1, "sin(cos(x + y))")-1.48235</f>
        <v>9.1873462728608857E-4</v>
      </c>
      <c r="P629" cm="1">
        <f t="array" ref="P629" xml:space="preserve"> mc(1000, -PI()/2,PI()/2, 0, 1, "sin(cos(x + y))")-1.48235</f>
        <v>-7.0354045781644281E-3</v>
      </c>
    </row>
    <row r="630" spans="1:16" x14ac:dyDescent="0.3">
      <c r="A630">
        <v>600</v>
      </c>
      <c r="B630" cm="1">
        <f t="array" ref="B630" xml:space="preserve"> mc(100, 0, 4, 1, 2, "x^2+y^2")-92/3</f>
        <v>-4.3429846747589309</v>
      </c>
      <c r="C630" cm="1">
        <f t="array" ref="C630" xml:space="preserve"> mc(500, 0, 4, 1, 2, "x^2+y^2")-92/3</f>
        <v>-0.38920853751130124</v>
      </c>
      <c r="D630" cm="1">
        <f t="array" ref="D630" xml:space="preserve"> mc(1000, 0, 4, 1, 2, "x^2+y^2")-92/3</f>
        <v>-1.0086800165878955</v>
      </c>
      <c r="F630" cm="1">
        <f t="array" ref="F630" xml:space="preserve"> ( mc(100, 3, 4, -1, 1, "EXP(x * sin(y))") ) - 7.39981</f>
        <v>2.3338694134924491</v>
      </c>
      <c r="G630" cm="1">
        <f t="array" ref="G630" xml:space="preserve"> ( mc(500, 3, 4, -1, 1, "EXP(x * sin(y))") ) - 7.39981</f>
        <v>0.56380404527363304</v>
      </c>
      <c r="H630" cm="1">
        <f t="array" ref="H630" xml:space="preserve"> ( mc(1000, 3, 4, -1, 1, "EXP(x * sin(y))") ) - 7.39981</f>
        <v>0.45333179654334188</v>
      </c>
      <c r="J630" cm="1">
        <f t="array" ref="J630" xml:space="preserve"> mc(100, -PI()/2,0,-1, 1, "ln(EXP(x * y))")</f>
        <v>-0.26370757981640508</v>
      </c>
      <c r="K630" cm="1">
        <f t="array" ref="K630" xml:space="preserve"> mc(500, -PI()/2,0,-1, 1, "ln(EXP(x * y))")</f>
        <v>0.14189675864023266</v>
      </c>
      <c r="L630" cm="1">
        <f t="array" ref="L630" xml:space="preserve"> mc(1000, -PI()/2,0,-1, 1, "ln(EXP(x * y))")</f>
        <v>4.28365152188653E-2</v>
      </c>
      <c r="N630" cm="1">
        <f t="array" ref="N630" xml:space="preserve"> mc(100, -PI()/2,PI()/2, 0, 1, "sin(cos(x + y))")-1.48235</f>
        <v>-3.6051629981680211E-2</v>
      </c>
      <c r="O630" cm="1">
        <f t="array" ref="O630" xml:space="preserve"> mc(500, -PI()/2,PI()/2, 0, 1, "sin(cos(x + y))")-1.48235</f>
        <v>4.5291930819988391E-2</v>
      </c>
      <c r="P630" cm="1">
        <f t="array" ref="P630" xml:space="preserve"> mc(1000, -PI()/2,PI()/2, 0, 1, "sin(cos(x + y))")-1.48235</f>
        <v>-5.944156381918142E-2</v>
      </c>
    </row>
    <row r="631" spans="1:16" x14ac:dyDescent="0.3">
      <c r="A631">
        <v>601</v>
      </c>
      <c r="B631" cm="1">
        <f t="array" ref="B631" xml:space="preserve"> mc(100, 0, 4, 1, 2, "x^2+y^2")-92/3</f>
        <v>2.1745694953602204</v>
      </c>
      <c r="C631" cm="1">
        <f t="array" ref="C631" xml:space="preserve"> mc(500, 0, 4, 1, 2, "x^2+y^2")-92/3</f>
        <v>-0.68515763098553251</v>
      </c>
      <c r="D631" cm="1">
        <f t="array" ref="D631" xml:space="preserve"> mc(1000, 0, 4, 1, 2, "x^2+y^2")-92/3</f>
        <v>-0.85280255631247215</v>
      </c>
      <c r="F631" cm="1">
        <f t="array" ref="F631" xml:space="preserve"> ( mc(100, 3, 4, -1, 1, "EXP(x * sin(y))") ) - 7.39981</f>
        <v>-1.1982819560235285</v>
      </c>
      <c r="G631" cm="1">
        <f t="array" ref="G631" xml:space="preserve"> ( mc(500, 3, 4, -1, 1, "EXP(x * sin(y))") ) - 7.39981</f>
        <v>-0.39867432830137339</v>
      </c>
      <c r="H631" cm="1">
        <f t="array" ref="H631" xml:space="preserve"> ( mc(1000, 3, 4, -1, 1, "EXP(x * sin(y))") ) - 7.39981</f>
        <v>-1.0434259773259162</v>
      </c>
      <c r="J631" cm="1">
        <f t="array" ref="J631" xml:space="preserve"> mc(100, -PI()/2,0,-1, 1, "ln(EXP(x * y))")</f>
        <v>8.2224515358477107E-2</v>
      </c>
      <c r="K631" cm="1">
        <f t="array" ref="K631" xml:space="preserve"> mc(500, -PI()/2,0,-1, 1, "ln(EXP(x * y))")</f>
        <v>8.8360869036062328E-2</v>
      </c>
      <c r="L631" cm="1">
        <f t="array" ref="L631" xml:space="preserve"> mc(1000, -PI()/2,0,-1, 1, "ln(EXP(x * y))")</f>
        <v>1.9443146683805246E-2</v>
      </c>
      <c r="N631" cm="1">
        <f t="array" ref="N631" xml:space="preserve"> mc(100, -PI()/2,PI()/2, 0, 1, "sin(cos(x + y))")-1.48235</f>
        <v>3.5865505908499795E-2</v>
      </c>
      <c r="O631" cm="1">
        <f t="array" ref="O631" xml:space="preserve"> mc(500, -PI()/2,PI()/2, 0, 1, "sin(cos(x + y))")-1.48235</f>
        <v>3.4639818574172532E-2</v>
      </c>
      <c r="P631" cm="1">
        <f t="array" ref="P631" xml:space="preserve"> mc(1000, -PI()/2,PI()/2, 0, 1, "sin(cos(x + y))")-1.48235</f>
        <v>1.3444448315742541E-2</v>
      </c>
    </row>
    <row r="632" spans="1:16" x14ac:dyDescent="0.3">
      <c r="A632">
        <v>602</v>
      </c>
      <c r="B632" cm="1">
        <f t="array" ref="B632" xml:space="preserve"> mc(100, 0, 4, 1, 2, "x^2+y^2")-92/3</f>
        <v>-3.3033288461518282</v>
      </c>
      <c r="C632" cm="1">
        <f t="array" ref="C632" xml:space="preserve"> mc(500, 0, 4, 1, 2, "x^2+y^2")-92/3</f>
        <v>-0.21934187216206169</v>
      </c>
      <c r="D632" cm="1">
        <f t="array" ref="D632" xml:space="preserve"> mc(1000, 0, 4, 1, 2, "x^2+y^2")-92/3</f>
        <v>-1.1002028554470975</v>
      </c>
      <c r="F632" cm="1">
        <f t="array" ref="F632" xml:space="preserve"> ( mc(100, 3, 4, -1, 1, "EXP(x * sin(y))") ) - 7.39981</f>
        <v>-0.21683538595584029</v>
      </c>
      <c r="G632" cm="1">
        <f t="array" ref="G632" xml:space="preserve"> ( mc(500, 3, 4, -1, 1, "EXP(x * sin(y))") ) - 7.39981</f>
        <v>-0.71845794574917932</v>
      </c>
      <c r="H632" cm="1">
        <f t="array" ref="H632" xml:space="preserve"> ( mc(1000, 3, 4, -1, 1, "EXP(x * sin(y))") ) - 7.39981</f>
        <v>0.35469138165645742</v>
      </c>
      <c r="J632" cm="1">
        <f t="array" ref="J632" xml:space="preserve"> mc(100, -PI()/2,0,-1, 1, "ln(EXP(x * y))")</f>
        <v>4.3831747928905575E-2</v>
      </c>
      <c r="K632" cm="1">
        <f t="array" ref="K632" xml:space="preserve"> mc(500, -PI()/2,0,-1, 1, "ln(EXP(x * y))")</f>
        <v>0.12654510954130677</v>
      </c>
      <c r="L632" cm="1">
        <f t="array" ref="L632" xml:space="preserve"> mc(1000, -PI()/2,0,-1, 1, "ln(EXP(x * y))")</f>
        <v>-3.9411770822928606E-2</v>
      </c>
      <c r="N632" cm="1">
        <f t="array" ref="N632" xml:space="preserve"> mc(100, -PI()/2,PI()/2, 0, 1, "sin(cos(x + y))")-1.48235</f>
        <v>1.8384353504629969E-2</v>
      </c>
      <c r="O632" cm="1">
        <f t="array" ref="O632" xml:space="preserve"> mc(500, -PI()/2,PI()/2, 0, 1, "sin(cos(x + y))")-1.48235</f>
        <v>4.4034555285534793E-2</v>
      </c>
      <c r="P632" cm="1">
        <f t="array" ref="P632" xml:space="preserve"> mc(1000, -PI()/2,PI()/2, 0, 1, "sin(cos(x + y))")-1.48235</f>
        <v>4.3513039330311809E-2</v>
      </c>
    </row>
    <row r="633" spans="1:16" x14ac:dyDescent="0.3">
      <c r="A633">
        <v>603</v>
      </c>
      <c r="B633" cm="1">
        <f t="array" ref="B633" xml:space="preserve"> mc(100, 0, 4, 1, 2, "x^2+y^2")-92/3</f>
        <v>4.2528270982282343</v>
      </c>
      <c r="C633" cm="1">
        <f t="array" ref="C633" xml:space="preserve"> mc(500, 0, 4, 1, 2, "x^2+y^2")-92/3</f>
        <v>1.8021370930494207</v>
      </c>
      <c r="D633" cm="1">
        <f t="array" ref="D633" xml:space="preserve"> mc(1000, 0, 4, 1, 2, "x^2+y^2")-92/3</f>
        <v>0.85496924635980065</v>
      </c>
      <c r="F633" cm="1">
        <f t="array" ref="F633" xml:space="preserve"> ( mc(100, 3, 4, -1, 1, "EXP(x * sin(y))") ) - 7.39981</f>
        <v>-0.69441992076617076</v>
      </c>
      <c r="G633" cm="1">
        <f t="array" ref="G633" xml:space="preserve"> ( mc(500, 3, 4, -1, 1, "EXP(x * sin(y))") ) - 7.39981</f>
        <v>-0.1994449330263679</v>
      </c>
      <c r="H633" cm="1">
        <f t="array" ref="H633" xml:space="preserve"> ( mc(1000, 3, 4, -1, 1, "EXP(x * sin(y))") ) - 7.39981</f>
        <v>-0.40125145802267781</v>
      </c>
      <c r="J633" cm="1">
        <f t="array" ref="J633" xml:space="preserve"> mc(100, -PI()/2,0,-1, 1, "ln(EXP(x * y))")</f>
        <v>2.8917632240063359E-3</v>
      </c>
      <c r="K633" cm="1">
        <f t="array" ref="K633" xml:space="preserve"> mc(500, -PI()/2,0,-1, 1, "ln(EXP(x * y))")</f>
        <v>0.11108288360954227</v>
      </c>
      <c r="L633" cm="1">
        <f t="array" ref="L633" xml:space="preserve"> mc(1000, -PI()/2,0,-1, 1, "ln(EXP(x * y))")</f>
        <v>-9.2299572609880892E-2</v>
      </c>
      <c r="N633" cm="1">
        <f t="array" ref="N633" xml:space="preserve"> mc(100, -PI()/2,PI()/2, 0, 1, "sin(cos(x + y))")-1.48235</f>
        <v>3.507960204071936E-2</v>
      </c>
      <c r="O633" cm="1">
        <f t="array" ref="O633" xml:space="preserve"> mc(500, -PI()/2,PI()/2, 0, 1, "sin(cos(x + y))")-1.48235</f>
        <v>-9.6364379626495023E-2</v>
      </c>
      <c r="P633" cm="1">
        <f t="array" ref="P633" xml:space="preserve"> mc(1000, -PI()/2,PI()/2, 0, 1, "sin(cos(x + y))")-1.48235</f>
        <v>1.2287585304724846E-2</v>
      </c>
    </row>
    <row r="634" spans="1:16" x14ac:dyDescent="0.3">
      <c r="A634">
        <v>604</v>
      </c>
      <c r="B634" cm="1">
        <f t="array" ref="B634" xml:space="preserve"> mc(100, 0, 4, 1, 2, "x^2+y^2")-92/3</f>
        <v>-1.5742784009885717</v>
      </c>
      <c r="C634" cm="1">
        <f t="array" ref="C634" xml:space="preserve"> mc(500, 0, 4, 1, 2, "x^2+y^2")-92/3</f>
        <v>3.0017026161985427E-2</v>
      </c>
      <c r="D634" cm="1">
        <f t="array" ref="D634" xml:space="preserve"> mc(1000, 0, 4, 1, 2, "x^2+y^2")-92/3</f>
        <v>-0.68393279101526971</v>
      </c>
      <c r="F634" cm="1">
        <f t="array" ref="F634" xml:space="preserve"> ( mc(100, 3, 4, -1, 1, "EXP(x * sin(y))") ) - 7.39981</f>
        <v>-0.84470670250878044</v>
      </c>
      <c r="G634" cm="1">
        <f t="array" ref="G634" xml:space="preserve"> ( mc(500, 3, 4, -1, 1, "EXP(x * sin(y))") ) - 7.39981</f>
        <v>0.65973744137050083</v>
      </c>
      <c r="H634" cm="1">
        <f t="array" ref="H634" xml:space="preserve"> ( mc(1000, 3, 4, -1, 1, "EXP(x * sin(y))") ) - 7.39981</f>
        <v>-0.56728552250694353</v>
      </c>
      <c r="J634" cm="1">
        <f t="array" ref="J634" xml:space="preserve"> mc(100, -PI()/2,0,-1, 1, "ln(EXP(x * y))")</f>
        <v>0.15719559034613323</v>
      </c>
      <c r="K634" cm="1">
        <f t="array" ref="K634" xml:space="preserve"> mc(500, -PI()/2,0,-1, 1, "ln(EXP(x * y))")</f>
        <v>-1.0436436886687899E-2</v>
      </c>
      <c r="L634" cm="1">
        <f t="array" ref="L634" xml:space="preserve"> mc(1000, -PI()/2,0,-1, 1, "ln(EXP(x * y))")</f>
        <v>2.153200633103285E-2</v>
      </c>
      <c r="N634" cm="1">
        <f t="array" ref="N634" xml:space="preserve"> mc(100, -PI()/2,PI()/2, 0, 1, "sin(cos(x + y))")-1.48235</f>
        <v>-4.6968489380161182E-2</v>
      </c>
      <c r="O634" cm="1">
        <f t="array" ref="O634" xml:space="preserve"> mc(500, -PI()/2,PI()/2, 0, 1, "sin(cos(x + y))")-1.48235</f>
        <v>-6.6096432209383327E-2</v>
      </c>
      <c r="P634" cm="1">
        <f t="array" ref="P634" xml:space="preserve"> mc(1000, -PI()/2,PI()/2, 0, 1, "sin(cos(x + y))")-1.48235</f>
        <v>2.0595511492653928E-2</v>
      </c>
    </row>
    <row r="635" spans="1:16" x14ac:dyDescent="0.3">
      <c r="A635">
        <v>605</v>
      </c>
      <c r="B635" cm="1">
        <f t="array" ref="B635" xml:space="preserve"> mc(100, 0, 4, 1, 2, "x^2+y^2")-92/3</f>
        <v>1.0313973228019009</v>
      </c>
      <c r="C635" cm="1">
        <f t="array" ref="C635" xml:space="preserve"> mc(500, 0, 4, 1, 2, "x^2+y^2")-92/3</f>
        <v>-0.15221277744284123</v>
      </c>
      <c r="D635" cm="1">
        <f t="array" ref="D635" xml:space="preserve"> mc(1000, 0, 4, 1, 2, "x^2+y^2")-92/3</f>
        <v>-0.46678767846783131</v>
      </c>
      <c r="F635" cm="1">
        <f t="array" ref="F635" xml:space="preserve"> ( mc(100, 3, 4, -1, 1, "EXP(x * sin(y))") ) - 7.39981</f>
        <v>-0.65470702412480453</v>
      </c>
      <c r="G635" cm="1">
        <f t="array" ref="G635" xml:space="preserve"> ( mc(500, 3, 4, -1, 1, "EXP(x * sin(y))") ) - 7.39981</f>
        <v>-0.83918103742476546</v>
      </c>
      <c r="H635" cm="1">
        <f t="array" ref="H635" xml:space="preserve"> ( mc(1000, 3, 4, -1, 1, "EXP(x * sin(y))") ) - 7.39981</f>
        <v>1.021833753805657</v>
      </c>
      <c r="J635" cm="1">
        <f t="array" ref="J635" xml:space="preserve"> mc(100, -PI()/2,0,-1, 1, "ln(EXP(x * y))")</f>
        <v>-0.26852760319624414</v>
      </c>
      <c r="K635" cm="1">
        <f t="array" ref="K635" xml:space="preserve"> mc(500, -PI()/2,0,-1, 1, "ln(EXP(x * y))")</f>
        <v>1.3939842383346047E-2</v>
      </c>
      <c r="L635" cm="1">
        <f t="array" ref="L635" xml:space="preserve"> mc(1000, -PI()/2,0,-1, 1, "ln(EXP(x * y))")</f>
        <v>-3.2722350800911235E-3</v>
      </c>
      <c r="N635" cm="1">
        <f t="array" ref="N635" xml:space="preserve"> mc(100, -PI()/2,PI()/2, 0, 1, "sin(cos(x + y))")-1.48235</f>
        <v>-0.15630640666927254</v>
      </c>
      <c r="O635" cm="1">
        <f t="array" ref="O635" xml:space="preserve"> mc(500, -PI()/2,PI()/2, 0, 1, "sin(cos(x + y))")-1.48235</f>
        <v>0.17102726613162744</v>
      </c>
      <c r="P635" cm="1">
        <f t="array" ref="P635" xml:space="preserve"> mc(1000, -PI()/2,PI()/2, 0, 1, "sin(cos(x + y))")-1.48235</f>
        <v>2.8639356401916727E-2</v>
      </c>
    </row>
    <row r="636" spans="1:16" x14ac:dyDescent="0.3">
      <c r="A636">
        <v>606</v>
      </c>
      <c r="B636" cm="1">
        <f t="array" ref="B636" xml:space="preserve"> mc(100, 0, 4, 1, 2, "x^2+y^2")-92/3</f>
        <v>-0.42687108551197639</v>
      </c>
      <c r="C636" cm="1">
        <f t="array" ref="C636" xml:space="preserve"> mc(500, 0, 4, 1, 2, "x^2+y^2")-92/3</f>
        <v>0.63335733662940541</v>
      </c>
      <c r="D636" cm="1">
        <f t="array" ref="D636" xml:space="preserve"> mc(1000, 0, 4, 1, 2, "x^2+y^2")-92/3</f>
        <v>0.21245468112693189</v>
      </c>
      <c r="F636" cm="1">
        <f t="array" ref="F636" xml:space="preserve"> ( mc(100, 3, 4, -1, 1, "EXP(x * sin(y))") ) - 7.39981</f>
        <v>2.2142708144509218</v>
      </c>
      <c r="G636" cm="1">
        <f t="array" ref="G636" xml:space="preserve"> ( mc(500, 3, 4, -1, 1, "EXP(x * sin(y))") ) - 7.39981</f>
        <v>0.39270674522797577</v>
      </c>
      <c r="H636" cm="1">
        <f t="array" ref="H636" xml:space="preserve"> ( mc(1000, 3, 4, -1, 1, "EXP(x * sin(y))") ) - 7.39981</f>
        <v>5.0425568773131424E-2</v>
      </c>
      <c r="J636" cm="1">
        <f t="array" ref="J636" xml:space="preserve"> mc(100, -PI()/2,0,-1, 1, "ln(EXP(x * y))")</f>
        <v>-2.9293732884953009E-3</v>
      </c>
      <c r="K636" cm="1">
        <f t="array" ref="K636" xml:space="preserve"> mc(500, -PI()/2,0,-1, 1, "ln(EXP(x * y))")</f>
        <v>0.11563226654751495</v>
      </c>
      <c r="L636" cm="1">
        <f t="array" ref="L636" xml:space="preserve"> mc(1000, -PI()/2,0,-1, 1, "ln(EXP(x * y))")</f>
        <v>3.3983101801435087E-2</v>
      </c>
      <c r="N636" cm="1">
        <f t="array" ref="N636" xml:space="preserve"> mc(100, -PI()/2,PI()/2, 0, 1, "sin(cos(x + y))")-1.48235</f>
        <v>-0.14920599254894595</v>
      </c>
      <c r="O636" cm="1">
        <f t="array" ref="O636" xml:space="preserve"> mc(500, -PI()/2,PI()/2, 0, 1, "sin(cos(x + y))")-1.48235</f>
        <v>7.4557945705840734E-2</v>
      </c>
      <c r="P636" cm="1">
        <f t="array" ref="P636" xml:space="preserve"> mc(1000, -PI()/2,PI()/2, 0, 1, "sin(cos(x + y))")-1.48235</f>
        <v>-8.2403773026418214E-3</v>
      </c>
    </row>
    <row r="637" spans="1:16" x14ac:dyDescent="0.3">
      <c r="A637">
        <v>607</v>
      </c>
      <c r="B637" cm="1">
        <f t="array" ref="B637" xml:space="preserve"> mc(100, 0, 4, 1, 2, "x^2+y^2")-92/3</f>
        <v>0.62315054412405146</v>
      </c>
      <c r="C637" cm="1">
        <f t="array" ref="C637" xml:space="preserve"> mc(500, 0, 4, 1, 2, "x^2+y^2")-92/3</f>
        <v>-1.5027321741671642</v>
      </c>
      <c r="D637" cm="1">
        <f t="array" ref="D637" xml:space="preserve"> mc(1000, 0, 4, 1, 2, "x^2+y^2")-92/3</f>
        <v>0.38056978417779064</v>
      </c>
      <c r="F637" cm="1">
        <f t="array" ref="F637" xml:space="preserve"> ( mc(100, 3, 4, -1, 1, "EXP(x * sin(y))") ) - 7.39981</f>
        <v>-1.1679126354500644</v>
      </c>
      <c r="G637" cm="1">
        <f t="array" ref="G637" xml:space="preserve"> ( mc(500, 3, 4, -1, 1, "EXP(x * sin(y))") ) - 7.39981</f>
        <v>0.46923591523668318</v>
      </c>
      <c r="H637" cm="1">
        <f t="array" ref="H637" xml:space="preserve"> ( mc(1000, 3, 4, -1, 1, "EXP(x * sin(y))") ) - 7.39981</f>
        <v>-0.10288880834575398</v>
      </c>
      <c r="J637" cm="1">
        <f t="array" ref="J637" xml:space="preserve"> mc(100, -PI()/2,0,-1, 1, "ln(EXP(x * y))")</f>
        <v>-0.13949110403142737</v>
      </c>
      <c r="K637" cm="1">
        <f t="array" ref="K637" xml:space="preserve"> mc(500, -PI()/2,0,-1, 1, "ln(EXP(x * y))")</f>
        <v>-3.7736475382817249E-2</v>
      </c>
      <c r="L637" cm="1">
        <f t="array" ref="L637" xml:space="preserve"> mc(1000, -PI()/2,0,-1, 1, "ln(EXP(x * y))")</f>
        <v>-3.0641863319509396E-2</v>
      </c>
      <c r="N637" cm="1">
        <f t="array" ref="N637" xml:space="preserve"> mc(100, -PI()/2,PI()/2, 0, 1, "sin(cos(x + y))")-1.48235</f>
        <v>4.9884395894181921E-2</v>
      </c>
      <c r="O637" cm="1">
        <f t="array" ref="O637" xml:space="preserve"> mc(500, -PI()/2,PI()/2, 0, 1, "sin(cos(x + y))")-1.48235</f>
        <v>-1.4819765605517343E-2</v>
      </c>
      <c r="P637" cm="1">
        <f t="array" ref="P637" xml:space="preserve"> mc(1000, -PI()/2,PI()/2, 0, 1, "sin(cos(x + y))")-1.48235</f>
        <v>1.982682392069135E-2</v>
      </c>
    </row>
    <row r="638" spans="1:16" x14ac:dyDescent="0.3">
      <c r="A638">
        <v>608</v>
      </c>
      <c r="B638" cm="1">
        <f t="array" ref="B638" xml:space="preserve"> mc(100, 0, 4, 1, 2, "x^2+y^2")-92/3</f>
        <v>-4.8981522002682638</v>
      </c>
      <c r="C638" cm="1">
        <f t="array" ref="C638" xml:space="preserve"> mc(500, 0, 4, 1, 2, "x^2+y^2")-92/3</f>
        <v>-1.2235534665769379</v>
      </c>
      <c r="D638" cm="1">
        <f t="array" ref="D638" xml:space="preserve"> mc(1000, 0, 4, 1, 2, "x^2+y^2")-92/3</f>
        <v>0.62027562684758664</v>
      </c>
      <c r="F638" cm="1">
        <f t="array" ref="F638" xml:space="preserve"> ( mc(100, 3, 4, -1, 1, "EXP(x * sin(y))") ) - 7.39981</f>
        <v>-7.8135413973222434E-2</v>
      </c>
      <c r="G638" cm="1">
        <f t="array" ref="G638" xml:space="preserve"> ( mc(500, 3, 4, -1, 1, "EXP(x * sin(y))") ) - 7.39981</f>
        <v>0.34458400187428317</v>
      </c>
      <c r="H638" cm="1">
        <f t="array" ref="H638" xml:space="preserve"> ( mc(1000, 3, 4, -1, 1, "EXP(x * sin(y))") ) - 7.39981</f>
        <v>-1.3171829732569584E-2</v>
      </c>
      <c r="J638" cm="1">
        <f t="array" ref="J638" xml:space="preserve"> mc(100, -PI()/2,0,-1, 1, "ln(EXP(x * y))")</f>
        <v>-6.3399801676175788E-2</v>
      </c>
      <c r="K638" cm="1">
        <f t="array" ref="K638" xml:space="preserve"> mc(500, -PI()/2,0,-1, 1, "ln(EXP(x * y))")</f>
        <v>3.3284749138271516E-3</v>
      </c>
      <c r="L638" cm="1">
        <f t="array" ref="L638" xml:space="preserve"> mc(1000, -PI()/2,0,-1, 1, "ln(EXP(x * y))")</f>
        <v>6.6326755001431675E-2</v>
      </c>
      <c r="N638" cm="1">
        <f t="array" ref="N638" xml:space="preserve"> mc(100, -PI()/2,PI()/2, 0, 1, "sin(cos(x + y))")-1.48235</f>
        <v>-5.2623633555441751E-2</v>
      </c>
      <c r="O638" cm="1">
        <f t="array" ref="O638" xml:space="preserve"> mc(500, -PI()/2,PI()/2, 0, 1, "sin(cos(x + y))")-1.48235</f>
        <v>1.4491014041878136E-2</v>
      </c>
      <c r="P638" cm="1">
        <f t="array" ref="P638" xml:space="preserve"> mc(1000, -PI()/2,PI()/2, 0, 1, "sin(cos(x + y))")-1.48235</f>
        <v>-1.9366026453577989E-2</v>
      </c>
    </row>
    <row r="639" spans="1:16" x14ac:dyDescent="0.3">
      <c r="A639">
        <v>609</v>
      </c>
      <c r="B639" cm="1">
        <f t="array" ref="B639" xml:space="preserve"> mc(100, 0, 4, 1, 2, "x^2+y^2")-92/3</f>
        <v>2.5860256938306598</v>
      </c>
      <c r="C639" cm="1">
        <f t="array" ref="C639" xml:space="preserve"> mc(500, 0, 4, 1, 2, "x^2+y^2")-92/3</f>
        <v>0.65412775595678951</v>
      </c>
      <c r="D639" cm="1">
        <f t="array" ref="D639" xml:space="preserve"> mc(1000, 0, 4, 1, 2, "x^2+y^2")-92/3</f>
        <v>0.20448558106435044</v>
      </c>
      <c r="F639" cm="1">
        <f t="array" ref="F639" xml:space="preserve"> ( mc(100, 3, 4, -1, 1, "EXP(x * sin(y))") ) - 7.39981</f>
        <v>-1.3631998592443617</v>
      </c>
      <c r="G639" cm="1">
        <f t="array" ref="G639" xml:space="preserve"> ( mc(500, 3, 4, -1, 1, "EXP(x * sin(y))") ) - 7.39981</f>
        <v>0.19847342184141059</v>
      </c>
      <c r="H639" cm="1">
        <f t="array" ref="H639" xml:space="preserve"> ( mc(1000, 3, 4, -1, 1, "EXP(x * sin(y))") ) - 7.39981</f>
        <v>0.19410187425896464</v>
      </c>
      <c r="J639" cm="1">
        <f t="array" ref="J639" xml:space="preserve"> mc(100, -PI()/2,0,-1, 1, "ln(EXP(x * y))")</f>
        <v>-3.9883528127364939E-2</v>
      </c>
      <c r="K639" cm="1">
        <f t="array" ref="K639" xml:space="preserve"> mc(500, -PI()/2,0,-1, 1, "ln(EXP(x * y))")</f>
        <v>0.1296629302954031</v>
      </c>
      <c r="L639" cm="1">
        <f t="array" ref="L639" xml:space="preserve"> mc(1000, -PI()/2,0,-1, 1, "ln(EXP(x * y))")</f>
        <v>-1.2745434461063344E-2</v>
      </c>
      <c r="N639" cm="1">
        <f t="array" ref="N639" xml:space="preserve"> mc(100, -PI()/2,PI()/2, 0, 1, "sin(cos(x + y))")-1.48235</f>
        <v>7.1016851939960546E-2</v>
      </c>
      <c r="O639" cm="1">
        <f t="array" ref="O639" xml:space="preserve"> mc(500, -PI()/2,PI()/2, 0, 1, "sin(cos(x + y))")-1.48235</f>
        <v>3.0230751154640689E-3</v>
      </c>
      <c r="P639" cm="1">
        <f t="array" ref="P639" xml:space="preserve"> mc(1000, -PI()/2,PI()/2, 0, 1, "sin(cos(x + y))")-1.48235</f>
        <v>-3.9706706165503203E-3</v>
      </c>
    </row>
    <row r="640" spans="1:16" x14ac:dyDescent="0.3">
      <c r="A640">
        <v>610</v>
      </c>
      <c r="B640" cm="1">
        <f t="array" ref="B640" xml:space="preserve"> mc(100, 0, 4, 1, 2, "x^2+y^2")-92/3</f>
        <v>-1.6521646150817624</v>
      </c>
      <c r="C640" cm="1">
        <f t="array" ref="C640" xml:space="preserve"> mc(500, 0, 4, 1, 2, "x^2+y^2")-92/3</f>
        <v>-0.29873005360898119</v>
      </c>
      <c r="D640" cm="1">
        <f t="array" ref="D640" xml:space="preserve"> mc(1000, 0, 4, 1, 2, "x^2+y^2")-92/3</f>
        <v>0.63401253380865796</v>
      </c>
      <c r="F640" cm="1">
        <f t="array" ref="F640" xml:space="preserve"> ( mc(100, 3, 4, -1, 1, "EXP(x * sin(y))") ) - 7.39981</f>
        <v>1.8274661008830169</v>
      </c>
      <c r="G640" cm="1">
        <f t="array" ref="G640" xml:space="preserve"> ( mc(500, 3, 4, -1, 1, "EXP(x * sin(y))") ) - 7.39981</f>
        <v>8.172895484484588E-2</v>
      </c>
      <c r="H640" cm="1">
        <f t="array" ref="H640" xml:space="preserve"> ( mc(1000, 3, 4, -1, 1, "EXP(x * sin(y))") ) - 7.39981</f>
        <v>-0.51026967702271087</v>
      </c>
      <c r="J640" cm="1">
        <f t="array" ref="J640" xml:space="preserve"> mc(100, -PI()/2,0,-1, 1, "ln(EXP(x * y))")</f>
        <v>-0.32638002786830378</v>
      </c>
      <c r="K640" cm="1">
        <f t="array" ref="K640" xml:space="preserve"> mc(500, -PI()/2,0,-1, 1, "ln(EXP(x * y))")</f>
        <v>-1.721888430036243E-2</v>
      </c>
      <c r="L640" cm="1">
        <f t="array" ref="L640" xml:space="preserve"> mc(1000, -PI()/2,0,-1, 1, "ln(EXP(x * y))")</f>
        <v>2.3739017854967494E-2</v>
      </c>
      <c r="N640" cm="1">
        <f t="array" ref="N640" xml:space="preserve"> mc(100, -PI()/2,PI()/2, 0, 1, "sin(cos(x + y))")-1.48235</f>
        <v>0.16182148328808754</v>
      </c>
      <c r="O640" cm="1">
        <f t="array" ref="O640" xml:space="preserve"> mc(500, -PI()/2,PI()/2, 0, 1, "sin(cos(x + y))")-1.48235</f>
        <v>1.1023053042869213E-2</v>
      </c>
      <c r="P640" cm="1">
        <f t="array" ref="P640" xml:space="preserve"> mc(1000, -PI()/2,PI()/2, 0, 1, "sin(cos(x + y))")-1.48235</f>
        <v>-5.8421396831075389E-2</v>
      </c>
    </row>
    <row r="641" spans="1:16" x14ac:dyDescent="0.3">
      <c r="A641">
        <v>611</v>
      </c>
      <c r="B641" cm="1">
        <f t="array" ref="B641" xml:space="preserve"> mc(100, 0, 4, 1, 2, "x^2+y^2")-92/3</f>
        <v>-0.5088547481999548</v>
      </c>
      <c r="C641" cm="1">
        <f t="array" ref="C641" xml:space="preserve"> mc(500, 0, 4, 1, 2, "x^2+y^2")-92/3</f>
        <v>-0.12588556677771479</v>
      </c>
      <c r="D641" cm="1">
        <f t="array" ref="D641" xml:space="preserve"> mc(1000, 0, 4, 1, 2, "x^2+y^2")-92/3</f>
        <v>4.3331673191651987E-2</v>
      </c>
      <c r="F641" cm="1">
        <f t="array" ref="F641" xml:space="preserve"> ( mc(100, 3, 4, -1, 1, "EXP(x * sin(y))") ) - 7.39981</f>
        <v>0.348126806021825</v>
      </c>
      <c r="G641" cm="1">
        <f t="array" ref="G641" xml:space="preserve"> ( mc(500, 3, 4, -1, 1, "EXP(x * sin(y))") ) - 7.39981</f>
        <v>-0.82994094429638565</v>
      </c>
      <c r="H641" cm="1">
        <f t="array" ref="H641" xml:space="preserve"> ( mc(1000, 3, 4, -1, 1, "EXP(x * sin(y))") ) - 7.39981</f>
        <v>0.18617741538428678</v>
      </c>
      <c r="J641" cm="1">
        <f t="array" ref="J641" xml:space="preserve"> mc(100, -PI()/2,0,-1, 1, "ln(EXP(x * y))")</f>
        <v>0.10581019473899224</v>
      </c>
      <c r="K641" cm="1">
        <f t="array" ref="K641" xml:space="preserve"> mc(500, -PI()/2,0,-1, 1, "ln(EXP(x * y))")</f>
        <v>-1.8195127074163698E-2</v>
      </c>
      <c r="L641" cm="1">
        <f t="array" ref="L641" xml:space="preserve"> mc(1000, -PI()/2,0,-1, 1, "ln(EXP(x * y))")</f>
        <v>-1.036760722102859E-2</v>
      </c>
      <c r="N641" cm="1">
        <f t="array" ref="N641" xml:space="preserve"> mc(100, -PI()/2,PI()/2, 0, 1, "sin(cos(x + y))")-1.48235</f>
        <v>-0.19572465063514355</v>
      </c>
      <c r="O641" cm="1">
        <f t="array" ref="O641" xml:space="preserve"> mc(500, -PI()/2,PI()/2, 0, 1, "sin(cos(x + y))")-1.48235</f>
        <v>-2.2335505039022374E-2</v>
      </c>
      <c r="P641" cm="1">
        <f t="array" ref="P641" xml:space="preserve"> mc(1000, -PI()/2,PI()/2, 0, 1, "sin(cos(x + y))")-1.48235</f>
        <v>-2.8380312316258482E-3</v>
      </c>
    </row>
    <row r="642" spans="1:16" x14ac:dyDescent="0.3">
      <c r="A642">
        <v>612</v>
      </c>
      <c r="B642" cm="1">
        <f t="array" ref="B642" xml:space="preserve"> mc(100, 0, 4, 1, 2, "x^2+y^2")-92/3</f>
        <v>1.6395947704470224</v>
      </c>
      <c r="C642" cm="1">
        <f t="array" ref="C642" xml:space="preserve"> mc(500, 0, 4, 1, 2, "x^2+y^2")-92/3</f>
        <v>1.6334681254678252</v>
      </c>
      <c r="D642" cm="1">
        <f t="array" ref="D642" xml:space="preserve"> mc(1000, 0, 4, 1, 2, "x^2+y^2")-92/3</f>
        <v>0.32461775009562999</v>
      </c>
      <c r="F642" cm="1">
        <f t="array" ref="F642" xml:space="preserve"> ( mc(100, 3, 4, -1, 1, "EXP(x * sin(y))") ) - 7.39981</f>
        <v>-0.4706775339420588</v>
      </c>
      <c r="G642" cm="1">
        <f t="array" ref="G642" xml:space="preserve"> ( mc(500, 3, 4, -1, 1, "EXP(x * sin(y))") ) - 7.39981</f>
        <v>0.61723628371164985</v>
      </c>
      <c r="H642" cm="1">
        <f t="array" ref="H642" xml:space="preserve"> ( mc(1000, 3, 4, -1, 1, "EXP(x * sin(y))") ) - 7.39981</f>
        <v>0.21675146906453158</v>
      </c>
      <c r="J642" cm="1">
        <f t="array" ref="J642" xml:space="preserve"> mc(100, -PI()/2,0,-1, 1, "ln(EXP(x * y))")</f>
        <v>0.25129493346571885</v>
      </c>
      <c r="K642" cm="1">
        <f t="array" ref="K642" xml:space="preserve"> mc(500, -PI()/2,0,-1, 1, "ln(EXP(x * y))")</f>
        <v>5.1635164872869378E-2</v>
      </c>
      <c r="L642" cm="1">
        <f t="array" ref="L642" xml:space="preserve"> mc(1000, -PI()/2,0,-1, 1, "ln(EXP(x * y))")</f>
        <v>-5.3353489290172834E-3</v>
      </c>
      <c r="N642" cm="1">
        <f t="array" ref="N642" xml:space="preserve"> mc(100, -PI()/2,PI()/2, 0, 1, "sin(cos(x + y))")-1.48235</f>
        <v>-2.8358766709921657E-2</v>
      </c>
      <c r="O642" cm="1">
        <f t="array" ref="O642" xml:space="preserve"> mc(500, -PI()/2,PI()/2, 0, 1, "sin(cos(x + y))")-1.48235</f>
        <v>-2.374163390484596E-2</v>
      </c>
      <c r="P642" cm="1">
        <f t="array" ref="P642" xml:space="preserve"> mc(1000, -PI()/2,PI()/2, 0, 1, "sin(cos(x + y))")-1.48235</f>
        <v>4.8191150804784755E-2</v>
      </c>
    </row>
    <row r="643" spans="1:16" x14ac:dyDescent="0.3">
      <c r="A643">
        <v>613</v>
      </c>
      <c r="B643" cm="1">
        <f t="array" ref="B643" xml:space="preserve"> mc(100, 0, 4, 1, 2, "x^2+y^2")-92/3</f>
        <v>-1.2713417868354</v>
      </c>
      <c r="C643" cm="1">
        <f t="array" ref="C643" xml:space="preserve"> mc(500, 0, 4, 1, 2, "x^2+y^2")-92/3</f>
        <v>-1.0184184896258976</v>
      </c>
      <c r="D643" cm="1">
        <f t="array" ref="D643" xml:space="preserve"> mc(1000, 0, 4, 1, 2, "x^2+y^2")-92/3</f>
        <v>-5.1594240855035167E-2</v>
      </c>
      <c r="F643" cm="1">
        <f t="array" ref="F643" xml:space="preserve"> ( mc(100, 3, 4, -1, 1, "EXP(x * sin(y))") ) - 7.39981</f>
        <v>0.2627542796588509</v>
      </c>
      <c r="G643" cm="1">
        <f t="array" ref="G643" xml:space="preserve"> ( mc(500, 3, 4, -1, 1, "EXP(x * sin(y))") ) - 7.39981</f>
        <v>-6.1188615008416214E-2</v>
      </c>
      <c r="H643" cm="1">
        <f t="array" ref="H643" xml:space="preserve"> ( mc(1000, 3, 4, -1, 1, "EXP(x * sin(y))") ) - 7.39981</f>
        <v>9.7039097647622086E-3</v>
      </c>
      <c r="J643" cm="1">
        <f t="array" ref="J643" xml:space="preserve"> mc(100, -PI()/2,0,-1, 1, "ln(EXP(x * y))")</f>
        <v>6.3658089242142224E-2</v>
      </c>
      <c r="K643" cm="1">
        <f t="array" ref="K643" xml:space="preserve"> mc(500, -PI()/2,0,-1, 1, "ln(EXP(x * y))")</f>
        <v>4.0581125058294282E-2</v>
      </c>
      <c r="L643" cm="1">
        <f t="array" ref="L643" xml:space="preserve"> mc(1000, -PI()/2,0,-1, 1, "ln(EXP(x * y))")</f>
        <v>8.2707340581596595E-2</v>
      </c>
      <c r="N643" cm="1">
        <f t="array" ref="N643" xml:space="preserve"> mc(100, -PI()/2,PI()/2, 0, 1, "sin(cos(x + y))")-1.48235</f>
        <v>2.387054866594629E-2</v>
      </c>
      <c r="O643" cm="1">
        <f t="array" ref="O643" xml:space="preserve"> mc(500, -PI()/2,PI()/2, 0, 1, "sin(cos(x + y))")-1.48235</f>
        <v>-5.1379917301419997E-2</v>
      </c>
      <c r="P643" cm="1">
        <f t="array" ref="P643" xml:space="preserve"> mc(1000, -PI()/2,PI()/2, 0, 1, "sin(cos(x + y))")-1.48235</f>
        <v>-4.8389836086778049E-2</v>
      </c>
    </row>
    <row r="644" spans="1:16" x14ac:dyDescent="0.3">
      <c r="A644">
        <v>614</v>
      </c>
      <c r="B644" cm="1">
        <f t="array" ref="B644" xml:space="preserve"> mc(100, 0, 4, 1, 2, "x^2+y^2")-92/3</f>
        <v>1.0779399302949244</v>
      </c>
      <c r="C644" cm="1">
        <f t="array" ref="C644" xml:space="preserve"> mc(500, 0, 4, 1, 2, "x^2+y^2")-92/3</f>
        <v>-1.4111892464699807</v>
      </c>
      <c r="D644" cm="1">
        <f t="array" ref="D644" xml:space="preserve"> mc(1000, 0, 4, 1, 2, "x^2+y^2")-92/3</f>
        <v>0.22089964852973054</v>
      </c>
      <c r="F644" cm="1">
        <f t="array" ref="F644" xml:space="preserve"> ( mc(100, 3, 4, -1, 1, "EXP(x * sin(y))") ) - 7.39981</f>
        <v>0.57232644683659561</v>
      </c>
      <c r="G644" cm="1">
        <f t="array" ref="G644" xml:space="preserve"> ( mc(500, 3, 4, -1, 1, "EXP(x * sin(y))") ) - 7.39981</f>
        <v>-0.48316035337749952</v>
      </c>
      <c r="H644" cm="1">
        <f t="array" ref="H644" xml:space="preserve"> ( mc(1000, 3, 4, -1, 1, "EXP(x * sin(y))") ) - 7.39981</f>
        <v>-7.4588877833635436E-2</v>
      </c>
      <c r="J644" cm="1">
        <f t="array" ref="J644" xml:space="preserve"> mc(100, -PI()/2,0,-1, 1, "ln(EXP(x * y))")</f>
        <v>-9.3249545182792229E-2</v>
      </c>
      <c r="K644" cm="1">
        <f t="array" ref="K644" xml:space="preserve"> mc(500, -PI()/2,0,-1, 1, "ln(EXP(x * y))")</f>
        <v>-1.481736638562234E-2</v>
      </c>
      <c r="L644" cm="1">
        <f t="array" ref="L644" xml:space="preserve"> mc(1000, -PI()/2,0,-1, 1, "ln(EXP(x * y))")</f>
        <v>-1.5918351627049E-2</v>
      </c>
      <c r="N644" cm="1">
        <f t="array" ref="N644" xml:space="preserve"> mc(100, -PI()/2,PI()/2, 0, 1, "sin(cos(x + y))")-1.48235</f>
        <v>-3.7342938012202787E-2</v>
      </c>
      <c r="O644" cm="1">
        <f t="array" ref="O644" xml:space="preserve"> mc(500, -PI()/2,PI()/2, 0, 1, "sin(cos(x + y))")-1.48235</f>
        <v>-5.8189760092577592E-2</v>
      </c>
      <c r="P644" cm="1">
        <f t="array" ref="P644" xml:space="preserve"> mc(1000, -PI()/2,PI()/2, 0, 1, "sin(cos(x + y))")-1.48235</f>
        <v>5.0689326556838887E-2</v>
      </c>
    </row>
    <row r="645" spans="1:16" x14ac:dyDescent="0.3">
      <c r="A645">
        <v>615</v>
      </c>
      <c r="B645" cm="1">
        <f t="array" ref="B645" xml:space="preserve"> mc(100, 0, 4, 1, 2, "x^2+y^2")-92/3</f>
        <v>-4.4627118025919046</v>
      </c>
      <c r="C645" cm="1">
        <f t="array" ref="C645" xml:space="preserve"> mc(500, 0, 4, 1, 2, "x^2+y^2")-92/3</f>
        <v>2.4710063214314282</v>
      </c>
      <c r="D645" cm="1">
        <f t="array" ref="D645" xml:space="preserve"> mc(1000, 0, 4, 1, 2, "x^2+y^2")-92/3</f>
        <v>1.6746672111718652E-2</v>
      </c>
      <c r="F645" cm="1">
        <f t="array" ref="F645" xml:space="preserve"> ( mc(100, 3, 4, -1, 1, "EXP(x * sin(y))") ) - 7.39981</f>
        <v>-1.1826580300089935</v>
      </c>
      <c r="G645" cm="1">
        <f t="array" ref="G645" xml:space="preserve"> ( mc(500, 3, 4, -1, 1, "EXP(x * sin(y))") ) - 7.39981</f>
        <v>-0.79930824806285461</v>
      </c>
      <c r="H645" cm="1">
        <f t="array" ref="H645" xml:space="preserve"> ( mc(1000, 3, 4, -1, 1, "EXP(x * sin(y))") ) - 7.39981</f>
        <v>-0.24990904870346942</v>
      </c>
      <c r="J645" cm="1">
        <f t="array" ref="J645" xml:space="preserve"> mc(100, -PI()/2,0,-1, 1, "ln(EXP(x * y))")</f>
        <v>-0.1321223294627509</v>
      </c>
      <c r="K645" cm="1">
        <f t="array" ref="K645" xml:space="preserve"> mc(500, -PI()/2,0,-1, 1, "ln(EXP(x * y))")</f>
        <v>1.7320462035925199E-2</v>
      </c>
      <c r="L645" cm="1">
        <f t="array" ref="L645" xml:space="preserve"> mc(1000, -PI()/2,0,-1, 1, "ln(EXP(x * y))")</f>
        <v>-8.187771428354787E-2</v>
      </c>
      <c r="N645" cm="1">
        <f t="array" ref="N645" xml:space="preserve"> mc(100, -PI()/2,PI()/2, 0, 1, "sin(cos(x + y))")-1.48235</f>
        <v>-0.11830121977636954</v>
      </c>
      <c r="O645" cm="1">
        <f t="array" ref="O645" xml:space="preserve"> mc(500, -PI()/2,PI()/2, 0, 1, "sin(cos(x + y))")-1.48235</f>
        <v>-4.0485481018210034E-2</v>
      </c>
      <c r="P645" cm="1">
        <f t="array" ref="P645" xml:space="preserve"> mc(1000, -PI()/2,PI()/2, 0, 1, "sin(cos(x + y))")-1.48235</f>
        <v>1.0086335897971477E-2</v>
      </c>
    </row>
    <row r="646" spans="1:16" x14ac:dyDescent="0.3">
      <c r="A646">
        <v>616</v>
      </c>
      <c r="B646" cm="1">
        <f t="array" ref="B646" xml:space="preserve"> mc(100, 0, 4, 1, 2, "x^2+y^2")-92/3</f>
        <v>-2.1097449508560651</v>
      </c>
      <c r="C646" cm="1">
        <f t="array" ref="C646" xml:space="preserve"> mc(500, 0, 4, 1, 2, "x^2+y^2")-92/3</f>
        <v>-0.50059615536223134</v>
      </c>
      <c r="D646" cm="1">
        <f t="array" ref="D646" xml:space="preserve"> mc(1000, 0, 4, 1, 2, "x^2+y^2")-92/3</f>
        <v>0.14187403433111712</v>
      </c>
      <c r="F646" cm="1">
        <f t="array" ref="F646" xml:space="preserve"> ( mc(100, 3, 4, -1, 1, "EXP(x * sin(y))") ) - 7.39981</f>
        <v>0.64288625494905816</v>
      </c>
      <c r="G646" cm="1">
        <f t="array" ref="G646" xml:space="preserve"> ( mc(500, 3, 4, -1, 1, "EXP(x * sin(y))") ) - 7.39981</f>
        <v>-0.29698506221525456</v>
      </c>
      <c r="H646" cm="1">
        <f t="array" ref="H646" xml:space="preserve"> ( mc(1000, 3, 4, -1, 1, "EXP(x * sin(y))") ) - 7.39981</f>
        <v>0.5266679145895159</v>
      </c>
      <c r="J646" cm="1">
        <f t="array" ref="J646" xml:space="preserve"> mc(100, -PI()/2,0,-1, 1, "ln(EXP(x * y))")</f>
        <v>2.3606143975683176E-2</v>
      </c>
      <c r="K646" cm="1">
        <f t="array" ref="K646" xml:space="preserve"> mc(500, -PI()/2,0,-1, 1, "ln(EXP(x * y))")</f>
        <v>8.8622077477689742E-2</v>
      </c>
      <c r="L646" cm="1">
        <f t="array" ref="L646" xml:space="preserve"> mc(1000, -PI()/2,0,-1, 1, "ln(EXP(x * y))")</f>
        <v>-6.9379590114731743E-2</v>
      </c>
      <c r="N646" cm="1">
        <f t="array" ref="N646" xml:space="preserve"> mc(100, -PI()/2,PI()/2, 0, 1, "sin(cos(x + y))")-1.48235</f>
        <v>0.25696315098366784</v>
      </c>
      <c r="O646" cm="1">
        <f t="array" ref="O646" xml:space="preserve"> mc(500, -PI()/2,PI()/2, 0, 1, "sin(cos(x + y))")-1.48235</f>
        <v>-9.6439767678513366E-2</v>
      </c>
      <c r="P646" cm="1">
        <f t="array" ref="P646" xml:space="preserve"> mc(1000, -PI()/2,PI()/2, 0, 1, "sin(cos(x + y))")-1.48235</f>
        <v>-3.9468342109434618E-2</v>
      </c>
    </row>
    <row r="647" spans="1:16" x14ac:dyDescent="0.3">
      <c r="A647">
        <v>617</v>
      </c>
      <c r="B647" cm="1">
        <f t="array" ref="B647" xml:space="preserve"> mc(100, 0, 4, 1, 2, "x^2+y^2")-92/3</f>
        <v>0.52891529192799069</v>
      </c>
      <c r="C647" cm="1">
        <f t="array" ref="C647" xml:space="preserve"> mc(500, 0, 4, 1, 2, "x^2+y^2")-92/3</f>
        <v>0.47917876100886403</v>
      </c>
      <c r="D647" cm="1">
        <f t="array" ref="D647" xml:space="preserve"> mc(1000, 0, 4, 1, 2, "x^2+y^2")-92/3</f>
        <v>-0.44601728493175585</v>
      </c>
      <c r="F647" cm="1">
        <f t="array" ref="F647" xml:space="preserve"> ( mc(100, 3, 4, -1, 1, "EXP(x * sin(y))") ) - 7.39981</f>
        <v>-0.70240736612483889</v>
      </c>
      <c r="G647" cm="1">
        <f t="array" ref="G647" xml:space="preserve"> ( mc(500, 3, 4, -1, 1, "EXP(x * sin(y))") ) - 7.39981</f>
        <v>-2.0167096625813841E-2</v>
      </c>
      <c r="H647" cm="1">
        <f t="array" ref="H647" xml:space="preserve"> ( mc(1000, 3, 4, -1, 1, "EXP(x * sin(y))") ) - 7.39981</f>
        <v>-2.649486244285626E-3</v>
      </c>
      <c r="J647" cm="1">
        <f t="array" ref="J647" xml:space="preserve"> mc(100, -PI()/2,0,-1, 1, "ln(EXP(x * y))")</f>
        <v>-6.5884377916649528E-2</v>
      </c>
      <c r="K647" cm="1">
        <f t="array" ref="K647" xml:space="preserve"> mc(500, -PI()/2,0,-1, 1, "ln(EXP(x * y))")</f>
        <v>-1.4568130076486316E-2</v>
      </c>
      <c r="L647" cm="1">
        <f t="array" ref="L647" xml:space="preserve"> mc(1000, -PI()/2,0,-1, 1, "ln(EXP(x * y))")</f>
        <v>7.7606321842316625E-2</v>
      </c>
      <c r="N647" cm="1">
        <f t="array" ref="N647" xml:space="preserve"> mc(100, -PI()/2,PI()/2, 0, 1, "sin(cos(x + y))")-1.48235</f>
        <v>3.0393537317419561E-2</v>
      </c>
      <c r="O647" cm="1">
        <f t="array" ref="O647" xml:space="preserve"> mc(500, -PI()/2,PI()/2, 0, 1, "sin(cos(x + y))")-1.48235</f>
        <v>7.7796586699862003E-2</v>
      </c>
      <c r="P647" cm="1">
        <f t="array" ref="P647" xml:space="preserve"> mc(1000, -PI()/2,PI()/2, 0, 1, "sin(cos(x + y))")-1.48235</f>
        <v>1.8394883291428243E-4</v>
      </c>
    </row>
    <row r="648" spans="1:16" x14ac:dyDescent="0.3">
      <c r="A648">
        <v>618</v>
      </c>
      <c r="B648" cm="1">
        <f t="array" ref="B648" xml:space="preserve"> mc(100, 0, 4, 1, 2, "x^2+y^2")-92/3</f>
        <v>-1.9449728689764676</v>
      </c>
      <c r="C648" cm="1">
        <f t="array" ref="C648" xml:space="preserve"> mc(500, 0, 4, 1, 2, "x^2+y^2")-92/3</f>
        <v>0.33114759848185216</v>
      </c>
      <c r="D648" cm="1">
        <f t="array" ref="D648" xml:space="preserve"> mc(1000, 0, 4, 1, 2, "x^2+y^2")-92/3</f>
        <v>-1.9837498532929487E-2</v>
      </c>
      <c r="F648" cm="1">
        <f t="array" ref="F648" xml:space="preserve"> ( mc(100, 3, 4, -1, 1, "EXP(x * sin(y))") ) - 7.39981</f>
        <v>0.84994485944148579</v>
      </c>
      <c r="G648" cm="1">
        <f t="array" ref="G648" xml:space="preserve"> ( mc(500, 3, 4, -1, 1, "EXP(x * sin(y))") ) - 7.39981</f>
        <v>-0.8569976054569457</v>
      </c>
      <c r="H648" cm="1">
        <f t="array" ref="H648" xml:space="preserve"> ( mc(1000, 3, 4, -1, 1, "EXP(x * sin(y))") ) - 7.39981</f>
        <v>0.15597071549216412</v>
      </c>
      <c r="J648" cm="1">
        <f t="array" ref="J648" xml:space="preserve"> mc(100, -PI()/2,0,-1, 1, "ln(EXP(x * y))")</f>
        <v>-0.17046382700005899</v>
      </c>
      <c r="K648" cm="1">
        <f t="array" ref="K648" xml:space="preserve"> mc(500, -PI()/2,0,-1, 1, "ln(EXP(x * y))")</f>
        <v>7.2348419231709732E-2</v>
      </c>
      <c r="L648" cm="1">
        <f t="array" ref="L648" xml:space="preserve"> mc(1000, -PI()/2,0,-1, 1, "ln(EXP(x * y))")</f>
        <v>1.5384753412367235E-4</v>
      </c>
      <c r="N648" cm="1">
        <f t="array" ref="N648" xml:space="preserve"> mc(100, -PI()/2,PI()/2, 0, 1, "sin(cos(x + y))")-1.48235</f>
        <v>0.20551616609445378</v>
      </c>
      <c r="O648" cm="1">
        <f t="array" ref="O648" xml:space="preserve"> mc(500, -PI()/2,PI()/2, 0, 1, "sin(cos(x + y))")-1.48235</f>
        <v>4.2057942200167453E-2</v>
      </c>
      <c r="P648" cm="1">
        <f t="array" ref="P648" xml:space="preserve"> mc(1000, -PI()/2,PI()/2, 0, 1, "sin(cos(x + y))")-1.48235</f>
        <v>-5.4690462488204972E-3</v>
      </c>
    </row>
    <row r="649" spans="1:16" x14ac:dyDescent="0.3">
      <c r="A649">
        <v>619</v>
      </c>
      <c r="B649" cm="1">
        <f t="array" ref="B649" xml:space="preserve"> mc(100, 0, 4, 1, 2, "x^2+y^2")-92/3</f>
        <v>3.1838138602788497</v>
      </c>
      <c r="C649" cm="1">
        <f t="array" ref="C649" xml:space="preserve"> mc(500, 0, 4, 1, 2, "x^2+y^2")-92/3</f>
        <v>-0.39410730732136656</v>
      </c>
      <c r="D649" cm="1">
        <f t="array" ref="D649" xml:space="preserve"> mc(1000, 0, 4, 1, 2, "x^2+y^2")-92/3</f>
        <v>-0.36055396983926613</v>
      </c>
      <c r="F649" cm="1">
        <f t="array" ref="F649" xml:space="preserve"> ( mc(100, 3, 4, -1, 1, "EXP(x * sin(y))") ) - 7.39981</f>
        <v>0.75814145536064181</v>
      </c>
      <c r="G649" cm="1">
        <f t="array" ref="G649" xml:space="preserve"> ( mc(500, 3, 4, -1, 1, "EXP(x * sin(y))") ) - 7.39981</f>
        <v>0.13394243303095532</v>
      </c>
      <c r="H649" cm="1">
        <f t="array" ref="H649" xml:space="preserve"> ( mc(1000, 3, 4, -1, 1, "EXP(x * sin(y))") ) - 7.39981</f>
        <v>-0.48819775187196424</v>
      </c>
      <c r="J649" cm="1">
        <f t="array" ref="J649" xml:space="preserve"> mc(100, -PI()/2,0,-1, 1, "ln(EXP(x * y))")</f>
        <v>8.9020861252010072E-2</v>
      </c>
      <c r="K649" cm="1">
        <f t="array" ref="K649" xml:space="preserve"> mc(500, -PI()/2,0,-1, 1, "ln(EXP(x * y))")</f>
        <v>-7.7432000231309967E-3</v>
      </c>
      <c r="L649" cm="1">
        <f t="array" ref="L649" xml:space="preserve"> mc(1000, -PI()/2,0,-1, 1, "ln(EXP(x * y))")</f>
        <v>1.8542491778405685E-2</v>
      </c>
      <c r="N649" cm="1">
        <f t="array" ref="N649" xml:space="preserve"> mc(100, -PI()/2,PI()/2, 0, 1, "sin(cos(x + y))")-1.48235</f>
        <v>0.19838897009228473</v>
      </c>
      <c r="O649" cm="1">
        <f t="array" ref="O649" xml:space="preserve"> mc(500, -PI()/2,PI()/2, 0, 1, "sin(cos(x + y))")-1.48235</f>
        <v>7.3158760205564999E-3</v>
      </c>
      <c r="P649" cm="1">
        <f t="array" ref="P649" xml:space="preserve"> mc(1000, -PI()/2,PI()/2, 0, 1, "sin(cos(x + y))")-1.48235</f>
        <v>4.0933660431234919E-2</v>
      </c>
    </row>
    <row r="650" spans="1:16" x14ac:dyDescent="0.3">
      <c r="A650">
        <v>620</v>
      </c>
      <c r="B650" cm="1">
        <f t="array" ref="B650" xml:space="preserve"> mc(100, 0, 4, 1, 2, "x^2+y^2")-92/3</f>
        <v>4.8678843756262076</v>
      </c>
      <c r="C650" cm="1">
        <f t="array" ref="C650" xml:space="preserve"> mc(500, 0, 4, 1, 2, "x^2+y^2")-92/3</f>
        <v>0.79952139045536086</v>
      </c>
      <c r="D650" cm="1">
        <f t="array" ref="D650" xml:space="preserve"> mc(1000, 0, 4, 1, 2, "x^2+y^2")-92/3</f>
        <v>-0.2188435755939544</v>
      </c>
      <c r="F650" cm="1">
        <f t="array" ref="F650" xml:space="preserve"> ( mc(100, 3, 4, -1, 1, "EXP(x * sin(y))") ) - 7.39981</f>
        <v>1.4099523977888637</v>
      </c>
      <c r="G650" cm="1">
        <f t="array" ref="G650" xml:space="preserve"> ( mc(500, 3, 4, -1, 1, "EXP(x * sin(y))") ) - 7.39981</f>
        <v>-0.31907452838565931</v>
      </c>
      <c r="H650" cm="1">
        <f t="array" ref="H650" xml:space="preserve"> ( mc(1000, 3, 4, -1, 1, "EXP(x * sin(y))") ) - 7.39981</f>
        <v>-4.68312435002467E-2</v>
      </c>
      <c r="J650" cm="1">
        <f t="array" ref="J650" xml:space="preserve"> mc(100, -PI()/2,0,-1, 1, "ln(EXP(x * y))")</f>
        <v>0.16551381639083632</v>
      </c>
      <c r="K650" cm="1">
        <f t="array" ref="K650" xml:space="preserve"> mc(500, -PI()/2,0,-1, 1, "ln(EXP(x * y))")</f>
        <v>3.7820193877014296E-2</v>
      </c>
      <c r="L650" cm="1">
        <f t="array" ref="L650" xml:space="preserve"> mc(1000, -PI()/2,0,-1, 1, "ln(EXP(x * y))")</f>
        <v>4.7641468369336781E-3</v>
      </c>
      <c r="N650" cm="1">
        <f t="array" ref="N650" xml:space="preserve"> mc(100, -PI()/2,PI()/2, 0, 1, "sin(cos(x + y))")-1.48235</f>
        <v>7.1647504312284394E-3</v>
      </c>
      <c r="O650" cm="1">
        <f t="array" ref="O650" xml:space="preserve"> mc(500, -PI()/2,PI()/2, 0, 1, "sin(cos(x + y))")-1.48235</f>
        <v>-7.1286608631534021E-2</v>
      </c>
      <c r="P650" cm="1">
        <f t="array" ref="P650" xml:space="preserve"> mc(1000, -PI()/2,PI()/2, 0, 1, "sin(cos(x + y))")-1.48235</f>
        <v>-2.3264669545315808E-2</v>
      </c>
    </row>
    <row r="651" spans="1:16" x14ac:dyDescent="0.3">
      <c r="A651">
        <v>621</v>
      </c>
      <c r="B651" cm="1">
        <f t="array" ref="B651" xml:space="preserve"> mc(100, 0, 4, 1, 2, "x^2+y^2")-92/3</f>
        <v>0.44381984165480048</v>
      </c>
      <c r="C651" cm="1">
        <f t="array" ref="C651" xml:space="preserve"> mc(500, 0, 4, 1, 2, "x^2+y^2")-92/3</f>
        <v>1.8875766180412263</v>
      </c>
      <c r="D651" cm="1">
        <f t="array" ref="D651" xml:space="preserve"> mc(1000, 0, 4, 1, 2, "x^2+y^2")-92/3</f>
        <v>0.62442035350724723</v>
      </c>
      <c r="F651" cm="1">
        <f t="array" ref="F651" xml:space="preserve"> ( mc(100, 3, 4, -1, 1, "EXP(x * sin(y))") ) - 7.39981</f>
        <v>0.88173981338367646</v>
      </c>
      <c r="G651" cm="1">
        <f t="array" ref="G651" xml:space="preserve"> ( mc(500, 3, 4, -1, 1, "EXP(x * sin(y))") ) - 7.39981</f>
        <v>-0.48491069693736488</v>
      </c>
      <c r="H651" cm="1">
        <f t="array" ref="H651" xml:space="preserve"> ( mc(1000, 3, 4, -1, 1, "EXP(x * sin(y))") ) - 7.39981</f>
        <v>-0.13773756601874343</v>
      </c>
      <c r="J651" cm="1">
        <f t="array" ref="J651" xml:space="preserve"> mc(100, -PI()/2,0,-1, 1, "ln(EXP(x * y))")</f>
        <v>0.17837207871747676</v>
      </c>
      <c r="K651" cm="1">
        <f t="array" ref="K651" xml:space="preserve"> mc(500, -PI()/2,0,-1, 1, "ln(EXP(x * y))")</f>
        <v>-0.1519632562452759</v>
      </c>
      <c r="L651" cm="1">
        <f t="array" ref="L651" xml:space="preserve"> mc(1000, -PI()/2,0,-1, 1, "ln(EXP(x * y))")</f>
        <v>-0.10747938209034925</v>
      </c>
      <c r="N651" cm="1">
        <f t="array" ref="N651" xml:space="preserve"> mc(100, -PI()/2,PI()/2, 0, 1, "sin(cos(x + y))")-1.48235</f>
        <v>3.1874463989833846E-3</v>
      </c>
      <c r="O651" cm="1">
        <f t="array" ref="O651" xml:space="preserve"> mc(500, -PI()/2,PI()/2, 0, 1, "sin(cos(x + y))")-1.48235</f>
        <v>5.5233310033415695E-2</v>
      </c>
      <c r="P651" cm="1">
        <f t="array" ref="P651" xml:space="preserve"> mc(1000, -PI()/2,PI()/2, 0, 1, "sin(cos(x + y))")-1.48235</f>
        <v>-2.7818862265161171E-2</v>
      </c>
    </row>
    <row r="652" spans="1:16" x14ac:dyDescent="0.3">
      <c r="A652">
        <v>622</v>
      </c>
      <c r="B652" cm="1">
        <f t="array" ref="B652" xml:space="preserve"> mc(100, 0, 4, 1, 2, "x^2+y^2")-92/3</f>
        <v>-3.4354641704794311</v>
      </c>
      <c r="C652" cm="1">
        <f t="array" ref="C652" xml:space="preserve"> mc(500, 0, 4, 1, 2, "x^2+y^2")-92/3</f>
        <v>1.8821341126676465</v>
      </c>
      <c r="D652" cm="1">
        <f t="array" ref="D652" xml:space="preserve"> mc(1000, 0, 4, 1, 2, "x^2+y^2")-92/3</f>
        <v>3.2116207045241651E-2</v>
      </c>
      <c r="F652" cm="1">
        <f t="array" ref="F652" xml:space="preserve"> ( mc(100, 3, 4, -1, 1, "EXP(x * sin(y))") ) - 7.39981</f>
        <v>-0.25087383980816647</v>
      </c>
      <c r="G652" cm="1">
        <f t="array" ref="G652" xml:space="preserve"> ( mc(500, 3, 4, -1, 1, "EXP(x * sin(y))") ) - 7.39981</f>
        <v>0.65168047637366122</v>
      </c>
      <c r="H652" cm="1">
        <f t="array" ref="H652" xml:space="preserve"> ( mc(1000, 3, 4, -1, 1, "EXP(x * sin(y))") ) - 7.39981</f>
        <v>-0.11265746029603019</v>
      </c>
      <c r="J652" cm="1">
        <f t="array" ref="J652" xml:space="preserve"> mc(100, -PI()/2,0,-1, 1, "ln(EXP(x * y))")</f>
        <v>-0.39324622623117506</v>
      </c>
      <c r="K652" cm="1">
        <f t="array" ref="K652" xml:space="preserve"> mc(500, -PI()/2,0,-1, 1, "ln(EXP(x * y))")</f>
        <v>0.10001248726147018</v>
      </c>
      <c r="L652" cm="1">
        <f t="array" ref="L652" xml:space="preserve"> mc(1000, -PI()/2,0,-1, 1, "ln(EXP(x * y))")</f>
        <v>-3.8412788852859883E-2</v>
      </c>
      <c r="N652" cm="1">
        <f t="array" ref="N652" xml:space="preserve"> mc(100, -PI()/2,PI()/2, 0, 1, "sin(cos(x + y))")-1.48235</f>
        <v>-6.2963628774353575E-2</v>
      </c>
      <c r="O652" cm="1">
        <f t="array" ref="O652" xml:space="preserve"> mc(500, -PI()/2,PI()/2, 0, 1, "sin(cos(x + y))")-1.48235</f>
        <v>9.4417332061678128E-3</v>
      </c>
      <c r="P652" cm="1">
        <f t="array" ref="P652" xml:space="preserve"> mc(1000, -PI()/2,PI()/2, 0, 1, "sin(cos(x + y))")-1.48235</f>
        <v>-6.9586143056612038E-2</v>
      </c>
    </row>
    <row r="653" spans="1:16" x14ac:dyDescent="0.3">
      <c r="A653">
        <v>623</v>
      </c>
      <c r="B653" cm="1">
        <f t="array" ref="B653" xml:space="preserve"> mc(100, 0, 4, 1, 2, "x^2+y^2")-92/3</f>
        <v>-0.89206405609447614</v>
      </c>
      <c r="C653" cm="1">
        <f t="array" ref="C653" xml:space="preserve"> mc(500, 0, 4, 1, 2, "x^2+y^2")-92/3</f>
        <v>-0.58504307603326566</v>
      </c>
      <c r="D653" cm="1">
        <f t="array" ref="D653" xml:space="preserve"> mc(1000, 0, 4, 1, 2, "x^2+y^2")-92/3</f>
        <v>0.60468611792859761</v>
      </c>
      <c r="F653" cm="1">
        <f t="array" ref="F653" xml:space="preserve"> ( mc(100, 3, 4, -1, 1, "EXP(x * sin(y))") ) - 7.39981</f>
        <v>3.868215042075434</v>
      </c>
      <c r="G653" cm="1">
        <f t="array" ref="G653" xml:space="preserve"> ( mc(500, 3, 4, -1, 1, "EXP(x * sin(y))") ) - 7.39981</f>
        <v>-0.57698167664636646</v>
      </c>
      <c r="H653" cm="1">
        <f t="array" ref="H653" xml:space="preserve"> ( mc(1000, 3, 4, -1, 1, "EXP(x * sin(y))") ) - 7.39981</f>
        <v>0.25589925713550432</v>
      </c>
      <c r="J653" cm="1">
        <f t="array" ref="J653" xml:space="preserve"> mc(100, -PI()/2,0,-1, 1, "ln(EXP(x * y))")</f>
        <v>-7.0129633103062985E-2</v>
      </c>
      <c r="K653" cm="1">
        <f t="array" ref="K653" xml:space="preserve"> mc(500, -PI()/2,0,-1, 1, "ln(EXP(x * y))")</f>
        <v>-6.0699166181417782E-2</v>
      </c>
      <c r="L653" cm="1">
        <f t="array" ref="L653" xml:space="preserve"> mc(1000, -PI()/2,0,-1, 1, "ln(EXP(x * y))")</f>
        <v>4.1905674379770545E-2</v>
      </c>
      <c r="N653" cm="1">
        <f t="array" ref="N653" xml:space="preserve"> mc(100, -PI()/2,PI()/2, 0, 1, "sin(cos(x + y))")-1.48235</f>
        <v>-6.2593568193988425E-2</v>
      </c>
      <c r="O653" cm="1">
        <f t="array" ref="O653" xml:space="preserve"> mc(500, -PI()/2,PI()/2, 0, 1, "sin(cos(x + y))")-1.48235</f>
        <v>-4.4872039225763549E-2</v>
      </c>
      <c r="P653" cm="1">
        <f t="array" ref="P653" xml:space="preserve"> mc(1000, -PI()/2,PI()/2, 0, 1, "sin(cos(x + y))")-1.48235</f>
        <v>-1.4637795009709409E-2</v>
      </c>
    </row>
    <row r="654" spans="1:16" x14ac:dyDescent="0.3">
      <c r="A654">
        <v>624</v>
      </c>
      <c r="B654" cm="1">
        <f t="array" ref="B654" xml:space="preserve"> mc(100, 0, 4, 1, 2, "x^2+y^2")-92/3</f>
        <v>-2.0331195029055742</v>
      </c>
      <c r="C654" cm="1">
        <f t="array" ref="C654" xml:space="preserve"> mc(500, 0, 4, 1, 2, "x^2+y^2")-92/3</f>
        <v>-0.16858764391368197</v>
      </c>
      <c r="D654" cm="1">
        <f t="array" ref="D654" xml:space="preserve"> mc(1000, 0, 4, 1, 2, "x^2+y^2")-92/3</f>
        <v>-0.50973517072057462</v>
      </c>
      <c r="F654" cm="1">
        <f t="array" ref="F654" xml:space="preserve"> ( mc(100, 3, 4, -1, 1, "EXP(x * sin(y))") ) - 7.39981</f>
        <v>1.5280780166763197</v>
      </c>
      <c r="G654" cm="1">
        <f t="array" ref="G654" xml:space="preserve"> ( mc(500, 3, 4, -1, 1, "EXP(x * sin(y))") ) - 7.39981</f>
        <v>-0.67668986848037349</v>
      </c>
      <c r="H654" cm="1">
        <f t="array" ref="H654" xml:space="preserve"> ( mc(1000, 3, 4, -1, 1, "EXP(x * sin(y))") ) - 7.39981</f>
        <v>-0.14327175312031226</v>
      </c>
      <c r="J654" cm="1">
        <f t="array" ref="J654" xml:space="preserve"> mc(100, -PI()/2,0,-1, 1, "ln(EXP(x * y))")</f>
        <v>-7.4675496982709699E-2</v>
      </c>
      <c r="K654" cm="1">
        <f t="array" ref="K654" xml:space="preserve"> mc(500, -PI()/2,0,-1, 1, "ln(EXP(x * y))")</f>
        <v>-3.1486510533890281E-2</v>
      </c>
      <c r="L654" cm="1">
        <f t="array" ref="L654" xml:space="preserve"> mc(1000, -PI()/2,0,-1, 1, "ln(EXP(x * y))")</f>
        <v>-2.6400198009280385E-2</v>
      </c>
      <c r="N654" cm="1">
        <f t="array" ref="N654" xml:space="preserve"> mc(100, -PI()/2,PI()/2, 0, 1, "sin(cos(x + y))")-1.48235</f>
        <v>-0.20459687039313446</v>
      </c>
      <c r="O654" cm="1">
        <f t="array" ref="O654" xml:space="preserve"> mc(500, -PI()/2,PI()/2, 0, 1, "sin(cos(x + y))")-1.48235</f>
        <v>1.7219058654000419E-2</v>
      </c>
      <c r="P654" cm="1">
        <f t="array" ref="P654" xml:space="preserve"> mc(1000, -PI()/2,PI()/2, 0, 1, "sin(cos(x + y))")-1.48235</f>
        <v>9.1268100032089849E-2</v>
      </c>
    </row>
    <row r="655" spans="1:16" x14ac:dyDescent="0.3">
      <c r="A655">
        <v>625</v>
      </c>
      <c r="B655" cm="1">
        <f t="array" ref="B655" xml:space="preserve"> mc(100, 0, 4, 1, 2, "x^2+y^2")-92/3</f>
        <v>-0.77219175263029882</v>
      </c>
      <c r="C655" cm="1">
        <f t="array" ref="C655" xml:space="preserve"> mc(500, 0, 4, 1, 2, "x^2+y^2")-92/3</f>
        <v>-0.53687648287021261</v>
      </c>
      <c r="D655" cm="1">
        <f t="array" ref="D655" xml:space="preserve"> mc(1000, 0, 4, 1, 2, "x^2+y^2")-92/3</f>
        <v>-7.9293085282412079E-2</v>
      </c>
      <c r="F655" cm="1">
        <f t="array" ref="F655" xml:space="preserve"> ( mc(100, 3, 4, -1, 1, "EXP(x * sin(y))") ) - 7.39981</f>
        <v>6.9663965981486164E-2</v>
      </c>
      <c r="G655" cm="1">
        <f t="array" ref="G655" xml:space="preserve"> ( mc(500, 3, 4, -1, 1, "EXP(x * sin(y))") ) - 7.39981</f>
        <v>1.4188902814131765E-2</v>
      </c>
      <c r="H655" cm="1">
        <f t="array" ref="H655" xml:space="preserve"> ( mc(1000, 3, 4, -1, 1, "EXP(x * sin(y))") ) - 7.39981</f>
        <v>-0.25613839115206627</v>
      </c>
      <c r="J655" cm="1">
        <f t="array" ref="J655" xml:space="preserve"> mc(100, -PI()/2,0,-1, 1, "ln(EXP(x * y))")</f>
        <v>-0.41568290571772026</v>
      </c>
      <c r="K655" cm="1">
        <f t="array" ref="K655" xml:space="preserve"> mc(500, -PI()/2,0,-1, 1, "ln(EXP(x * y))")</f>
        <v>7.4158679543292763E-2</v>
      </c>
      <c r="L655" cm="1">
        <f t="array" ref="L655" xml:space="preserve"> mc(1000, -PI()/2,0,-1, 1, "ln(EXP(x * y))")</f>
        <v>-8.6519381244214877E-2</v>
      </c>
      <c r="N655" cm="1">
        <f t="array" ref="N655" xml:space="preserve"> mc(100, -PI()/2,PI()/2, 0, 1, "sin(cos(x + y))")-1.48235</f>
        <v>0.12289976534937463</v>
      </c>
      <c r="O655" cm="1">
        <f t="array" ref="O655" xml:space="preserve"> mc(500, -PI()/2,PI()/2, 0, 1, "sin(cos(x + y))")-1.48235</f>
        <v>-2.906172078515068E-2</v>
      </c>
      <c r="P655" cm="1">
        <f t="array" ref="P655" xml:space="preserve"> mc(1000, -PI()/2,PI()/2, 0, 1, "sin(cos(x + y))")-1.48235</f>
        <v>-3.1611678200589077E-2</v>
      </c>
    </row>
    <row r="656" spans="1:16" x14ac:dyDescent="0.3">
      <c r="A656">
        <v>626</v>
      </c>
      <c r="B656" cm="1">
        <f t="array" ref="B656" xml:space="preserve"> mc(100, 0, 4, 1, 2, "x^2+y^2")-92/3</f>
        <v>0.71125132761752496</v>
      </c>
      <c r="C656" cm="1">
        <f t="array" ref="C656" xml:space="preserve"> mc(500, 0, 4, 1, 2, "x^2+y^2")-92/3</f>
        <v>-1.0942241522826706</v>
      </c>
      <c r="D656" cm="1">
        <f t="array" ref="D656" xml:space="preserve"> mc(1000, 0, 4, 1, 2, "x^2+y^2")-92/3</f>
        <v>-0.33195084236014338</v>
      </c>
      <c r="F656" cm="1">
        <f t="array" ref="F656" xml:space="preserve"> ( mc(100, 3, 4, -1, 1, "EXP(x * sin(y))") ) - 7.39981</f>
        <v>-0.13426530957269467</v>
      </c>
      <c r="G656" cm="1">
        <f t="array" ref="G656" xml:space="preserve"> ( mc(500, 3, 4, -1, 1, "EXP(x * sin(y))") ) - 7.39981</f>
        <v>-0.14406418372441365</v>
      </c>
      <c r="H656" cm="1">
        <f t="array" ref="H656" xml:space="preserve"> ( mc(1000, 3, 4, -1, 1, "EXP(x * sin(y))") ) - 7.39981</f>
        <v>0.13391088124088224</v>
      </c>
      <c r="J656" cm="1">
        <f t="array" ref="J656" xml:space="preserve"> mc(100, -PI()/2,0,-1, 1, "ln(EXP(x * y))")</f>
        <v>-4.7497696965942762E-2</v>
      </c>
      <c r="K656" cm="1">
        <f t="array" ref="K656" xml:space="preserve"> mc(500, -PI()/2,0,-1, 1, "ln(EXP(x * y))")</f>
        <v>-3.0628419860953656E-2</v>
      </c>
      <c r="L656" cm="1">
        <f t="array" ref="L656" xml:space="preserve"> mc(1000, -PI()/2,0,-1, 1, "ln(EXP(x * y))")</f>
        <v>3.5314779476317622E-2</v>
      </c>
      <c r="N656" cm="1">
        <f t="array" ref="N656" xml:space="preserve"> mc(100, -PI()/2,PI()/2, 0, 1, "sin(cos(x + y))")-1.48235</f>
        <v>0.23934101759289583</v>
      </c>
      <c r="O656" cm="1">
        <f t="array" ref="O656" xml:space="preserve"> mc(500, -PI()/2,PI()/2, 0, 1, "sin(cos(x + y))")-1.48235</f>
        <v>-6.1688961798868513E-2</v>
      </c>
      <c r="P656" cm="1">
        <f t="array" ref="P656" xml:space="preserve"> mc(1000, -PI()/2,PI()/2, 0, 1, "sin(cos(x + y))")-1.48235</f>
        <v>-7.2857924730349577E-3</v>
      </c>
    </row>
    <row r="657" spans="1:16" x14ac:dyDescent="0.3">
      <c r="A657">
        <v>627</v>
      </c>
      <c r="B657" cm="1">
        <f t="array" ref="B657" xml:space="preserve"> mc(100, 0, 4, 1, 2, "x^2+y^2")-92/3</f>
        <v>-0.55017794525565122</v>
      </c>
      <c r="C657" cm="1">
        <f t="array" ref="C657" xml:space="preserve"> mc(500, 0, 4, 1, 2, "x^2+y^2")-92/3</f>
        <v>1.1801772161620363</v>
      </c>
      <c r="D657" cm="1">
        <f t="array" ref="D657" xml:space="preserve"> mc(1000, 0, 4, 1, 2, "x^2+y^2")-92/3</f>
        <v>-0.17339294416492379</v>
      </c>
      <c r="F657" cm="1">
        <f t="array" ref="F657" xml:space="preserve"> ( mc(100, 3, 4, -1, 1, "EXP(x * sin(y))") ) - 7.39981</f>
        <v>-0.17564763076001633</v>
      </c>
      <c r="G657" cm="1">
        <f t="array" ref="G657" xml:space="preserve"> ( mc(500, 3, 4, -1, 1, "EXP(x * sin(y))") ) - 7.39981</f>
        <v>-0.64035817915825533</v>
      </c>
      <c r="H657" cm="1">
        <f t="array" ref="H657" xml:space="preserve"> ( mc(1000, 3, 4, -1, 1, "EXP(x * sin(y))") ) - 7.39981</f>
        <v>-0.26674578924759906</v>
      </c>
      <c r="J657" cm="1">
        <f t="array" ref="J657" xml:space="preserve"> mc(100, -PI()/2,0,-1, 1, "ln(EXP(x * y))")</f>
        <v>-4.9767902007101378E-2</v>
      </c>
      <c r="K657" cm="1">
        <f t="array" ref="K657" xml:space="preserve"> mc(500, -PI()/2,0,-1, 1, "ln(EXP(x * y))")</f>
        <v>0.12639332209429585</v>
      </c>
      <c r="L657" cm="1">
        <f t="array" ref="L657" xml:space="preserve"> mc(1000, -PI()/2,0,-1, 1, "ln(EXP(x * y))")</f>
        <v>7.0509487974879256E-2</v>
      </c>
      <c r="N657" cm="1">
        <f t="array" ref="N657" xml:space="preserve"> mc(100, -PI()/2,PI()/2, 0, 1, "sin(cos(x + y))")-1.48235</f>
        <v>1.5163950801029502E-2</v>
      </c>
      <c r="O657" cm="1">
        <f t="array" ref="O657" xml:space="preserve"> mc(500, -PI()/2,PI()/2, 0, 1, "sin(cos(x + y))")-1.48235</f>
        <v>5.4708467441931807E-2</v>
      </c>
      <c r="P657" cm="1">
        <f t="array" ref="P657" xml:space="preserve"> mc(1000, -PI()/2,PI()/2, 0, 1, "sin(cos(x + y))")-1.48235</f>
        <v>-1.4046411771871492E-2</v>
      </c>
    </row>
    <row r="658" spans="1:16" x14ac:dyDescent="0.3">
      <c r="A658">
        <v>628</v>
      </c>
      <c r="B658" cm="1">
        <f t="array" ref="B658" xml:space="preserve"> mc(100, 0, 4, 1, 2, "x^2+y^2")-92/3</f>
        <v>-2.0966396502101148</v>
      </c>
      <c r="C658" cm="1">
        <f t="array" ref="C658" xml:space="preserve"> mc(500, 0, 4, 1, 2, "x^2+y^2")-92/3</f>
        <v>-0.36682864557978334</v>
      </c>
      <c r="D658" cm="1">
        <f t="array" ref="D658" xml:space="preserve"> mc(1000, 0, 4, 1, 2, "x^2+y^2")-92/3</f>
        <v>-0.13716598061100527</v>
      </c>
      <c r="F658" cm="1">
        <f t="array" ref="F658" xml:space="preserve"> ( mc(100, 3, 4, -1, 1, "EXP(x * sin(y))") ) - 7.39981</f>
        <v>-1.125852566853994</v>
      </c>
      <c r="G658" cm="1">
        <f t="array" ref="G658" xml:space="preserve"> ( mc(500, 3, 4, -1, 1, "EXP(x * sin(y))") ) - 7.39981</f>
        <v>-0.27770952411359762</v>
      </c>
      <c r="H658" cm="1">
        <f t="array" ref="H658" xml:space="preserve"> ( mc(1000, 3, 4, -1, 1, "EXP(x * sin(y))") ) - 7.39981</f>
        <v>-0.10827879683021546</v>
      </c>
      <c r="J658" cm="1">
        <f t="array" ref="J658" xml:space="preserve"> mc(100, -PI()/2,0,-1, 1, "ln(EXP(x * y))")</f>
        <v>-0.11733511626364423</v>
      </c>
      <c r="K658" cm="1">
        <f t="array" ref="K658" xml:space="preserve"> mc(500, -PI()/2,0,-1, 1, "ln(EXP(x * y))")</f>
        <v>6.0413088880352926E-2</v>
      </c>
      <c r="L658" cm="1">
        <f t="array" ref="L658" xml:space="preserve"> mc(1000, -PI()/2,0,-1, 1, "ln(EXP(x * y))")</f>
        <v>-4.8512262662871612E-2</v>
      </c>
      <c r="N658" cm="1">
        <f t="array" ref="N658" xml:space="preserve"> mc(100, -PI()/2,PI()/2, 0, 1, "sin(cos(x + y))")-1.48235</f>
        <v>-0.15889671602096156</v>
      </c>
      <c r="O658" cm="1">
        <f t="array" ref="O658" xml:space="preserve"> mc(500, -PI()/2,PI()/2, 0, 1, "sin(cos(x + y))")-1.48235</f>
        <v>9.8513643273601126E-3</v>
      </c>
      <c r="P658" cm="1">
        <f t="array" ref="P658" xml:space="preserve"> mc(1000, -PI()/2,PI()/2, 0, 1, "sin(cos(x + y))")-1.48235</f>
        <v>-1.4700472199588477E-2</v>
      </c>
    </row>
    <row r="659" spans="1:16" x14ac:dyDescent="0.3">
      <c r="A659">
        <v>629</v>
      </c>
      <c r="B659" cm="1">
        <f t="array" ref="B659" xml:space="preserve"> mc(100, 0, 4, 1, 2, "x^2+y^2")-92/3</f>
        <v>1.5539150424380743</v>
      </c>
      <c r="C659" cm="1">
        <f t="array" ref="C659" xml:space="preserve"> mc(500, 0, 4, 1, 2, "x^2+y^2")-92/3</f>
        <v>0.62163560915933758</v>
      </c>
      <c r="D659" cm="1">
        <f t="array" ref="D659" xml:space="preserve"> mc(1000, 0, 4, 1, 2, "x^2+y^2")-92/3</f>
        <v>0.18352088867592897</v>
      </c>
      <c r="F659" cm="1">
        <f t="array" ref="F659" xml:space="preserve"> ( mc(100, 3, 4, -1, 1, "EXP(x * sin(y))") ) - 7.39981</f>
        <v>-0.35360202624970416</v>
      </c>
      <c r="G659" cm="1">
        <f t="array" ref="G659" xml:space="preserve"> ( mc(500, 3, 4, -1, 1, "EXP(x * sin(y))") ) - 7.39981</f>
        <v>-8.3790852878289357E-3</v>
      </c>
      <c r="H659" cm="1">
        <f t="array" ref="H659" xml:space="preserve"> ( mc(1000, 3, 4, -1, 1, "EXP(x * sin(y))") ) - 7.39981</f>
        <v>0.6750465066994682</v>
      </c>
      <c r="J659" cm="1">
        <f t="array" ref="J659" xml:space="preserve"> mc(100, -PI()/2,0,-1, 1, "ln(EXP(x * y))")</f>
        <v>0.11806199984292434</v>
      </c>
      <c r="K659" cm="1">
        <f t="array" ref="K659" xml:space="preserve"> mc(500, -PI()/2,0,-1, 1, "ln(EXP(x * y))")</f>
        <v>2.587541601270207E-2</v>
      </c>
      <c r="L659" cm="1">
        <f t="array" ref="L659" xml:space="preserve"> mc(1000, -PI()/2,0,-1, 1, "ln(EXP(x * y))")</f>
        <v>-7.4750912018083995E-3</v>
      </c>
      <c r="N659" cm="1">
        <f t="array" ref="N659" xml:space="preserve"> mc(100, -PI()/2,PI()/2, 0, 1, "sin(cos(x + y))")-1.48235</f>
        <v>8.878370356820442E-2</v>
      </c>
      <c r="O659" cm="1">
        <f t="array" ref="O659" xml:space="preserve"> mc(500, -PI()/2,PI()/2, 0, 1, "sin(cos(x + y))")-1.48235</f>
        <v>-3.8772828344495025E-2</v>
      </c>
      <c r="P659" cm="1">
        <f t="array" ref="P659" xml:space="preserve"> mc(1000, -PI()/2,PI()/2, 0, 1, "sin(cos(x + y))")-1.48235</f>
        <v>-4.1656214623693399E-2</v>
      </c>
    </row>
    <row r="660" spans="1:16" x14ac:dyDescent="0.3">
      <c r="A660">
        <v>630</v>
      </c>
      <c r="B660" cm="1">
        <f t="array" ref="B660" xml:space="preserve"> mc(100, 0, 4, 1, 2, "x^2+y^2")-92/3</f>
        <v>0.25304497923097813</v>
      </c>
      <c r="C660" cm="1">
        <f t="array" ref="C660" xml:space="preserve"> mc(500, 0, 4, 1, 2, "x^2+y^2")-92/3</f>
        <v>1.8168464546751544</v>
      </c>
      <c r="D660" cm="1">
        <f t="array" ref="D660" xml:space="preserve"> mc(1000, 0, 4, 1, 2, "x^2+y^2")-92/3</f>
        <v>8.3562478890399916E-2</v>
      </c>
      <c r="F660" cm="1">
        <f t="array" ref="F660" xml:space="preserve"> ( mc(100, 3, 4, -1, 1, "EXP(x * sin(y))") ) - 7.39981</f>
        <v>-1.0408115555965489</v>
      </c>
      <c r="G660" cm="1">
        <f t="array" ref="G660" xml:space="preserve"> ( mc(500, 3, 4, -1, 1, "EXP(x * sin(y))") ) - 7.39981</f>
        <v>0.17065374252212884</v>
      </c>
      <c r="H660" cm="1">
        <f t="array" ref="H660" xml:space="preserve"> ( mc(1000, 3, 4, -1, 1, "EXP(x * sin(y))") ) - 7.39981</f>
        <v>-3.7246873508014033E-2</v>
      </c>
      <c r="J660" cm="1">
        <f t="array" ref="J660" xml:space="preserve"> mc(100, -PI()/2,0,-1, 1, "ln(EXP(x * y))")</f>
        <v>-0.11082781149080619</v>
      </c>
      <c r="K660" cm="1">
        <f t="array" ref="K660" xml:space="preserve"> mc(500, -PI()/2,0,-1, 1, "ln(EXP(x * y))")</f>
        <v>-4.1795137722550765E-2</v>
      </c>
      <c r="L660" cm="1">
        <f t="array" ref="L660" xml:space="preserve"> mc(1000, -PI()/2,0,-1, 1, "ln(EXP(x * y))")</f>
        <v>-3.9822487960158137E-2</v>
      </c>
      <c r="N660" cm="1">
        <f t="array" ref="N660" xml:space="preserve"> mc(100, -PI()/2,PI()/2, 0, 1, "sin(cos(x + y))")-1.48235</f>
        <v>0.10619634112690624</v>
      </c>
      <c r="O660" cm="1">
        <f t="array" ref="O660" xml:space="preserve"> mc(500, -PI()/2,PI()/2, 0, 1, "sin(cos(x + y))")-1.48235</f>
        <v>-2.1968348540514437E-2</v>
      </c>
      <c r="P660" cm="1">
        <f t="array" ref="P660" xml:space="preserve"> mc(1000, -PI()/2,PI()/2, 0, 1, "sin(cos(x + y))")-1.48235</f>
        <v>2.3346694000293322E-2</v>
      </c>
    </row>
    <row r="661" spans="1:16" x14ac:dyDescent="0.3">
      <c r="A661">
        <v>631</v>
      </c>
      <c r="B661" cm="1">
        <f t="array" ref="B661" xml:space="preserve"> mc(100, 0, 4, 1, 2, "x^2+y^2")-92/3</f>
        <v>2.3420467995542147</v>
      </c>
      <c r="C661" cm="1">
        <f t="array" ref="C661" xml:space="preserve"> mc(500, 0, 4, 1, 2, "x^2+y^2")-92/3</f>
        <v>0.18307061719910678</v>
      </c>
      <c r="D661" cm="1">
        <f t="array" ref="D661" xml:space="preserve"> mc(1000, 0, 4, 1, 2, "x^2+y^2")-92/3</f>
        <v>-0.17790859638376588</v>
      </c>
      <c r="F661" cm="1">
        <f t="array" ref="F661" xml:space="preserve"> ( mc(100, 3, 4, -1, 1, "EXP(x * sin(y))") ) - 7.39981</f>
        <v>-0.38207066230869113</v>
      </c>
      <c r="G661" cm="1">
        <f t="array" ref="G661" xml:space="preserve"> ( mc(500, 3, 4, -1, 1, "EXP(x * sin(y))") ) - 7.39981</f>
        <v>-0.15168204233256333</v>
      </c>
      <c r="H661" cm="1">
        <f t="array" ref="H661" xml:space="preserve"> ( mc(1000, 3, 4, -1, 1, "EXP(x * sin(y))") ) - 7.39981</f>
        <v>0.61413081096683086</v>
      </c>
      <c r="J661" cm="1">
        <f t="array" ref="J661" xml:space="preserve"> mc(100, -PI()/2,0,-1, 1, "ln(EXP(x * y))")</f>
        <v>-3.7140226248972281E-3</v>
      </c>
      <c r="K661" cm="1">
        <f t="array" ref="K661" xml:space="preserve"> mc(500, -PI()/2,0,-1, 1, "ln(EXP(x * y))")</f>
        <v>-0.10125460982953492</v>
      </c>
      <c r="L661" cm="1">
        <f t="array" ref="L661" xml:space="preserve"> mc(1000, -PI()/2,0,-1, 1, "ln(EXP(x * y))")</f>
        <v>1.0237608966288022E-2</v>
      </c>
      <c r="N661" cm="1">
        <f t="array" ref="N661" xml:space="preserve"> mc(100, -PI()/2,PI()/2, 0, 1, "sin(cos(x + y))")-1.48235</f>
        <v>-2.8738346526233638E-3</v>
      </c>
      <c r="O661" cm="1">
        <f t="array" ref="O661" xml:space="preserve"> mc(500, -PI()/2,PI()/2, 0, 1, "sin(cos(x + y))")-1.48235</f>
        <v>1.2437497580241708E-2</v>
      </c>
      <c r="P661" cm="1">
        <f t="array" ref="P661" xml:space="preserve"> mc(1000, -PI()/2,PI()/2, 0, 1, "sin(cos(x + y))")-1.48235</f>
        <v>-4.7982260115149167E-3</v>
      </c>
    </row>
    <row r="662" spans="1:16" x14ac:dyDescent="0.3">
      <c r="A662">
        <v>632</v>
      </c>
      <c r="B662" cm="1">
        <f t="array" ref="B662" xml:space="preserve"> mc(100, 0, 4, 1, 2, "x^2+y^2")-92/3</f>
        <v>-0.58412565337383882</v>
      </c>
      <c r="C662" cm="1">
        <f t="array" ref="C662" xml:space="preserve"> mc(500, 0, 4, 1, 2, "x^2+y^2")-92/3</f>
        <v>0.446981250843141</v>
      </c>
      <c r="D662" cm="1">
        <f t="array" ref="D662" xml:space="preserve"> mc(1000, 0, 4, 1, 2, "x^2+y^2")-92/3</f>
        <v>-0.27096924023986446</v>
      </c>
      <c r="F662" cm="1">
        <f t="array" ref="F662" xml:space="preserve"> ( mc(100, 3, 4, -1, 1, "EXP(x * sin(y))") ) - 7.39981</f>
        <v>-0.73941750583631194</v>
      </c>
      <c r="G662" cm="1">
        <f t="array" ref="G662" xml:space="preserve"> ( mc(500, 3, 4, -1, 1, "EXP(x * sin(y))") ) - 7.39981</f>
        <v>0.68134382919432745</v>
      </c>
      <c r="H662" cm="1">
        <f t="array" ref="H662" xml:space="preserve"> ( mc(1000, 3, 4, -1, 1, "EXP(x * sin(y))") ) - 7.39981</f>
        <v>-0.34105205332230693</v>
      </c>
      <c r="J662" cm="1">
        <f t="array" ref="J662" xml:space="preserve"> mc(100, -PI()/2,0,-1, 1, "ln(EXP(x * y))")</f>
        <v>0.17297735014005314</v>
      </c>
      <c r="K662" cm="1">
        <f t="array" ref="K662" xml:space="preserve"> mc(500, -PI()/2,0,-1, 1, "ln(EXP(x * y))")</f>
        <v>-5.9397846703732056E-2</v>
      </c>
      <c r="L662" cm="1">
        <f t="array" ref="L662" xml:space="preserve"> mc(1000, -PI()/2,0,-1, 1, "ln(EXP(x * y))")</f>
        <v>-3.5813774507520192E-2</v>
      </c>
      <c r="N662" cm="1">
        <f t="array" ref="N662" xml:space="preserve"> mc(100, -PI()/2,PI()/2, 0, 1, "sin(cos(x + y))")-1.48235</f>
        <v>-2.8531729784118554E-2</v>
      </c>
      <c r="O662" cm="1">
        <f t="array" ref="O662" xml:space="preserve"> mc(500, -PI()/2,PI()/2, 0, 1, "sin(cos(x + y))")-1.48235</f>
        <v>-9.4163667464203016E-2</v>
      </c>
      <c r="P662" cm="1">
        <f t="array" ref="P662" xml:space="preserve"> mc(1000, -PI()/2,PI()/2, 0, 1, "sin(cos(x + y))")-1.48235</f>
        <v>-4.2115072599890446E-2</v>
      </c>
    </row>
    <row r="663" spans="1:16" x14ac:dyDescent="0.3">
      <c r="A663">
        <v>633</v>
      </c>
      <c r="B663" cm="1">
        <f t="array" ref="B663" xml:space="preserve"> mc(100, 0, 4, 1, 2, "x^2+y^2")-92/3</f>
        <v>-0.39400951263894157</v>
      </c>
      <c r="C663" cm="1">
        <f t="array" ref="C663" xml:space="preserve"> mc(500, 0, 4, 1, 2, "x^2+y^2")-92/3</f>
        <v>-0.6145263225553812</v>
      </c>
      <c r="D663" cm="1">
        <f t="array" ref="D663" xml:space="preserve"> mc(1000, 0, 4, 1, 2, "x^2+y^2")-92/3</f>
        <v>-0.89984986734833328</v>
      </c>
      <c r="F663" cm="1">
        <f t="array" ref="F663" xml:space="preserve"> ( mc(100, 3, 4, -1, 1, "EXP(x * sin(y))") ) - 7.39981</f>
        <v>-1.2040654966045619</v>
      </c>
      <c r="G663" cm="1">
        <f t="array" ref="G663" xml:space="preserve"> ( mc(500, 3, 4, -1, 1, "EXP(x * sin(y))") ) - 7.39981</f>
        <v>-2.7192656891072531E-2</v>
      </c>
      <c r="H663" cm="1">
        <f t="array" ref="H663" xml:space="preserve"> ( mc(1000, 3, 4, -1, 1, "EXP(x * sin(y))") ) - 7.39981</f>
        <v>0.17027306074369264</v>
      </c>
      <c r="J663" cm="1">
        <f t="array" ref="J663" xml:space="preserve"> mc(100, -PI()/2,0,-1, 1, "ln(EXP(x * y))")</f>
        <v>4.6203903011053309E-2</v>
      </c>
      <c r="K663" cm="1">
        <f t="array" ref="K663" xml:space="preserve"> mc(500, -PI()/2,0,-1, 1, "ln(EXP(x * y))")</f>
        <v>2.947570333191154E-3</v>
      </c>
      <c r="L663" cm="1">
        <f t="array" ref="L663" xml:space="preserve"> mc(1000, -PI()/2,0,-1, 1, "ln(EXP(x * y))")</f>
        <v>-8.1099194162347316E-2</v>
      </c>
      <c r="N663" cm="1">
        <f t="array" ref="N663" xml:space="preserve"> mc(100, -PI()/2,PI()/2, 0, 1, "sin(cos(x + y))")-1.48235</f>
        <v>9.2510760342645604E-2</v>
      </c>
      <c r="O663" cm="1">
        <f t="array" ref="O663" xml:space="preserve"> mc(500, -PI()/2,PI()/2, 0, 1, "sin(cos(x + y))")-1.48235</f>
        <v>6.2081129325816109E-2</v>
      </c>
      <c r="P663" cm="1">
        <f t="array" ref="P663" xml:space="preserve"> mc(1000, -PI()/2,PI()/2, 0, 1, "sin(cos(x + y))")-1.48235</f>
        <v>1.7316095996707359E-2</v>
      </c>
    </row>
    <row r="664" spans="1:16" x14ac:dyDescent="0.3">
      <c r="A664">
        <v>634</v>
      </c>
      <c r="B664" cm="1">
        <f t="array" ref="B664" xml:space="preserve"> mc(100, 0, 4, 1, 2, "x^2+y^2")-92/3</f>
        <v>1.8517505774267384</v>
      </c>
      <c r="C664" cm="1">
        <f t="array" ref="C664" xml:space="preserve"> mc(500, 0, 4, 1, 2, "x^2+y^2")-92/3</f>
        <v>0.46767107213882753</v>
      </c>
      <c r="D664" cm="1">
        <f t="array" ref="D664" xml:space="preserve"> mc(1000, 0, 4, 1, 2, "x^2+y^2")-92/3</f>
        <v>0.49558931390176753</v>
      </c>
      <c r="F664" cm="1">
        <f t="array" ref="F664" xml:space="preserve"> ( mc(100, 3, 4, -1, 1, "EXP(x * sin(y))") ) - 7.39981</f>
        <v>-2.3271980118466207</v>
      </c>
      <c r="G664" cm="1">
        <f t="array" ref="G664" xml:space="preserve"> ( mc(500, 3, 4, -1, 1, "EXP(x * sin(y))") ) - 7.39981</f>
        <v>-0.26314395925097589</v>
      </c>
      <c r="H664" cm="1">
        <f t="array" ref="H664" xml:space="preserve"> ( mc(1000, 3, 4, -1, 1, "EXP(x * sin(y))") ) - 7.39981</f>
        <v>-0.23578264498692381</v>
      </c>
      <c r="J664" cm="1">
        <f t="array" ref="J664" xml:space="preserve"> mc(100, -PI()/2,0,-1, 1, "ln(EXP(x * y))")</f>
        <v>0.17271894280165287</v>
      </c>
      <c r="K664" cm="1">
        <f t="array" ref="K664" xml:space="preserve"> mc(500, -PI()/2,0,-1, 1, "ln(EXP(x * y))")</f>
        <v>1.0732420384502197E-2</v>
      </c>
      <c r="L664" cm="1">
        <f t="array" ref="L664" xml:space="preserve"> mc(1000, -PI()/2,0,-1, 1, "ln(EXP(x * y))")</f>
        <v>6.8278373591971586E-2</v>
      </c>
      <c r="N664" cm="1">
        <f t="array" ref="N664" xml:space="preserve"> mc(100, -PI()/2,PI()/2, 0, 1, "sin(cos(x + y))")-1.48235</f>
        <v>-0.120865482240754</v>
      </c>
      <c r="O664" cm="1">
        <f t="array" ref="O664" xml:space="preserve"> mc(500, -PI()/2,PI()/2, 0, 1, "sin(cos(x + y))")-1.48235</f>
        <v>-4.4984462609387599E-4</v>
      </c>
      <c r="P664" cm="1">
        <f t="array" ref="P664" xml:space="preserve"> mc(1000, -PI()/2,PI()/2, 0, 1, "sin(cos(x + y))")-1.48235</f>
        <v>8.8994098353936124E-3</v>
      </c>
    </row>
    <row r="665" spans="1:16" x14ac:dyDescent="0.3">
      <c r="A665">
        <v>635</v>
      </c>
      <c r="B665" cm="1">
        <f t="array" ref="B665" xml:space="preserve"> mc(100, 0, 4, 1, 2, "x^2+y^2")-92/3</f>
        <v>3.4578444895845699</v>
      </c>
      <c r="C665" cm="1">
        <f t="array" ref="C665" xml:space="preserve"> mc(500, 0, 4, 1, 2, "x^2+y^2")-92/3</f>
        <v>0.46417925897410939</v>
      </c>
      <c r="D665" cm="1">
        <f t="array" ref="D665" xml:space="preserve"> mc(1000, 0, 4, 1, 2, "x^2+y^2")-92/3</f>
        <v>0.5944544940896499</v>
      </c>
      <c r="F665" cm="1">
        <f t="array" ref="F665" xml:space="preserve"> ( mc(100, 3, 4, -1, 1, "EXP(x * sin(y))") ) - 7.39981</f>
        <v>-0.83136897938702425</v>
      </c>
      <c r="G665" cm="1">
        <f t="array" ref="G665" xml:space="preserve"> ( mc(500, 3, 4, -1, 1, "EXP(x * sin(y))") ) - 7.39981</f>
        <v>-0.24277042107223057</v>
      </c>
      <c r="H665" cm="1">
        <f t="array" ref="H665" xml:space="preserve"> ( mc(1000, 3, 4, -1, 1, "EXP(x * sin(y))") ) - 7.39981</f>
        <v>-8.1048417069629508E-2</v>
      </c>
      <c r="J665" cm="1">
        <f t="array" ref="J665" xml:space="preserve"> mc(100, -PI()/2,0,-1, 1, "ln(EXP(x * y))")</f>
        <v>6.8905320071098161E-2</v>
      </c>
      <c r="K665" cm="1">
        <f t="array" ref="K665" xml:space="preserve"> mc(500, -PI()/2,0,-1, 1, "ln(EXP(x * y))")</f>
        <v>0.1262898749463251</v>
      </c>
      <c r="L665" cm="1">
        <f t="array" ref="L665" xml:space="preserve"> mc(1000, -PI()/2,0,-1, 1, "ln(EXP(x * y))")</f>
        <v>6.4856987465469898E-3</v>
      </c>
      <c r="N665" cm="1">
        <f t="array" ref="N665" xml:space="preserve"> mc(100, -PI()/2,PI()/2, 0, 1, "sin(cos(x + y))")-1.48235</f>
        <v>-4.5770974902755501E-2</v>
      </c>
      <c r="O665" cm="1">
        <f t="array" ref="O665" xml:space="preserve"> mc(500, -PI()/2,PI()/2, 0, 1, "sin(cos(x + y))")-1.48235</f>
        <v>5.9873971030410811E-3</v>
      </c>
      <c r="P665" cm="1">
        <f t="array" ref="P665" xml:space="preserve"> mc(1000, -PI()/2,PI()/2, 0, 1, "sin(cos(x + y))")-1.48235</f>
        <v>-6.3897131578635635E-2</v>
      </c>
    </row>
    <row r="666" spans="1:16" x14ac:dyDescent="0.3">
      <c r="A666">
        <v>636</v>
      </c>
      <c r="B666" cm="1">
        <f t="array" ref="B666" xml:space="preserve"> mc(100, 0, 4, 1, 2, "x^2+y^2")-92/3</f>
        <v>0.1797651348123317</v>
      </c>
      <c r="C666" cm="1">
        <f t="array" ref="C666" xml:space="preserve"> mc(500, 0, 4, 1, 2, "x^2+y^2")-92/3</f>
        <v>6.6221350402845047E-2</v>
      </c>
      <c r="D666" cm="1">
        <f t="array" ref="D666" xml:space="preserve"> mc(1000, 0, 4, 1, 2, "x^2+y^2")-92/3</f>
        <v>0.68564915041055841</v>
      </c>
      <c r="F666" cm="1">
        <f t="array" ref="F666" xml:space="preserve"> ( mc(100, 3, 4, -1, 1, "EXP(x * sin(y))") ) - 7.39981</f>
        <v>-2.5639677090085788</v>
      </c>
      <c r="G666" cm="1">
        <f t="array" ref="G666" xml:space="preserve"> ( mc(500, 3, 4, -1, 1, "EXP(x * sin(y))") ) - 7.39981</f>
        <v>8.7944446414134347E-4</v>
      </c>
      <c r="H666" cm="1">
        <f t="array" ref="H666" xml:space="preserve"> ( mc(1000, 3, 4, -1, 1, "EXP(x * sin(y))") ) - 7.39981</f>
        <v>-9.855420288769956E-2</v>
      </c>
      <c r="J666" cm="1">
        <f t="array" ref="J666" xml:space="preserve"> mc(100, -PI()/2,0,-1, 1, "ln(EXP(x * y))")</f>
        <v>-5.2749915183816172E-2</v>
      </c>
      <c r="K666" cm="1">
        <f t="array" ref="K666" xml:space="preserve"> mc(500, -PI()/2,0,-1, 1, "ln(EXP(x * y))")</f>
        <v>-1.9116937943911318E-2</v>
      </c>
      <c r="L666" cm="1">
        <f t="array" ref="L666" xml:space="preserve"> mc(1000, -PI()/2,0,-1, 1, "ln(EXP(x * y))")</f>
        <v>-3.9154532139147102E-2</v>
      </c>
      <c r="N666" cm="1">
        <f t="array" ref="N666" xml:space="preserve"> mc(100, -PI()/2,PI()/2, 0, 1, "sin(cos(x + y))")-1.48235</f>
        <v>-2.5768013355907726E-2</v>
      </c>
      <c r="O666" cm="1">
        <f t="array" ref="O666" xml:space="preserve"> mc(500, -PI()/2,PI()/2, 0, 1, "sin(cos(x + y))")-1.48235</f>
        <v>-6.4084685981720346E-2</v>
      </c>
      <c r="P666" cm="1">
        <f t="array" ref="P666" xml:space="preserve"> mc(1000, -PI()/2,PI()/2, 0, 1, "sin(cos(x + y))")-1.48235</f>
        <v>3.628265748684778E-2</v>
      </c>
    </row>
    <row r="667" spans="1:16" x14ac:dyDescent="0.3">
      <c r="A667">
        <v>637</v>
      </c>
      <c r="B667" cm="1">
        <f t="array" ref="B667" xml:space="preserve"> mc(100, 0, 4, 1, 2, "x^2+y^2")-92/3</f>
        <v>-0.37682573416115517</v>
      </c>
      <c r="C667" cm="1">
        <f t="array" ref="C667" xml:space="preserve"> mc(500, 0, 4, 1, 2, "x^2+y^2")-92/3</f>
        <v>1.8235683894105854</v>
      </c>
      <c r="D667" cm="1">
        <f t="array" ref="D667" xml:space="preserve"> mc(1000, 0, 4, 1, 2, "x^2+y^2")-92/3</f>
        <v>-0.23781634809754593</v>
      </c>
      <c r="F667" cm="1">
        <f t="array" ref="F667" xml:space="preserve"> ( mc(100, 3, 4, -1, 1, "EXP(x * sin(y))") ) - 7.39981</f>
        <v>-0.12784830508425227</v>
      </c>
      <c r="G667" cm="1">
        <f t="array" ref="G667" xml:space="preserve"> ( mc(500, 3, 4, -1, 1, "EXP(x * sin(y))") ) - 7.39981</f>
        <v>-0.27408926328144556</v>
      </c>
      <c r="H667" cm="1">
        <f t="array" ref="H667" xml:space="preserve"> ( mc(1000, 3, 4, -1, 1, "EXP(x * sin(y))") ) - 7.39981</f>
        <v>7.509619463275552E-2</v>
      </c>
      <c r="J667" cm="1">
        <f t="array" ref="J667" xml:space="preserve"> mc(100, -PI()/2,0,-1, 1, "ln(EXP(x * y))")</f>
        <v>4.0512429516999036E-2</v>
      </c>
      <c r="K667" cm="1">
        <f t="array" ref="K667" xml:space="preserve"> mc(500, -PI()/2,0,-1, 1, "ln(EXP(x * y))")</f>
        <v>0.15846714006462206</v>
      </c>
      <c r="L667" cm="1">
        <f t="array" ref="L667" xml:space="preserve"> mc(1000, -PI()/2,0,-1, 1, "ln(EXP(x * y))")</f>
        <v>-2.9786186667126839E-2</v>
      </c>
      <c r="N667" cm="1">
        <f t="array" ref="N667" xml:space="preserve"> mc(100, -PI()/2,PI()/2, 0, 1, "sin(cos(x + y))")-1.48235</f>
        <v>0.24643272562313912</v>
      </c>
      <c r="O667" cm="1">
        <f t="array" ref="O667" xml:space="preserve"> mc(500, -PI()/2,PI()/2, 0, 1, "sin(cos(x + y))")-1.48235</f>
        <v>-9.4683814401277822E-2</v>
      </c>
      <c r="P667" cm="1">
        <f t="array" ref="P667" xml:space="preserve"> mc(1000, -PI()/2,PI()/2, 0, 1, "sin(cos(x + y))")-1.48235</f>
        <v>3.8169529116173662E-2</v>
      </c>
    </row>
    <row r="668" spans="1:16" x14ac:dyDescent="0.3">
      <c r="A668">
        <v>638</v>
      </c>
      <c r="B668" cm="1">
        <f t="array" ref="B668" xml:space="preserve"> mc(100, 0, 4, 1, 2, "x^2+y^2")-92/3</f>
        <v>1.4905099547157157</v>
      </c>
      <c r="C668" cm="1">
        <f t="array" ref="C668" xml:space="preserve"> mc(500, 0, 4, 1, 2, "x^2+y^2")-92/3</f>
        <v>-0.43077882317808402</v>
      </c>
      <c r="D668" cm="1">
        <f t="array" ref="D668" xml:space="preserve"> mc(1000, 0, 4, 1, 2, "x^2+y^2")-92/3</f>
        <v>-0.59409218061437485</v>
      </c>
      <c r="F668" cm="1">
        <f t="array" ref="F668" xml:space="preserve"> ( mc(100, 3, 4, -1, 1, "EXP(x * sin(y))") ) - 7.39981</f>
        <v>-1.197711938563029</v>
      </c>
      <c r="G668" cm="1">
        <f t="array" ref="G668" xml:space="preserve"> ( mc(500, 3, 4, -1, 1, "EXP(x * sin(y))") ) - 7.39981</f>
        <v>0.32418850036995739</v>
      </c>
      <c r="H668" cm="1">
        <f t="array" ref="H668" xml:space="preserve"> ( mc(1000, 3, 4, -1, 1, "EXP(x * sin(y))") ) - 7.39981</f>
        <v>6.7785351749982681E-4</v>
      </c>
      <c r="J668" cm="1">
        <f t="array" ref="J668" xml:space="preserve"> mc(100, -PI()/2,0,-1, 1, "ln(EXP(x * y))")</f>
        <v>0.36017191640244139</v>
      </c>
      <c r="K668" cm="1">
        <f t="array" ref="K668" xml:space="preserve"> mc(500, -PI()/2,0,-1, 1, "ln(EXP(x * y))")</f>
        <v>6.6984707520147596E-2</v>
      </c>
      <c r="L668" cm="1">
        <f t="array" ref="L668" xml:space="preserve"> mc(1000, -PI()/2,0,-1, 1, "ln(EXP(x * y))")</f>
        <v>-7.1902037430149626E-2</v>
      </c>
      <c r="N668" cm="1">
        <f t="array" ref="N668" xml:space="preserve"> mc(100, -PI()/2,PI()/2, 0, 1, "sin(cos(x + y))")-1.48235</f>
        <v>-4.9567788178273897E-2</v>
      </c>
      <c r="O668" cm="1">
        <f t="array" ref="O668" xml:space="preserve"> mc(500, -PI()/2,PI()/2, 0, 1, "sin(cos(x + y))")-1.48235</f>
        <v>7.8994953945171753E-2</v>
      </c>
      <c r="P668" cm="1">
        <f t="array" ref="P668" xml:space="preserve"> mc(1000, -PI()/2,PI()/2, 0, 1, "sin(cos(x + y))")-1.48235</f>
        <v>4.3946352588881687E-3</v>
      </c>
    </row>
    <row r="669" spans="1:16" x14ac:dyDescent="0.3">
      <c r="A669">
        <v>639</v>
      </c>
      <c r="B669" cm="1">
        <f t="array" ref="B669" xml:space="preserve"> mc(100, 0, 4, 1, 2, "x^2+y^2")-92/3</f>
        <v>-0.29998967275320965</v>
      </c>
      <c r="C669" cm="1">
        <f t="array" ref="C669" xml:space="preserve"> mc(500, 0, 4, 1, 2, "x^2+y^2")-92/3</f>
        <v>0.83511046910943776</v>
      </c>
      <c r="D669" cm="1">
        <f t="array" ref="D669" xml:space="preserve"> mc(1000, 0, 4, 1, 2, "x^2+y^2")-92/3</f>
        <v>0.32309447820147597</v>
      </c>
      <c r="F669" cm="1">
        <f t="array" ref="F669" xml:space="preserve"> ( mc(100, 3, 4, -1, 1, "EXP(x * sin(y))") ) - 7.39981</f>
        <v>-1.3424618828400323</v>
      </c>
      <c r="G669" cm="1">
        <f t="array" ref="G669" xml:space="preserve"> ( mc(500, 3, 4, -1, 1, "EXP(x * sin(y))") ) - 7.39981</f>
        <v>0.39363193759051374</v>
      </c>
      <c r="H669" cm="1">
        <f t="array" ref="H669" xml:space="preserve"> ( mc(1000, 3, 4, -1, 1, "EXP(x * sin(y))") ) - 7.39981</f>
        <v>-0.12098480620484153</v>
      </c>
      <c r="J669" cm="1">
        <f t="array" ref="J669" xml:space="preserve"> mc(100, -PI()/2,0,-1, 1, "ln(EXP(x * y))")</f>
        <v>-9.229197236472024E-2</v>
      </c>
      <c r="K669" cm="1">
        <f t="array" ref="K669" xml:space="preserve"> mc(500, -PI()/2,0,-1, 1, "ln(EXP(x * y))")</f>
        <v>-1.4490261929385323E-2</v>
      </c>
      <c r="L669" cm="1">
        <f t="array" ref="L669" xml:space="preserve"> mc(1000, -PI()/2,0,-1, 1, "ln(EXP(x * y))")</f>
        <v>-9.4846233400214461E-3</v>
      </c>
      <c r="N669" cm="1">
        <f t="array" ref="N669" xml:space="preserve"> mc(100, -PI()/2,PI()/2, 0, 1, "sin(cos(x + y))")-1.48235</f>
        <v>-2.8675745399553421E-4</v>
      </c>
      <c r="O669" cm="1">
        <f t="array" ref="O669" xml:space="preserve"> mc(500, -PI()/2,PI()/2, 0, 1, "sin(cos(x + y))")-1.48235</f>
        <v>-6.8803102717842846E-2</v>
      </c>
      <c r="P669" cm="1">
        <f t="array" ref="P669" xml:space="preserve"> mc(1000, -PI()/2,PI()/2, 0, 1, "sin(cos(x + y))")-1.48235</f>
        <v>9.2140438085464904E-2</v>
      </c>
    </row>
    <row r="670" spans="1:16" x14ac:dyDescent="0.3">
      <c r="A670">
        <v>640</v>
      </c>
      <c r="B670" cm="1">
        <f t="array" ref="B670" xml:space="preserve"> mc(100, 0, 4, 1, 2, "x^2+y^2")-92/3</f>
        <v>-3.218016230214964</v>
      </c>
      <c r="C670" cm="1">
        <f t="array" ref="C670" xml:space="preserve"> mc(500, 0, 4, 1, 2, "x^2+y^2")-92/3</f>
        <v>0.89068820100826329</v>
      </c>
      <c r="D670" cm="1">
        <f t="array" ref="D670" xml:space="preserve"> mc(1000, 0, 4, 1, 2, "x^2+y^2")-92/3</f>
        <v>-0.63356276860018568</v>
      </c>
      <c r="F670" cm="1">
        <f t="array" ref="F670" xml:space="preserve"> ( mc(100, 3, 4, -1, 1, "EXP(x * sin(y))") ) - 7.39981</f>
        <v>-0.52025277683830318</v>
      </c>
      <c r="G670" cm="1">
        <f t="array" ref="G670" xml:space="preserve"> ( mc(500, 3, 4, -1, 1, "EXP(x * sin(y))") ) - 7.39981</f>
        <v>3.109060356552007E-2</v>
      </c>
      <c r="H670" cm="1">
        <f t="array" ref="H670" xml:space="preserve"> ( mc(1000, 3, 4, -1, 1, "EXP(x * sin(y))") ) - 7.39981</f>
        <v>-6.697369304539702E-2</v>
      </c>
      <c r="J670" cm="1">
        <f t="array" ref="J670" xml:space="preserve"> mc(100, -PI()/2,0,-1, 1, "ln(EXP(x * y))")</f>
        <v>-2.6417863002393436E-2</v>
      </c>
      <c r="K670" cm="1">
        <f t="array" ref="K670" xml:space="preserve"> mc(500, -PI()/2,0,-1, 1, "ln(EXP(x * y))")</f>
        <v>0.12987355738783851</v>
      </c>
      <c r="L670" cm="1">
        <f t="array" ref="L670" xml:space="preserve"> mc(1000, -PI()/2,0,-1, 1, "ln(EXP(x * y))")</f>
        <v>2.247741115387842E-2</v>
      </c>
      <c r="N670" cm="1">
        <f t="array" ref="N670" xml:space="preserve"> mc(100, -PI()/2,PI()/2, 0, 1, "sin(cos(x + y))")-1.48235</f>
        <v>-7.5854951409957794E-2</v>
      </c>
      <c r="O670" cm="1">
        <f t="array" ref="O670" xml:space="preserve"> mc(500, -PI()/2,PI()/2, 0, 1, "sin(cos(x + y))")-1.48235</f>
        <v>3.3733986448549746E-2</v>
      </c>
      <c r="P670" cm="1">
        <f t="array" ref="P670" xml:space="preserve"> mc(1000, -PI()/2,PI()/2, 0, 1, "sin(cos(x + y))")-1.48235</f>
        <v>8.1097224400157542E-2</v>
      </c>
    </row>
    <row r="671" spans="1:16" x14ac:dyDescent="0.3">
      <c r="A671">
        <v>641</v>
      </c>
      <c r="B671" cm="1">
        <f t="array" ref="B671" xml:space="preserve"> mc(100, 0, 4, 1, 2, "x^2+y^2")-92/3</f>
        <v>3.5008460071226004</v>
      </c>
      <c r="C671" cm="1">
        <f t="array" ref="C671" xml:space="preserve"> mc(500, 0, 4, 1, 2, "x^2+y^2")-92/3</f>
        <v>0.37517040228610909</v>
      </c>
      <c r="D671" cm="1">
        <f t="array" ref="D671" xml:space="preserve"> mc(1000, 0, 4, 1, 2, "x^2+y^2")-92/3</f>
        <v>0.88528680190963271</v>
      </c>
      <c r="F671" cm="1">
        <f t="array" ref="F671" xml:space="preserve"> ( mc(100, 3, 4, -1, 1, "EXP(x * sin(y))") ) - 7.39981</f>
        <v>-1.9861981415209859</v>
      </c>
      <c r="G671" cm="1">
        <f t="array" ref="G671" xml:space="preserve"> ( mc(500, 3, 4, -1, 1, "EXP(x * sin(y))") ) - 7.39981</f>
        <v>0.23633544983107502</v>
      </c>
      <c r="H671" cm="1">
        <f t="array" ref="H671" xml:space="preserve"> ( mc(1000, 3, 4, -1, 1, "EXP(x * sin(y))") ) - 7.39981</f>
        <v>-0.56831447159058168</v>
      </c>
      <c r="J671" cm="1">
        <f t="array" ref="J671" xml:space="preserve"> mc(100, -PI()/2,0,-1, 1, "ln(EXP(x * y))")</f>
        <v>7.695427542265014E-2</v>
      </c>
      <c r="K671" cm="1">
        <f t="array" ref="K671" xml:space="preserve"> mc(500, -PI()/2,0,-1, 1, "ln(EXP(x * y))")</f>
        <v>-0.13527135708453444</v>
      </c>
      <c r="L671" cm="1">
        <f t="array" ref="L671" xml:space="preserve"> mc(1000, -PI()/2,0,-1, 1, "ln(EXP(x * y))")</f>
        <v>6.2379071753865759E-3</v>
      </c>
      <c r="N671" cm="1">
        <f t="array" ref="N671" xml:space="preserve"> mc(100, -PI()/2,PI()/2, 0, 1, "sin(cos(x + y))")-1.48235</f>
        <v>-1.4731643907358594E-2</v>
      </c>
      <c r="O671" cm="1">
        <f t="array" ref="O671" xml:space="preserve"> mc(500, -PI()/2,PI()/2, 0, 1, "sin(cos(x + y))")-1.48235</f>
        <v>5.1240177592515534E-2</v>
      </c>
      <c r="P671" cm="1">
        <f t="array" ref="P671" xml:space="preserve"> mc(1000, -PI()/2,PI()/2, 0, 1, "sin(cos(x + y))")-1.48235</f>
        <v>2.2810015324075117E-2</v>
      </c>
    </row>
    <row r="672" spans="1:16" x14ac:dyDescent="0.3">
      <c r="A672">
        <v>642</v>
      </c>
      <c r="B672" cm="1">
        <f t="array" ref="B672" xml:space="preserve"> mc(100, 0, 4, 1, 2, "x^2+y^2")-92/3</f>
        <v>-2.100759037398209</v>
      </c>
      <c r="C672" cm="1">
        <f t="array" ref="C672" xml:space="preserve"> mc(500, 0, 4, 1, 2, "x^2+y^2")-92/3</f>
        <v>1.1315103708831167</v>
      </c>
      <c r="D672" cm="1">
        <f t="array" ref="D672" xml:space="preserve"> mc(1000, 0, 4, 1, 2, "x^2+y^2")-92/3</f>
        <v>-0.42569702564074419</v>
      </c>
      <c r="F672" cm="1">
        <f t="array" ref="F672" xml:space="preserve"> ( mc(100, 3, 4, -1, 1, "EXP(x * sin(y))") ) - 7.39981</f>
        <v>-0.69255596489362148</v>
      </c>
      <c r="G672" cm="1">
        <f t="array" ref="G672" xml:space="preserve"> ( mc(500, 3, 4, -1, 1, "EXP(x * sin(y))") ) - 7.39981</f>
        <v>-0.30360809766174679</v>
      </c>
      <c r="H672" cm="1">
        <f t="array" ref="H672" xml:space="preserve"> ( mc(1000, 3, 4, -1, 1, "EXP(x * sin(y))") ) - 7.39981</f>
        <v>3.1947597720287213E-2</v>
      </c>
      <c r="J672" cm="1">
        <f t="array" ref="J672" xml:space="preserve"> mc(100, -PI()/2,0,-1, 1, "ln(EXP(x * y))")</f>
        <v>2.8118665521816143E-2</v>
      </c>
      <c r="K672" cm="1">
        <f t="array" ref="K672" xml:space="preserve"> mc(500, -PI()/2,0,-1, 1, "ln(EXP(x * y))")</f>
        <v>-7.6563547240186075E-2</v>
      </c>
      <c r="L672" cm="1">
        <f t="array" ref="L672" xml:space="preserve"> mc(1000, -PI()/2,0,-1, 1, "ln(EXP(x * y))")</f>
        <v>-7.532315355623441E-2</v>
      </c>
      <c r="N672" cm="1">
        <f t="array" ref="N672" xml:space="preserve"> mc(100, -PI()/2,PI()/2, 0, 1, "sin(cos(x + y))")-1.48235</f>
        <v>6.5961430726214854E-2</v>
      </c>
      <c r="O672" cm="1">
        <f t="array" ref="O672" xml:space="preserve"> mc(500, -PI()/2,PI()/2, 0, 1, "sin(cos(x + y))")-1.48235</f>
        <v>9.7358190652294452E-2</v>
      </c>
      <c r="P672" cm="1">
        <f t="array" ref="P672" xml:space="preserve"> mc(1000, -PI()/2,PI()/2, 0, 1, "sin(cos(x + y))")-1.48235</f>
        <v>2.2429889306370132E-2</v>
      </c>
    </row>
    <row r="673" spans="1:16" x14ac:dyDescent="0.3">
      <c r="A673">
        <v>643</v>
      </c>
      <c r="B673" cm="1">
        <f t="array" ref="B673" xml:space="preserve"> mc(100, 0, 4, 1, 2, "x^2+y^2")-92/3</f>
        <v>0.68111807429539439</v>
      </c>
      <c r="C673" cm="1">
        <f t="array" ref="C673" xml:space="preserve"> mc(500, 0, 4, 1, 2, "x^2+y^2")-92/3</f>
        <v>0.17703267080242924</v>
      </c>
      <c r="D673" cm="1">
        <f t="array" ref="D673" xml:space="preserve"> mc(1000, 0, 4, 1, 2, "x^2+y^2")-92/3</f>
        <v>-0.23475292064322772</v>
      </c>
      <c r="F673" cm="1">
        <f t="array" ref="F673" xml:space="preserve"> ( mc(100, 3, 4, -1, 1, "EXP(x * sin(y))") ) - 7.39981</f>
        <v>-0.24772148650457027</v>
      </c>
      <c r="G673" cm="1">
        <f t="array" ref="G673" xml:space="preserve"> ( mc(500, 3, 4, -1, 1, "EXP(x * sin(y))") ) - 7.39981</f>
        <v>0.31424619664390807</v>
      </c>
      <c r="H673" cm="1">
        <f t="array" ref="H673" xml:space="preserve"> ( mc(1000, 3, 4, -1, 1, "EXP(x * sin(y))") ) - 7.39981</f>
        <v>-7.9431720328813071E-2</v>
      </c>
      <c r="J673" cm="1">
        <f t="array" ref="J673" xml:space="preserve"> mc(100, -PI()/2,0,-1, 1, "ln(EXP(x * y))")</f>
        <v>-9.417173786254561E-2</v>
      </c>
      <c r="K673" cm="1">
        <f t="array" ref="K673" xml:space="preserve"> mc(500, -PI()/2,0,-1, 1, "ln(EXP(x * y))")</f>
        <v>-8.7585898210789243E-2</v>
      </c>
      <c r="L673" cm="1">
        <f t="array" ref="L673" xml:space="preserve"> mc(1000, -PI()/2,0,-1, 1, "ln(EXP(x * y))")</f>
        <v>-6.1375388399149695E-2</v>
      </c>
      <c r="N673" cm="1">
        <f t="array" ref="N673" xml:space="preserve"> mc(100, -PI()/2,PI()/2, 0, 1, "sin(cos(x + y))")-1.48235</f>
        <v>0.15332718605821327</v>
      </c>
      <c r="O673" cm="1">
        <f t="array" ref="O673" xml:space="preserve"> mc(500, -PI()/2,PI()/2, 0, 1, "sin(cos(x + y))")-1.48235</f>
        <v>-3.7505370950494887E-2</v>
      </c>
      <c r="P673" cm="1">
        <f t="array" ref="P673" xml:space="preserve"> mc(1000, -PI()/2,PI()/2, 0, 1, "sin(cos(x + y))")-1.48235</f>
        <v>4.1983281484935242E-2</v>
      </c>
    </row>
    <row r="674" spans="1:16" x14ac:dyDescent="0.3">
      <c r="A674">
        <v>644</v>
      </c>
      <c r="B674" cm="1">
        <f t="array" ref="B674" xml:space="preserve"> mc(100, 0, 4, 1, 2, "x^2+y^2")-92/3</f>
        <v>1.8074165478493391</v>
      </c>
      <c r="C674" cm="1">
        <f t="array" ref="C674" xml:space="preserve"> mc(500, 0, 4, 1, 2, "x^2+y^2")-92/3</f>
        <v>-1.169382506384693</v>
      </c>
      <c r="D674" cm="1">
        <f t="array" ref="D674" xml:space="preserve"> mc(1000, 0, 4, 1, 2, "x^2+y^2")-92/3</f>
        <v>-0.58043843601416967</v>
      </c>
      <c r="F674" cm="1">
        <f t="array" ref="F674" xml:space="preserve"> ( mc(100, 3, 4, -1, 1, "EXP(x * sin(y))") ) - 7.39981</f>
        <v>0.62873194365046459</v>
      </c>
      <c r="G674" cm="1">
        <f t="array" ref="G674" xml:space="preserve"> ( mc(500, 3, 4, -1, 1, "EXP(x * sin(y))") ) - 7.39981</f>
        <v>-0.39806993320250861</v>
      </c>
      <c r="H674" cm="1">
        <f t="array" ref="H674" xml:space="preserve"> ( mc(1000, 3, 4, -1, 1, "EXP(x * sin(y))") ) - 7.39981</f>
        <v>-0.34018056214284442</v>
      </c>
      <c r="J674" cm="1">
        <f t="array" ref="J674" xml:space="preserve"> mc(100, -PI()/2,0,-1, 1, "ln(EXP(x * y))")</f>
        <v>0.15724996850649778</v>
      </c>
      <c r="K674" cm="1">
        <f t="array" ref="K674" xml:space="preserve"> mc(500, -PI()/2,0,-1, 1, "ln(EXP(x * y))")</f>
        <v>-6.3409451034692796E-2</v>
      </c>
      <c r="L674" cm="1">
        <f t="array" ref="L674" xml:space="preserve"> mc(1000, -PI()/2,0,-1, 1, "ln(EXP(x * y))")</f>
        <v>-9.9078607189634731E-3</v>
      </c>
      <c r="N674" cm="1">
        <f t="array" ref="N674" xml:space="preserve"> mc(100, -PI()/2,PI()/2, 0, 1, "sin(cos(x + y))")-1.48235</f>
        <v>0.2225804119235768</v>
      </c>
      <c r="O674" cm="1">
        <f t="array" ref="O674" xml:space="preserve"> mc(500, -PI()/2,PI()/2, 0, 1, "sin(cos(x + y))")-1.48235</f>
        <v>-1.7720719321430822E-2</v>
      </c>
      <c r="P674" cm="1">
        <f t="array" ref="P674" xml:space="preserve"> mc(1000, -PI()/2,PI()/2, 0, 1, "sin(cos(x + y))")-1.48235</f>
        <v>-2.7772190366235128E-2</v>
      </c>
    </row>
    <row r="675" spans="1:16" x14ac:dyDescent="0.3">
      <c r="A675">
        <v>645</v>
      </c>
      <c r="B675" cm="1">
        <f t="array" ref="B675" xml:space="preserve"> mc(100, 0, 4, 1, 2, "x^2+y^2")-92/3</f>
        <v>-2.1656969777309882</v>
      </c>
      <c r="C675" cm="1">
        <f t="array" ref="C675" xml:space="preserve"> mc(500, 0, 4, 1, 2, "x^2+y^2")-92/3</f>
        <v>-0.98708881589278619</v>
      </c>
      <c r="D675" cm="1">
        <f t="array" ref="D675" xml:space="preserve"> mc(1000, 0, 4, 1, 2, "x^2+y^2")-92/3</f>
        <v>0.54454114741399096</v>
      </c>
      <c r="F675" cm="1">
        <f t="array" ref="F675" xml:space="preserve"> ( mc(100, 3, 4, -1, 1, "EXP(x * sin(y))") ) - 7.39981</f>
        <v>0.12402136712567646</v>
      </c>
      <c r="G675" cm="1">
        <f t="array" ref="G675" xml:space="preserve"> ( mc(500, 3, 4, -1, 1, "EXP(x * sin(y))") ) - 7.39981</f>
        <v>-1.1438819583568591</v>
      </c>
      <c r="H675" cm="1">
        <f t="array" ref="H675" xml:space="preserve"> ( mc(1000, 3, 4, -1, 1, "EXP(x * sin(y))") ) - 7.39981</f>
        <v>0.31978489030232904</v>
      </c>
      <c r="J675" cm="1">
        <f t="array" ref="J675" xml:space="preserve"> mc(100, -PI()/2,0,-1, 1, "ln(EXP(x * y))")</f>
        <v>5.176398264294349E-2</v>
      </c>
      <c r="K675" cm="1">
        <f t="array" ref="K675" xml:space="preserve"> mc(500, -PI()/2,0,-1, 1, "ln(EXP(x * y))")</f>
        <v>-2.6720657589625475E-2</v>
      </c>
      <c r="L675" cm="1">
        <f t="array" ref="L675" xml:space="preserve"> mc(1000, -PI()/2,0,-1, 1, "ln(EXP(x * y))")</f>
        <v>9.3135160190538878E-3</v>
      </c>
      <c r="N675" cm="1">
        <f t="array" ref="N675" xml:space="preserve"> mc(100, -PI()/2,PI()/2, 0, 1, "sin(cos(x + y))")-1.48235</f>
        <v>0.13427547838926457</v>
      </c>
      <c r="O675" cm="1">
        <f t="array" ref="O675" xml:space="preserve"> mc(500, -PI()/2,PI()/2, 0, 1, "sin(cos(x + y))")-1.48235</f>
        <v>-1.7292160607540019E-2</v>
      </c>
      <c r="P675" cm="1">
        <f t="array" ref="P675" xml:space="preserve"> mc(1000, -PI()/2,PI()/2, 0, 1, "sin(cos(x + y))")-1.48235</f>
        <v>-2.3406219140390316E-2</v>
      </c>
    </row>
    <row r="676" spans="1:16" x14ac:dyDescent="0.3">
      <c r="A676">
        <v>646</v>
      </c>
      <c r="B676" cm="1">
        <f t="array" ref="B676" xml:space="preserve"> mc(100, 0, 4, 1, 2, "x^2+y^2")-92/3</f>
        <v>-2.4101102931231004</v>
      </c>
      <c r="C676" cm="1">
        <f t="array" ref="C676" xml:space="preserve"> mc(500, 0, 4, 1, 2, "x^2+y^2")-92/3</f>
        <v>-0.35622387106770859</v>
      </c>
      <c r="D676" cm="1">
        <f t="array" ref="D676" xml:space="preserve"> mc(1000, 0, 4, 1, 2, "x^2+y^2")-92/3</f>
        <v>0.49037783733644957</v>
      </c>
      <c r="F676" cm="1">
        <f t="array" ref="F676" xml:space="preserve"> ( mc(100, 3, 4, -1, 1, "EXP(x * sin(y))") ) - 7.39981</f>
        <v>1.911745779615039</v>
      </c>
      <c r="G676" cm="1">
        <f t="array" ref="G676" xml:space="preserve"> ( mc(500, 3, 4, -1, 1, "EXP(x * sin(y))") ) - 7.39981</f>
        <v>1.3261938864621161</v>
      </c>
      <c r="H676" cm="1">
        <f t="array" ref="H676" xml:space="preserve"> ( mc(1000, 3, 4, -1, 1, "EXP(x * sin(y))") ) - 7.39981</f>
        <v>3.7708942808680312E-2</v>
      </c>
      <c r="J676" cm="1">
        <f t="array" ref="J676" xml:space="preserve"> mc(100, -PI()/2,0,-1, 1, "ln(EXP(x * y))")</f>
        <v>0.21435828636951695</v>
      </c>
      <c r="K676" cm="1">
        <f t="array" ref="K676" xml:space="preserve"> mc(500, -PI()/2,0,-1, 1, "ln(EXP(x * y))")</f>
        <v>-0.14122332617486247</v>
      </c>
      <c r="L676" cm="1">
        <f t="array" ref="L676" xml:space="preserve"> mc(1000, -PI()/2,0,-1, 1, "ln(EXP(x * y))")</f>
        <v>-3.7516014057901857E-2</v>
      </c>
      <c r="N676" cm="1">
        <f t="array" ref="N676" xml:space="preserve"> mc(100, -PI()/2,PI()/2, 0, 1, "sin(cos(x + y))")-1.48235</f>
        <v>3.405800648614643E-2</v>
      </c>
      <c r="O676" cm="1">
        <f t="array" ref="O676" xml:space="preserve"> mc(500, -PI()/2,PI()/2, 0, 1, "sin(cos(x + y))")-1.48235</f>
        <v>5.7681170227031231E-2</v>
      </c>
      <c r="P676" cm="1">
        <f t="array" ref="P676" xml:space="preserve"> mc(1000, -PI()/2,PI()/2, 0, 1, "sin(cos(x + y))")-1.48235</f>
        <v>4.0917535612000844E-2</v>
      </c>
    </row>
    <row r="677" spans="1:16" x14ac:dyDescent="0.3">
      <c r="A677">
        <v>647</v>
      </c>
      <c r="B677" cm="1">
        <f t="array" ref="B677" xml:space="preserve"> mc(100, 0, 4, 1, 2, "x^2+y^2")-92/3</f>
        <v>-3.1148195667918017</v>
      </c>
      <c r="C677" cm="1">
        <f t="array" ref="C677" xml:space="preserve"> mc(500, 0, 4, 1, 2, "x^2+y^2")-92/3</f>
        <v>-0.15855572672091967</v>
      </c>
      <c r="D677" cm="1">
        <f t="array" ref="D677" xml:space="preserve"> mc(1000, 0, 4, 1, 2, "x^2+y^2")-92/3</f>
        <v>0.5898899130306603</v>
      </c>
      <c r="F677" cm="1">
        <f t="array" ref="F677" xml:space="preserve"> ( mc(100, 3, 4, -1, 1, "EXP(x * sin(y))") ) - 7.39981</f>
        <v>-1.2950605383960561</v>
      </c>
      <c r="G677" cm="1">
        <f t="array" ref="G677" xml:space="preserve"> ( mc(500, 3, 4, -1, 1, "EXP(x * sin(y))") ) - 7.39981</f>
        <v>-0.27595985783797605</v>
      </c>
      <c r="H677" cm="1">
        <f t="array" ref="H677" xml:space="preserve"> ( mc(1000, 3, 4, -1, 1, "EXP(x * sin(y))") ) - 7.39981</f>
        <v>0.17206377537015527</v>
      </c>
      <c r="J677" cm="1">
        <f t="array" ref="J677" xml:space="preserve"> mc(100, -PI()/2,0,-1, 1, "ln(EXP(x * y))")</f>
        <v>6.7334470432756643E-2</v>
      </c>
      <c r="K677" cm="1">
        <f t="array" ref="K677" xml:space="preserve"> mc(500, -PI()/2,0,-1, 1, "ln(EXP(x * y))")</f>
        <v>1.9194768281458219E-2</v>
      </c>
      <c r="L677" cm="1">
        <f t="array" ref="L677" xml:space="preserve"> mc(1000, -PI()/2,0,-1, 1, "ln(EXP(x * y))")</f>
        <v>-2.3583484408114589E-2</v>
      </c>
      <c r="N677" cm="1">
        <f t="array" ref="N677" xml:space="preserve"> mc(100, -PI()/2,PI()/2, 0, 1, "sin(cos(x + y))")-1.48235</f>
        <v>0.11955256651035495</v>
      </c>
      <c r="O677" cm="1">
        <f t="array" ref="O677" xml:space="preserve"> mc(500, -PI()/2,PI()/2, 0, 1, "sin(cos(x + y))")-1.48235</f>
        <v>2.1504307947717294E-3</v>
      </c>
      <c r="P677" cm="1">
        <f t="array" ref="P677" xml:space="preserve"> mc(1000, -PI()/2,PI()/2, 0, 1, "sin(cos(x + y))")-1.48235</f>
        <v>1.895807145894346E-2</v>
      </c>
    </row>
    <row r="678" spans="1:16" x14ac:dyDescent="0.3">
      <c r="A678">
        <v>648</v>
      </c>
      <c r="B678" cm="1">
        <f t="array" ref="B678" xml:space="preserve"> mc(100, 0, 4, 1, 2, "x^2+y^2")-92/3</f>
        <v>2.6357943970792483</v>
      </c>
      <c r="C678" cm="1">
        <f t="array" ref="C678" xml:space="preserve"> mc(500, 0, 4, 1, 2, "x^2+y^2")-92/3</f>
        <v>-0.62438135120308047</v>
      </c>
      <c r="D678" cm="1">
        <f t="array" ref="D678" xml:space="preserve"> mc(1000, 0, 4, 1, 2, "x^2+y^2")-92/3</f>
        <v>0.19588630685149511</v>
      </c>
      <c r="F678" cm="1">
        <f t="array" ref="F678" xml:space="preserve"> ( mc(100, 3, 4, -1, 1, "EXP(x * sin(y))") ) - 7.39981</f>
        <v>-1.6652308759276373</v>
      </c>
      <c r="G678" cm="1">
        <f t="array" ref="G678" xml:space="preserve"> ( mc(500, 3, 4, -1, 1, "EXP(x * sin(y))") ) - 7.39981</f>
        <v>-0.13364687526592345</v>
      </c>
      <c r="H678" cm="1">
        <f t="array" ref="H678" xml:space="preserve"> ( mc(1000, 3, 4, -1, 1, "EXP(x * sin(y))") ) - 7.39981</f>
        <v>-0.21258437095015381</v>
      </c>
      <c r="J678" cm="1">
        <f t="array" ref="J678" xml:space="preserve"> mc(100, -PI()/2,0,-1, 1, "ln(EXP(x * y))")</f>
        <v>-0.1477608238640099</v>
      </c>
      <c r="K678" cm="1">
        <f t="array" ref="K678" xml:space="preserve"> mc(500, -PI()/2,0,-1, 1, "ln(EXP(x * y))")</f>
        <v>-1.0642758396081527E-2</v>
      </c>
      <c r="L678" cm="1">
        <f t="array" ref="L678" xml:space="preserve"> mc(1000, -PI()/2,0,-1, 1, "ln(EXP(x * y))")</f>
        <v>-9.2952798071766568E-2</v>
      </c>
      <c r="N678" cm="1">
        <f t="array" ref="N678" xml:space="preserve"> mc(100, -PI()/2,PI()/2, 0, 1, "sin(cos(x + y))")-1.48235</f>
        <v>0.13447972984687118</v>
      </c>
      <c r="O678" cm="1">
        <f t="array" ref="O678" xml:space="preserve"> mc(500, -PI()/2,PI()/2, 0, 1, "sin(cos(x + y))")-1.48235</f>
        <v>6.1864655523792722E-2</v>
      </c>
      <c r="P678" cm="1">
        <f t="array" ref="P678" xml:space="preserve"> mc(1000, -PI()/2,PI()/2, 0, 1, "sin(cos(x + y))")-1.48235</f>
        <v>-7.1197099098441186E-4</v>
      </c>
    </row>
    <row r="679" spans="1:16" x14ac:dyDescent="0.3">
      <c r="A679">
        <v>649</v>
      </c>
      <c r="B679" cm="1">
        <f t="array" ref="B679" xml:space="preserve"> mc(100, 0, 4, 1, 2, "x^2+y^2")-92/3</f>
        <v>-7.1141205189810819E-3</v>
      </c>
      <c r="C679" cm="1">
        <f t="array" ref="C679" xml:space="preserve"> mc(500, 0, 4, 1, 2, "x^2+y^2")-92/3</f>
        <v>0.59992400294326131</v>
      </c>
      <c r="D679" cm="1">
        <f t="array" ref="D679" xml:space="preserve"> mc(1000, 0, 4, 1, 2, "x^2+y^2")-92/3</f>
        <v>0.6792065621870087</v>
      </c>
      <c r="F679" cm="1">
        <f t="array" ref="F679" xml:space="preserve"> ( mc(100, 3, 4, -1, 1, "EXP(x * sin(y))") ) - 7.39981</f>
        <v>6.8512735604013386E-2</v>
      </c>
      <c r="G679" cm="1">
        <f t="array" ref="G679" xml:space="preserve"> ( mc(500, 3, 4, -1, 1, "EXP(x * sin(y))") ) - 7.39981</f>
        <v>-0.14665383146234312</v>
      </c>
      <c r="H679" cm="1">
        <f t="array" ref="H679" xml:space="preserve"> ( mc(1000, 3, 4, -1, 1, "EXP(x * sin(y))") ) - 7.39981</f>
        <v>0.35624131639813417</v>
      </c>
      <c r="J679" cm="1">
        <f t="array" ref="J679" xml:space="preserve"> mc(100, -PI()/2,0,-1, 1, "ln(EXP(x * y))")</f>
        <v>-0.14778914179930391</v>
      </c>
      <c r="K679" cm="1">
        <f t="array" ref="K679" xml:space="preserve"> mc(500, -PI()/2,0,-1, 1, "ln(EXP(x * y))")</f>
        <v>-5.692476909076679E-2</v>
      </c>
      <c r="L679" cm="1">
        <f t="array" ref="L679" xml:space="preserve"> mc(1000, -PI()/2,0,-1, 1, "ln(EXP(x * y))")</f>
        <v>-4.3265607547960182E-2</v>
      </c>
      <c r="N679" cm="1">
        <f t="array" ref="N679" xml:space="preserve"> mc(100, -PI()/2,PI()/2, 0, 1, "sin(cos(x + y))")-1.48235</f>
        <v>-0.28060124906686235</v>
      </c>
      <c r="O679" cm="1">
        <f t="array" ref="O679" xml:space="preserve"> mc(500, -PI()/2,PI()/2, 0, 1, "sin(cos(x + y))")-1.48235</f>
        <v>-4.5439344255684411E-3</v>
      </c>
      <c r="P679" cm="1">
        <f t="array" ref="P679" xml:space="preserve"> mc(1000, -PI()/2,PI()/2, 0, 1, "sin(cos(x + y))")-1.48235</f>
        <v>1.3088948326633432E-2</v>
      </c>
    </row>
    <row r="680" spans="1:16" x14ac:dyDescent="0.3">
      <c r="A680">
        <v>650</v>
      </c>
      <c r="B680" cm="1">
        <f t="array" ref="B680" xml:space="preserve"> mc(100, 0, 4, 1, 2, "x^2+y^2")-92/3</f>
        <v>0.38845745498231921</v>
      </c>
      <c r="C680" cm="1">
        <f t="array" ref="C680" xml:space="preserve"> mc(500, 0, 4, 1, 2, "x^2+y^2")-92/3</f>
        <v>-0.87232089200090002</v>
      </c>
      <c r="D680" cm="1">
        <f t="array" ref="D680" xml:space="preserve"> mc(1000, 0, 4, 1, 2, "x^2+y^2")-92/3</f>
        <v>-0.32293529229603379</v>
      </c>
      <c r="F680" cm="1">
        <f t="array" ref="F680" xml:space="preserve"> ( mc(100, 3, 4, -1, 1, "EXP(x * sin(y))") ) - 7.39981</f>
        <v>0.14704712230221872</v>
      </c>
      <c r="G680" cm="1">
        <f t="array" ref="G680" xml:space="preserve"> ( mc(500, 3, 4, -1, 1, "EXP(x * sin(y))") ) - 7.39981</f>
        <v>1.6611858760101406E-2</v>
      </c>
      <c r="H680" cm="1">
        <f t="array" ref="H680" xml:space="preserve"> ( mc(1000, 3, 4, -1, 1, "EXP(x * sin(y))") ) - 7.39981</f>
        <v>0.25834895610950692</v>
      </c>
      <c r="J680" cm="1">
        <f t="array" ref="J680" xml:space="preserve"> mc(100, -PI()/2,0,-1, 1, "ln(EXP(x * y))")</f>
        <v>0.22091567285162583</v>
      </c>
      <c r="K680" cm="1">
        <f t="array" ref="K680" xml:space="preserve"> mc(500, -PI()/2,0,-1, 1, "ln(EXP(x * y))")</f>
        <v>-4.4241668476642557E-2</v>
      </c>
      <c r="L680" cm="1">
        <f t="array" ref="L680" xml:space="preserve"> mc(1000, -PI()/2,0,-1, 1, "ln(EXP(x * y))")</f>
        <v>-2.5241102626827809E-3</v>
      </c>
      <c r="N680" cm="1">
        <f t="array" ref="N680" xml:space="preserve"> mc(100, -PI()/2,PI()/2, 0, 1, "sin(cos(x + y))")-1.48235</f>
        <v>5.7968058914556586E-2</v>
      </c>
      <c r="O680" cm="1">
        <f t="array" ref="O680" xml:space="preserve"> mc(500, -PI()/2,PI()/2, 0, 1, "sin(cos(x + y))")-1.48235</f>
        <v>-0.12337711308099641</v>
      </c>
      <c r="P680" cm="1">
        <f t="array" ref="P680" xml:space="preserve"> mc(1000, -PI()/2,PI()/2, 0, 1, "sin(cos(x + y))")-1.48235</f>
        <v>0.11022454959475803</v>
      </c>
    </row>
    <row r="681" spans="1:16" x14ac:dyDescent="0.3">
      <c r="A681">
        <v>651</v>
      </c>
      <c r="B681" cm="1">
        <f t="array" ref="B681" xml:space="preserve"> mc(100, 0, 4, 1, 2, "x^2+y^2")-92/3</f>
        <v>0.61363756063505548</v>
      </c>
      <c r="C681" cm="1">
        <f t="array" ref="C681" xml:space="preserve"> mc(500, 0, 4, 1, 2, "x^2+y^2")-92/3</f>
        <v>0.16944642495272788</v>
      </c>
      <c r="D681" cm="1">
        <f t="array" ref="D681" xml:space="preserve"> mc(1000, 0, 4, 1, 2, "x^2+y^2")-92/3</f>
        <v>0.1045477521897169</v>
      </c>
      <c r="F681" cm="1">
        <f t="array" ref="F681" xml:space="preserve"> ( mc(100, 3, 4, -1, 1, "EXP(x * sin(y))") ) - 7.39981</f>
        <v>-6.0019540593663656E-2</v>
      </c>
      <c r="G681" cm="1">
        <f t="array" ref="G681" xml:space="preserve"> ( mc(500, 3, 4, -1, 1, "EXP(x * sin(y))") ) - 7.39981</f>
        <v>-0.17875847289494828</v>
      </c>
      <c r="H681" cm="1">
        <f t="array" ref="H681" xml:space="preserve"> ( mc(1000, 3, 4, -1, 1, "EXP(x * sin(y))") ) - 7.39981</f>
        <v>0.15509927624993924</v>
      </c>
      <c r="J681" cm="1">
        <f t="array" ref="J681" xml:space="preserve"> mc(100, -PI()/2,0,-1, 1, "ln(EXP(x * y))")</f>
        <v>0.12149701582095078</v>
      </c>
      <c r="K681" cm="1">
        <f t="array" ref="K681" xml:space="preserve"> mc(500, -PI()/2,0,-1, 1, "ln(EXP(x * y))")</f>
        <v>-7.1487678752816156E-2</v>
      </c>
      <c r="L681" cm="1">
        <f t="array" ref="L681" xml:space="preserve"> mc(1000, -PI()/2,0,-1, 1, "ln(EXP(x * y))")</f>
        <v>5.8694567938629288E-2</v>
      </c>
      <c r="N681" cm="1">
        <f t="array" ref="N681" xml:space="preserve"> mc(100, -PI()/2,PI()/2, 0, 1, "sin(cos(x + y))")-1.48235</f>
        <v>-5.4013417217882553E-2</v>
      </c>
      <c r="O681" cm="1">
        <f t="array" ref="O681" xml:space="preserve"> mc(500, -PI()/2,PI()/2, 0, 1, "sin(cos(x + y))")-1.48235</f>
        <v>-2.2818577299529075E-2</v>
      </c>
      <c r="P681" cm="1">
        <f t="array" ref="P681" xml:space="preserve"> mc(1000, -PI()/2,PI()/2, 0, 1, "sin(cos(x + y))")-1.48235</f>
        <v>-2.7379422263974051E-2</v>
      </c>
    </row>
    <row r="682" spans="1:16" x14ac:dyDescent="0.3">
      <c r="A682">
        <v>652</v>
      </c>
      <c r="B682" cm="1">
        <f t="array" ref="B682" xml:space="preserve"> mc(100, 0, 4, 1, 2, "x^2+y^2")-92/3</f>
        <v>0.58712635828980808</v>
      </c>
      <c r="C682" cm="1">
        <f t="array" ref="C682" xml:space="preserve"> mc(500, 0, 4, 1, 2, "x^2+y^2")-92/3</f>
        <v>0.65232250400228864</v>
      </c>
      <c r="D682" cm="1">
        <f t="array" ref="D682" xml:space="preserve"> mc(1000, 0, 4, 1, 2, "x^2+y^2")-92/3</f>
        <v>4.0514606487210614E-2</v>
      </c>
      <c r="F682" cm="1">
        <f t="array" ref="F682" xml:space="preserve"> ( mc(100, 3, 4, -1, 1, "EXP(x * sin(y))") ) - 7.39981</f>
        <v>-0.16186873250661193</v>
      </c>
      <c r="G682" cm="1">
        <f t="array" ref="G682" xml:space="preserve"> ( mc(500, 3, 4, -1, 1, "EXP(x * sin(y))") ) - 7.39981</f>
        <v>9.3943283422690982E-2</v>
      </c>
      <c r="H682" cm="1">
        <f t="array" ref="H682" xml:space="preserve"> ( mc(1000, 3, 4, -1, 1, "EXP(x * sin(y))") ) - 7.39981</f>
        <v>-4.8983692006531854E-2</v>
      </c>
      <c r="J682" cm="1">
        <f t="array" ref="J682" xml:space="preserve"> mc(100, -PI()/2,0,-1, 1, "ln(EXP(x * y))")</f>
        <v>0.27704427866696879</v>
      </c>
      <c r="K682" cm="1">
        <f t="array" ref="K682" xml:space="preserve"> mc(500, -PI()/2,0,-1, 1, "ln(EXP(x * y))")</f>
        <v>1.9562329088187287E-2</v>
      </c>
      <c r="L682" cm="1">
        <f t="array" ref="L682" xml:space="preserve"> mc(1000, -PI()/2,0,-1, 1, "ln(EXP(x * y))")</f>
        <v>-7.062208120931858E-2</v>
      </c>
      <c r="N682" cm="1">
        <f t="array" ref="N682" xml:space="preserve"> mc(100, -PI()/2,PI()/2, 0, 1, "sin(cos(x + y))")-1.48235</f>
        <v>-7.3458762443658676E-2</v>
      </c>
      <c r="O682" cm="1">
        <f t="array" ref="O682" xml:space="preserve"> mc(500, -PI()/2,PI()/2, 0, 1, "sin(cos(x + y))")-1.48235</f>
        <v>2.5213773480138979E-2</v>
      </c>
      <c r="P682" cm="1">
        <f t="array" ref="P682" xml:space="preserve"> mc(1000, -PI()/2,PI()/2, 0, 1, "sin(cos(x + y))")-1.48235</f>
        <v>-4.5477866192137562E-2</v>
      </c>
    </row>
    <row r="683" spans="1:16" x14ac:dyDescent="0.3">
      <c r="A683">
        <v>653</v>
      </c>
      <c r="B683" cm="1">
        <f t="array" ref="B683" xml:space="preserve"> mc(100, 0, 4, 1, 2, "x^2+y^2")-92/3</f>
        <v>-0.22277868232386666</v>
      </c>
      <c r="C683" cm="1">
        <f t="array" ref="C683" xml:space="preserve"> mc(500, 0, 4, 1, 2, "x^2+y^2")-92/3</f>
        <v>-0.18626810701026741</v>
      </c>
      <c r="D683" cm="1">
        <f t="array" ref="D683" xml:space="preserve"> mc(1000, 0, 4, 1, 2, "x^2+y^2")-92/3</f>
        <v>8.7001974803563087E-2</v>
      </c>
      <c r="F683" cm="1">
        <f t="array" ref="F683" xml:space="preserve"> ( mc(100, 3, 4, -1, 1, "EXP(x * sin(y))") ) - 7.39981</f>
        <v>-1.7792107340670764</v>
      </c>
      <c r="G683" cm="1">
        <f t="array" ref="G683" xml:space="preserve"> ( mc(500, 3, 4, -1, 1, "EXP(x * sin(y))") ) - 7.39981</f>
        <v>-0.29176195449953113</v>
      </c>
      <c r="H683" cm="1">
        <f t="array" ref="H683" xml:space="preserve"> ( mc(1000, 3, 4, -1, 1, "EXP(x * sin(y))") ) - 7.39981</f>
        <v>-0.12580569924944296</v>
      </c>
      <c r="J683" cm="1">
        <f t="array" ref="J683" xml:space="preserve"> mc(100, -PI()/2,0,-1, 1, "ln(EXP(x * y))")</f>
        <v>4.2890139502132267E-2</v>
      </c>
      <c r="K683" cm="1">
        <f t="array" ref="K683" xml:space="preserve"> mc(500, -PI()/2,0,-1, 1, "ln(EXP(x * y))")</f>
        <v>-6.0963962707238493E-2</v>
      </c>
      <c r="L683" cm="1">
        <f t="array" ref="L683" xml:space="preserve"> mc(1000, -PI()/2,0,-1, 1, "ln(EXP(x * y))")</f>
        <v>5.3482943716191757E-2</v>
      </c>
      <c r="N683" cm="1">
        <f t="array" ref="N683" xml:space="preserve"> mc(100, -PI()/2,PI()/2, 0, 1, "sin(cos(x + y))")-1.48235</f>
        <v>0.11152626421321554</v>
      </c>
      <c r="O683" cm="1">
        <f t="array" ref="O683" xml:space="preserve"> mc(500, -PI()/2,PI()/2, 0, 1, "sin(cos(x + y))")-1.48235</f>
        <v>4.0129957914516234E-2</v>
      </c>
      <c r="P683" cm="1">
        <f t="array" ref="P683" xml:space="preserve"> mc(1000, -PI()/2,PI()/2, 0, 1, "sin(cos(x + y))")-1.48235</f>
        <v>-2.4816641138041273E-2</v>
      </c>
    </row>
    <row r="684" spans="1:16" x14ac:dyDescent="0.3">
      <c r="A684">
        <v>654</v>
      </c>
      <c r="B684" cm="1">
        <f t="array" ref="B684" xml:space="preserve"> mc(100, 0, 4, 1, 2, "x^2+y^2")-92/3</f>
        <v>2.7017839932745069</v>
      </c>
      <c r="C684" cm="1">
        <f t="array" ref="C684" xml:space="preserve"> mc(500, 0, 4, 1, 2, "x^2+y^2")-92/3</f>
        <v>1.41839425102307</v>
      </c>
      <c r="D684" cm="1">
        <f t="array" ref="D684" xml:space="preserve"> mc(1000, 0, 4, 1, 2, "x^2+y^2")-92/3</f>
        <v>0.3946418450061806</v>
      </c>
      <c r="F684" cm="1">
        <f t="array" ref="F684" xml:space="preserve"> ( mc(100, 3, 4, -1, 1, "EXP(x * sin(y))") ) - 7.39981</f>
        <v>9.9244303337187034E-3</v>
      </c>
      <c r="G684" cm="1">
        <f t="array" ref="G684" xml:space="preserve"> ( mc(500, 3, 4, -1, 1, "EXP(x * sin(y))") ) - 7.39981</f>
        <v>-1.2433886506036442</v>
      </c>
      <c r="H684" cm="1">
        <f t="array" ref="H684" xml:space="preserve"> ( mc(1000, 3, 4, -1, 1, "EXP(x * sin(y))") ) - 7.39981</f>
        <v>0.24990111346715782</v>
      </c>
      <c r="J684" cm="1">
        <f t="array" ref="J684" xml:space="preserve"> mc(100, -PI()/2,0,-1, 1, "ln(EXP(x * y))")</f>
        <v>0.11541064297794688</v>
      </c>
      <c r="K684" cm="1">
        <f t="array" ref="K684" xml:space="preserve"> mc(500, -PI()/2,0,-1, 1, "ln(EXP(x * y))")</f>
        <v>0.10094049835300124</v>
      </c>
      <c r="L684" cm="1">
        <f t="array" ref="L684" xml:space="preserve"> mc(1000, -PI()/2,0,-1, 1, "ln(EXP(x * y))")</f>
        <v>-2.4125082953367624E-2</v>
      </c>
      <c r="N684" cm="1">
        <f t="array" ref="N684" xml:space="preserve"> mc(100, -PI()/2,PI()/2, 0, 1, "sin(cos(x + y))")-1.48235</f>
        <v>0.11566317760863543</v>
      </c>
      <c r="O684" cm="1">
        <f t="array" ref="O684" xml:space="preserve"> mc(500, -PI()/2,PI()/2, 0, 1, "sin(cos(x + y))")-1.48235</f>
        <v>-1.1385758525075396E-2</v>
      </c>
      <c r="P684" cm="1">
        <f t="array" ref="P684" xml:space="preserve"> mc(1000, -PI()/2,PI()/2, 0, 1, "sin(cos(x + y))")-1.48235</f>
        <v>-8.7199831675195405E-3</v>
      </c>
    </row>
    <row r="685" spans="1:16" x14ac:dyDescent="0.3">
      <c r="A685">
        <v>655</v>
      </c>
      <c r="B685" cm="1">
        <f t="array" ref="B685" xml:space="preserve"> mc(100, 0, 4, 1, 2, "x^2+y^2")-92/3</f>
        <v>-0.66995112318031858</v>
      </c>
      <c r="C685" cm="1">
        <f t="array" ref="C685" xml:space="preserve"> mc(500, 0, 4, 1, 2, "x^2+y^2")-92/3</f>
        <v>-2.3546180740382674</v>
      </c>
      <c r="D685" cm="1">
        <f t="array" ref="D685" xml:space="preserve"> mc(1000, 0, 4, 1, 2, "x^2+y^2")-92/3</f>
        <v>0.1087194283003825</v>
      </c>
      <c r="F685" cm="1">
        <f t="array" ref="F685" xml:space="preserve"> ( mc(100, 3, 4, -1, 1, "EXP(x * sin(y))") ) - 7.39981</f>
        <v>0.85545091825854769</v>
      </c>
      <c r="G685" cm="1">
        <f t="array" ref="G685" xml:space="preserve"> ( mc(500, 3, 4, -1, 1, "EXP(x * sin(y))") ) - 7.39981</f>
        <v>0.20063648758326291</v>
      </c>
      <c r="H685" cm="1">
        <f t="array" ref="H685" xml:space="preserve"> ( mc(1000, 3, 4, -1, 1, "EXP(x * sin(y))") ) - 7.39981</f>
        <v>0.16194496230930167</v>
      </c>
      <c r="J685" cm="1">
        <f t="array" ref="J685" xml:space="preserve"> mc(100, -PI()/2,0,-1, 1, "ln(EXP(x * y))")</f>
        <v>-1.2481139293817893E-3</v>
      </c>
      <c r="K685" cm="1">
        <f t="array" ref="K685" xml:space="preserve"> mc(500, -PI()/2,0,-1, 1, "ln(EXP(x * y))")</f>
        <v>-7.0826600765040937E-2</v>
      </c>
      <c r="L685" cm="1">
        <f t="array" ref="L685" xml:space="preserve"> mc(1000, -PI()/2,0,-1, 1, "ln(EXP(x * y))")</f>
        <v>-2.407002047920619E-2</v>
      </c>
      <c r="N685" cm="1">
        <f t="array" ref="N685" xml:space="preserve"> mc(100, -PI()/2,PI()/2, 0, 1, "sin(cos(x + y))")-1.48235</f>
        <v>0.16380890042376639</v>
      </c>
      <c r="O685" cm="1">
        <f t="array" ref="O685" xml:space="preserve"> mc(500, -PI()/2,PI()/2, 0, 1, "sin(cos(x + y))")-1.48235</f>
        <v>2.8820841672188013E-3</v>
      </c>
      <c r="P685" cm="1">
        <f t="array" ref="P685" xml:space="preserve"> mc(1000, -PI()/2,PI()/2, 0, 1, "sin(cos(x + y))")-1.48235</f>
        <v>1.7361946625693347E-2</v>
      </c>
    </row>
    <row r="686" spans="1:16" x14ac:dyDescent="0.3">
      <c r="A686">
        <v>656</v>
      </c>
      <c r="B686" cm="1">
        <f t="array" ref="B686" xml:space="preserve"> mc(100, 0, 4, 1, 2, "x^2+y^2")-92/3</f>
        <v>1.4635167211119686</v>
      </c>
      <c r="C686" cm="1">
        <f t="array" ref="C686" xml:space="preserve"> mc(500, 0, 4, 1, 2, "x^2+y^2")-92/3</f>
        <v>0.11623782287649576</v>
      </c>
      <c r="D686" cm="1">
        <f t="array" ref="D686" xml:space="preserve"> mc(1000, 0, 4, 1, 2, "x^2+y^2")-92/3</f>
        <v>0.34249471683791555</v>
      </c>
      <c r="F686" cm="1">
        <f t="array" ref="F686" xml:space="preserve"> ( mc(100, 3, 4, -1, 1, "EXP(x * sin(y))") ) - 7.39981</f>
        <v>2.7022447165724728</v>
      </c>
      <c r="G686" cm="1">
        <f t="array" ref="G686" xml:space="preserve"> ( mc(500, 3, 4, -1, 1, "EXP(x * sin(y))") ) - 7.39981</f>
        <v>-0.5981590262608103</v>
      </c>
      <c r="H686" cm="1">
        <f t="array" ref="H686" xml:space="preserve"> ( mc(1000, 3, 4, -1, 1, "EXP(x * sin(y))") ) - 7.39981</f>
        <v>9.7708361206463756E-2</v>
      </c>
      <c r="J686" cm="1">
        <f t="array" ref="J686" xml:space="preserve"> mc(100, -PI()/2,0,-1, 1, "ln(EXP(x * y))")</f>
        <v>-1.941020619708821E-2</v>
      </c>
      <c r="K686" cm="1">
        <f t="array" ref="K686" xml:space="preserve"> mc(500, -PI()/2,0,-1, 1, "ln(EXP(x * y))")</f>
        <v>0.18005872953301955</v>
      </c>
      <c r="L686" cm="1">
        <f t="array" ref="L686" xml:space="preserve"> mc(1000, -PI()/2,0,-1, 1, "ln(EXP(x * y))")</f>
        <v>-8.3849609808557143E-2</v>
      </c>
      <c r="N686" cm="1">
        <f t="array" ref="N686" xml:space="preserve"> mc(100, -PI()/2,PI()/2, 0, 1, "sin(cos(x + y))")-1.48235</f>
        <v>0.13110269968283572</v>
      </c>
      <c r="O686" cm="1">
        <f t="array" ref="O686" xml:space="preserve"> mc(500, -PI()/2,PI()/2, 0, 1, "sin(cos(x + y))")-1.48235</f>
        <v>-1.4172956238172274E-2</v>
      </c>
      <c r="P686" cm="1">
        <f t="array" ref="P686" xml:space="preserve"> mc(1000, -PI()/2,PI()/2, 0, 1, "sin(cos(x + y))")-1.48235</f>
        <v>5.2971755278959254E-2</v>
      </c>
    </row>
    <row r="687" spans="1:16" x14ac:dyDescent="0.3">
      <c r="A687">
        <v>657</v>
      </c>
      <c r="B687" cm="1">
        <f t="array" ref="B687" xml:space="preserve"> mc(100, 0, 4, 1, 2, "x^2+y^2")-92/3</f>
        <v>3.368048145437438</v>
      </c>
      <c r="C687" cm="1">
        <f t="array" ref="C687" xml:space="preserve"> mc(500, 0, 4, 1, 2, "x^2+y^2")-92/3</f>
        <v>-0.44712285628828496</v>
      </c>
      <c r="D687" cm="1">
        <f t="array" ref="D687" xml:space="preserve"> mc(1000, 0, 4, 1, 2, "x^2+y^2")-92/3</f>
        <v>0.1594949920198161</v>
      </c>
      <c r="F687" cm="1">
        <f t="array" ref="F687" xml:space="preserve"> ( mc(100, 3, 4, -1, 1, "EXP(x * sin(y))") ) - 7.39981</f>
        <v>0.84411324913718389</v>
      </c>
      <c r="G687" cm="1">
        <f t="array" ref="G687" xml:space="preserve"> ( mc(500, 3, 4, -1, 1, "EXP(x * sin(y))") ) - 7.39981</f>
        <v>-0.31825540145070264</v>
      </c>
      <c r="H687" cm="1">
        <f t="array" ref="H687" xml:space="preserve"> ( mc(1000, 3, 4, -1, 1, "EXP(x * sin(y))") ) - 7.39981</f>
        <v>-0.81237606383790339</v>
      </c>
      <c r="J687" cm="1">
        <f t="array" ref="J687" xml:space="preserve"> mc(100, -PI()/2,0,-1, 1, "ln(EXP(x * y))")</f>
        <v>-0.10809377021610111</v>
      </c>
      <c r="K687" cm="1">
        <f t="array" ref="K687" xml:space="preserve"> mc(500, -PI()/2,0,-1, 1, "ln(EXP(x * y))")</f>
        <v>-2.6244567572588959E-2</v>
      </c>
      <c r="L687" cm="1">
        <f t="array" ref="L687" xml:space="preserve"> mc(1000, -PI()/2,0,-1, 1, "ln(EXP(x * y))")</f>
        <v>3.1995212285579007E-2</v>
      </c>
      <c r="N687" cm="1">
        <f t="array" ref="N687" xml:space="preserve"> mc(100, -PI()/2,PI()/2, 0, 1, "sin(cos(x + y))")-1.48235</f>
        <v>-2.9985692316844448E-2</v>
      </c>
      <c r="O687" cm="1">
        <f t="array" ref="O687" xml:space="preserve"> mc(500, -PI()/2,PI()/2, 0, 1, "sin(cos(x + y))")-1.48235</f>
        <v>-1.2055525486112106E-3</v>
      </c>
      <c r="P687" cm="1">
        <f t="array" ref="P687" xml:space="preserve"> mc(1000, -PI()/2,PI()/2, 0, 1, "sin(cos(x + y))")-1.48235</f>
        <v>-2.3086404394016657E-2</v>
      </c>
    </row>
    <row r="688" spans="1:16" x14ac:dyDescent="0.3">
      <c r="A688">
        <v>658</v>
      </c>
      <c r="B688" cm="1">
        <f t="array" ref="B688" xml:space="preserve"> mc(100, 0, 4, 1, 2, "x^2+y^2")-92/3</f>
        <v>-2.3242004745583031</v>
      </c>
      <c r="C688" cm="1">
        <f t="array" ref="C688" xml:space="preserve"> mc(500, 0, 4, 1, 2, "x^2+y^2")-92/3</f>
        <v>0.62982422614541989</v>
      </c>
      <c r="D688" cm="1">
        <f t="array" ref="D688" xml:space="preserve"> mc(1000, 0, 4, 1, 2, "x^2+y^2")-92/3</f>
        <v>0.11859197723024195</v>
      </c>
      <c r="F688" cm="1">
        <f t="array" ref="F688" xml:space="preserve"> ( mc(100, 3, 4, -1, 1, "EXP(x * sin(y))") ) - 7.39981</f>
        <v>0.43149581446497542</v>
      </c>
      <c r="G688" cm="1">
        <f t="array" ref="G688" xml:space="preserve"> ( mc(500, 3, 4, -1, 1, "EXP(x * sin(y))") ) - 7.39981</f>
        <v>0.18505215993637947</v>
      </c>
      <c r="H688" cm="1">
        <f t="array" ref="H688" xml:space="preserve"> ( mc(1000, 3, 4, -1, 1, "EXP(x * sin(y))") ) - 7.39981</f>
        <v>0.44556259498836326</v>
      </c>
      <c r="J688" cm="1">
        <f t="array" ref="J688" xml:space="preserve"> mc(100, -PI()/2,0,-1, 1, "ln(EXP(x * y))")</f>
        <v>3.4969517184018375E-2</v>
      </c>
      <c r="K688" cm="1">
        <f t="array" ref="K688" xml:space="preserve"> mc(500, -PI()/2,0,-1, 1, "ln(EXP(x * y))")</f>
        <v>-2.0395241741749209E-2</v>
      </c>
      <c r="L688" cm="1">
        <f t="array" ref="L688" xml:space="preserve"> mc(1000, -PI()/2,0,-1, 1, "ln(EXP(x * y))")</f>
        <v>6.5125975032591212E-3</v>
      </c>
      <c r="N688" cm="1">
        <f t="array" ref="N688" xml:space="preserve"> mc(100, -PI()/2,PI()/2, 0, 1, "sin(cos(x + y))")-1.48235</f>
        <v>0.1453850632799758</v>
      </c>
      <c r="O688" cm="1">
        <f t="array" ref="O688" xml:space="preserve"> mc(500, -PI()/2,PI()/2, 0, 1, "sin(cos(x + y))")-1.48235</f>
        <v>6.0798391433847687E-2</v>
      </c>
      <c r="P688" cm="1">
        <f t="array" ref="P688" xml:space="preserve"> mc(1000, -PI()/2,PI()/2, 0, 1, "sin(cos(x + y))")-1.48235</f>
        <v>-4.0435728468509735E-2</v>
      </c>
    </row>
    <row r="689" spans="1:16" x14ac:dyDescent="0.3">
      <c r="A689">
        <v>659</v>
      </c>
      <c r="B689" cm="1">
        <f t="array" ref="B689" xml:space="preserve"> mc(100, 0, 4, 1, 2, "x^2+y^2")-92/3</f>
        <v>1.4050258240253406</v>
      </c>
      <c r="C689" cm="1">
        <f t="array" ref="C689" xml:space="preserve"> mc(500, 0, 4, 1, 2, "x^2+y^2")-92/3</f>
        <v>1.0475670478355248</v>
      </c>
      <c r="D689" cm="1">
        <f t="array" ref="D689" xml:space="preserve"> mc(1000, 0, 4, 1, 2, "x^2+y^2")-92/3</f>
        <v>0.66611463943472415</v>
      </c>
      <c r="F689" cm="1">
        <f t="array" ref="F689" xml:space="preserve"> ( mc(100, 3, 4, -1, 1, "EXP(x * sin(y))") ) - 7.39981</f>
        <v>0.68609224378687372</v>
      </c>
      <c r="G689" cm="1">
        <f t="array" ref="G689" xml:space="preserve"> ( mc(500, 3, 4, -1, 1, "EXP(x * sin(y))") ) - 7.39981</f>
        <v>0.99790583243059316</v>
      </c>
      <c r="H689" cm="1">
        <f t="array" ref="H689" xml:space="preserve"> ( mc(1000, 3, 4, -1, 1, "EXP(x * sin(y))") ) - 7.39981</f>
        <v>0.25658118521553064</v>
      </c>
      <c r="J689" cm="1">
        <f t="array" ref="J689" xml:space="preserve"> mc(100, -PI()/2,0,-1, 1, "ln(EXP(x * y))")</f>
        <v>-3.5928675447238899E-2</v>
      </c>
      <c r="K689" cm="1">
        <f t="array" ref="K689" xml:space="preserve"> mc(500, -PI()/2,0,-1, 1, "ln(EXP(x * y))")</f>
        <v>-0.14678714451234984</v>
      </c>
      <c r="L689" cm="1">
        <f t="array" ref="L689" xml:space="preserve"> mc(1000, -PI()/2,0,-1, 1, "ln(EXP(x * y))")</f>
        <v>-5.7216559452277854E-2</v>
      </c>
      <c r="N689" cm="1">
        <f t="array" ref="N689" xml:space="preserve"> mc(100, -PI()/2,PI()/2, 0, 1, "sin(cos(x + y))")-1.48235</f>
        <v>0.1433439924938853</v>
      </c>
      <c r="O689" cm="1">
        <f t="array" ref="O689" xml:space="preserve"> mc(500, -PI()/2,PI()/2, 0, 1, "sin(cos(x + y))")-1.48235</f>
        <v>1.9068558001762659E-2</v>
      </c>
      <c r="P689" cm="1">
        <f t="array" ref="P689" xml:space="preserve"> mc(1000, -PI()/2,PI()/2, 0, 1, "sin(cos(x + y))")-1.48235</f>
        <v>1.6299145058117581E-2</v>
      </c>
    </row>
    <row r="690" spans="1:16" x14ac:dyDescent="0.3">
      <c r="A690">
        <v>660</v>
      </c>
      <c r="B690" cm="1">
        <f t="array" ref="B690" xml:space="preserve"> mc(100, 0, 4, 1, 2, "x^2+y^2")-92/3</f>
        <v>-2.0318393195971787</v>
      </c>
      <c r="C690" cm="1">
        <f t="array" ref="C690" xml:space="preserve"> mc(500, 0, 4, 1, 2, "x^2+y^2")-92/3</f>
        <v>-0.94152579521081137</v>
      </c>
      <c r="D690" cm="1">
        <f t="array" ref="D690" xml:space="preserve"> mc(1000, 0, 4, 1, 2, "x^2+y^2")-92/3</f>
        <v>-0.22360639798264259</v>
      </c>
      <c r="F690" cm="1">
        <f t="array" ref="F690" xml:space="preserve"> ( mc(100, 3, 4, -1, 1, "EXP(x * sin(y))") ) - 7.39981</f>
        <v>0.64830928873772642</v>
      </c>
      <c r="G690" cm="1">
        <f t="array" ref="G690" xml:space="preserve"> ( mc(500, 3, 4, -1, 1, "EXP(x * sin(y))") ) - 7.39981</f>
        <v>0.51115929716792685</v>
      </c>
      <c r="H690" cm="1">
        <f t="array" ref="H690" xml:space="preserve"> ( mc(1000, 3, 4, -1, 1, "EXP(x * sin(y))") ) - 7.39981</f>
        <v>0.12850728949645251</v>
      </c>
      <c r="J690" cm="1">
        <f t="array" ref="J690" xml:space="preserve"> mc(100, -PI()/2,0,-1, 1, "ln(EXP(x * y))")</f>
        <v>0.19249008872457829</v>
      </c>
      <c r="K690" cm="1">
        <f t="array" ref="K690" xml:space="preserve"> mc(500, -PI()/2,0,-1, 1, "ln(EXP(x * y))")</f>
        <v>4.3070947062672981E-3</v>
      </c>
      <c r="L690" cm="1">
        <f t="array" ref="L690" xml:space="preserve"> mc(1000, -PI()/2,0,-1, 1, "ln(EXP(x * y))")</f>
        <v>6.8491975961788146E-2</v>
      </c>
      <c r="N690" cm="1">
        <f t="array" ref="N690" xml:space="preserve"> mc(100, -PI()/2,PI()/2, 0, 1, "sin(cos(x + y))")-1.48235</f>
        <v>0.10458901923077546</v>
      </c>
      <c r="O690" cm="1">
        <f t="array" ref="O690" xml:space="preserve"> mc(500, -PI()/2,PI()/2, 0, 1, "sin(cos(x + y))")-1.48235</f>
        <v>1.942052207131173E-4</v>
      </c>
      <c r="P690" cm="1">
        <f t="array" ref="P690" xml:space="preserve"> mc(1000, -PI()/2,PI()/2, 0, 1, "sin(cos(x + y))")-1.48235</f>
        <v>-1.2331504952327599E-3</v>
      </c>
    </row>
    <row r="691" spans="1:16" x14ac:dyDescent="0.3">
      <c r="A691">
        <v>661</v>
      </c>
      <c r="B691" cm="1">
        <f t="array" ref="B691" xml:space="preserve"> mc(100, 0, 4, 1, 2, "x^2+y^2")-92/3</f>
        <v>1.8271522366670716</v>
      </c>
      <c r="C691" cm="1">
        <f t="array" ref="C691" xml:space="preserve"> mc(500, 0, 4, 1, 2, "x^2+y^2")-92/3</f>
        <v>0.16138376189792325</v>
      </c>
      <c r="D691" cm="1">
        <f t="array" ref="D691" xml:space="preserve"> mc(1000, 0, 4, 1, 2, "x^2+y^2")-92/3</f>
        <v>-0.17638749573470847</v>
      </c>
      <c r="F691" cm="1">
        <f t="array" ref="F691" xml:space="preserve"> ( mc(100, 3, 4, -1, 1, "EXP(x * sin(y))") ) - 7.39981</f>
        <v>0.67768304682656577</v>
      </c>
      <c r="G691" cm="1">
        <f t="array" ref="G691" xml:space="preserve"> ( mc(500, 3, 4, -1, 1, "EXP(x * sin(y))") ) - 7.39981</f>
        <v>-1.7452255909497616E-2</v>
      </c>
      <c r="H691" cm="1">
        <f t="array" ref="H691" xml:space="preserve"> ( mc(1000, 3, 4, -1, 1, "EXP(x * sin(y))") ) - 7.39981</f>
        <v>-0.26512417214206696</v>
      </c>
      <c r="J691" cm="1">
        <f t="array" ref="J691" xml:space="preserve"> mc(100, -PI()/2,0,-1, 1, "ln(EXP(x * y))")</f>
        <v>8.5843790790628996E-2</v>
      </c>
      <c r="K691" cm="1">
        <f t="array" ref="K691" xml:space="preserve"> mc(500, -PI()/2,0,-1, 1, "ln(EXP(x * y))")</f>
        <v>4.982652770207021E-2</v>
      </c>
      <c r="L691" cm="1">
        <f t="array" ref="L691" xml:space="preserve"> mc(1000, -PI()/2,0,-1, 1, "ln(EXP(x * y))")</f>
        <v>4.0566930182903173E-3</v>
      </c>
      <c r="N691" cm="1">
        <f t="array" ref="N691" xml:space="preserve"> mc(100, -PI()/2,PI()/2, 0, 1, "sin(cos(x + y))")-1.48235</f>
        <v>-8.3408927806913225E-2</v>
      </c>
      <c r="O691" cm="1">
        <f t="array" ref="O691" xml:space="preserve"> mc(500, -PI()/2,PI()/2, 0, 1, "sin(cos(x + y))")-1.48235</f>
        <v>-9.2985557856919421E-3</v>
      </c>
      <c r="P691" cm="1">
        <f t="array" ref="P691" xml:space="preserve"> mc(1000, -PI()/2,PI()/2, 0, 1, "sin(cos(x + y))")-1.48235</f>
        <v>1.1709713362097585E-2</v>
      </c>
    </row>
    <row r="692" spans="1:16" x14ac:dyDescent="0.3">
      <c r="A692">
        <v>662</v>
      </c>
      <c r="B692" cm="1">
        <f t="array" ref="B692" xml:space="preserve"> mc(100, 0, 4, 1, 2, "x^2+y^2")-92/3</f>
        <v>-1.671596711698637</v>
      </c>
      <c r="C692" cm="1">
        <f t="array" ref="C692" xml:space="preserve"> mc(500, 0, 4, 1, 2, "x^2+y^2")-92/3</f>
        <v>0.7226713019869635</v>
      </c>
      <c r="D692" cm="1">
        <f t="array" ref="D692" xml:space="preserve"> mc(1000, 0, 4, 1, 2, "x^2+y^2")-92/3</f>
        <v>0.86564881159244322</v>
      </c>
      <c r="F692" cm="1">
        <f t="array" ref="F692" xml:space="preserve"> ( mc(100, 3, 4, -1, 1, "EXP(x * sin(y))") ) - 7.39981</f>
        <v>0.61065527216526938</v>
      </c>
      <c r="G692" cm="1">
        <f t="array" ref="G692" xml:space="preserve"> ( mc(500, 3, 4, -1, 1, "EXP(x * sin(y))") ) - 7.39981</f>
        <v>0.42990783652307663</v>
      </c>
      <c r="H692" cm="1">
        <f t="array" ref="H692" xml:space="preserve"> ( mc(1000, 3, 4, -1, 1, "EXP(x * sin(y))") ) - 7.39981</f>
        <v>0.20011869998430942</v>
      </c>
      <c r="J692" cm="1">
        <f t="array" ref="J692" xml:space="preserve"> mc(100, -PI()/2,0,-1, 1, "ln(EXP(x * y))")</f>
        <v>2.9799121741523323E-2</v>
      </c>
      <c r="K692" cm="1">
        <f t="array" ref="K692" xml:space="preserve"> mc(500, -PI()/2,0,-1, 1, "ln(EXP(x * y))")</f>
        <v>2.0109604159053935E-3</v>
      </c>
      <c r="L692" cm="1">
        <f t="array" ref="L692" xml:space="preserve"> mc(1000, -PI()/2,0,-1, 1, "ln(EXP(x * y))")</f>
        <v>-9.8522421151769235E-2</v>
      </c>
      <c r="N692" cm="1">
        <f t="array" ref="N692" xml:space="preserve"> mc(100, -PI()/2,PI()/2, 0, 1, "sin(cos(x + y))")-1.48235</f>
        <v>9.6595079687084695E-2</v>
      </c>
      <c r="O692" cm="1">
        <f t="array" ref="O692" xml:space="preserve"> mc(500, -PI()/2,PI()/2, 0, 1, "sin(cos(x + y))")-1.48235</f>
        <v>-3.214906174584975E-2</v>
      </c>
      <c r="P692" cm="1">
        <f t="array" ref="P692" xml:space="preserve"> mc(1000, -PI()/2,PI()/2, 0, 1, "sin(cos(x + y))")-1.48235</f>
        <v>-5.116551532249769E-3</v>
      </c>
    </row>
    <row r="693" spans="1:16" x14ac:dyDescent="0.3">
      <c r="A693">
        <v>663</v>
      </c>
      <c r="B693" cm="1">
        <f t="array" ref="B693" xml:space="preserve"> mc(100, 0, 4, 1, 2, "x^2+y^2")-92/3</f>
        <v>-2.0480286648965098</v>
      </c>
      <c r="C693" cm="1">
        <f t="array" ref="C693" xml:space="preserve"> mc(500, 0, 4, 1, 2, "x^2+y^2")-92/3</f>
        <v>-5.1188834385612836E-2</v>
      </c>
      <c r="D693" cm="1">
        <f t="array" ref="D693" xml:space="preserve"> mc(1000, 0, 4, 1, 2, "x^2+y^2")-92/3</f>
        <v>8.5310125447236373E-2</v>
      </c>
      <c r="F693" cm="1">
        <f t="array" ref="F693" xml:space="preserve"> ( mc(100, 3, 4, -1, 1, "EXP(x * sin(y))") ) - 7.39981</f>
        <v>1.0627355916233281</v>
      </c>
      <c r="G693" cm="1">
        <f t="array" ref="G693" xml:space="preserve"> ( mc(500, 3, 4, -1, 1, "EXP(x * sin(y))") ) - 7.39981</f>
        <v>0.16569169900880087</v>
      </c>
      <c r="H693" cm="1">
        <f t="array" ref="H693" xml:space="preserve"> ( mc(1000, 3, 4, -1, 1, "EXP(x * sin(y))") ) - 7.39981</f>
        <v>0.15818003223404187</v>
      </c>
      <c r="J693" cm="1">
        <f t="array" ref="J693" xml:space="preserve"> mc(100, -PI()/2,0,-1, 1, "ln(EXP(x * y))")</f>
        <v>0.16789428318811309</v>
      </c>
      <c r="K693" cm="1">
        <f t="array" ref="K693" xml:space="preserve"> mc(500, -PI()/2,0,-1, 1, "ln(EXP(x * y))")</f>
        <v>5.0672949496088559E-3</v>
      </c>
      <c r="L693" cm="1">
        <f t="array" ref="L693" xml:space="preserve"> mc(1000, -PI()/2,0,-1, 1, "ln(EXP(x * y))")</f>
        <v>-4.4022504509906718E-2</v>
      </c>
      <c r="N693" cm="1">
        <f t="array" ref="N693" xml:space="preserve"> mc(100, -PI()/2,PI()/2, 0, 1, "sin(cos(x + y))")-1.48235</f>
        <v>-1.6769970020031666E-2</v>
      </c>
      <c r="O693" cm="1">
        <f t="array" ref="O693" xml:space="preserve"> mc(500, -PI()/2,PI()/2, 0, 1, "sin(cos(x + y))")-1.48235</f>
        <v>2.1179506938395098E-2</v>
      </c>
      <c r="P693" cm="1">
        <f t="array" ref="P693" xml:space="preserve"> mc(1000, -PI()/2,PI()/2, 0, 1, "sin(cos(x + y))")-1.48235</f>
        <v>4.335754283835147E-4</v>
      </c>
    </row>
    <row r="694" spans="1:16" x14ac:dyDescent="0.3">
      <c r="A694">
        <v>664</v>
      </c>
      <c r="B694" cm="1">
        <f t="array" ref="B694" xml:space="preserve"> mc(100, 0, 4, 1, 2, "x^2+y^2")-92/3</f>
        <v>-2.1835153181189568</v>
      </c>
      <c r="C694" cm="1">
        <f t="array" ref="C694" xml:space="preserve"> mc(500, 0, 4, 1, 2, "x^2+y^2")-92/3</f>
        <v>-1.174627572490806</v>
      </c>
      <c r="D694" cm="1">
        <f t="array" ref="D694" xml:space="preserve"> mc(1000, 0, 4, 1, 2, "x^2+y^2")-92/3</f>
        <v>-0.87220943732715739</v>
      </c>
      <c r="F694" cm="1">
        <f t="array" ref="F694" xml:space="preserve"> ( mc(100, 3, 4, -1, 1, "EXP(x * sin(y))") ) - 7.39981</f>
        <v>-0.20381019217287832</v>
      </c>
      <c r="G694" cm="1">
        <f t="array" ref="G694" xml:space="preserve"> ( mc(500, 3, 4, -1, 1, "EXP(x * sin(y))") ) - 7.39981</f>
        <v>-0.44043385365912169</v>
      </c>
      <c r="H694" cm="1">
        <f t="array" ref="H694" xml:space="preserve"> ( mc(1000, 3, 4, -1, 1, "EXP(x * sin(y))") ) - 7.39981</f>
        <v>-6.6621662882773158E-2</v>
      </c>
      <c r="J694" cm="1">
        <f t="array" ref="J694" xml:space="preserve"> mc(100, -PI()/2,0,-1, 1, "ln(EXP(x * y))")</f>
        <v>-0.15237494632928295</v>
      </c>
      <c r="K694" cm="1">
        <f t="array" ref="K694" xml:space="preserve"> mc(500, -PI()/2,0,-1, 1, "ln(EXP(x * y))")</f>
        <v>-4.3731427341332967E-3</v>
      </c>
      <c r="L694" cm="1">
        <f t="array" ref="L694" xml:space="preserve"> mc(1000, -PI()/2,0,-1, 1, "ln(EXP(x * y))")</f>
        <v>7.3382402752265888E-2</v>
      </c>
      <c r="N694" cm="1">
        <f t="array" ref="N694" xml:space="preserve"> mc(100, -PI()/2,PI()/2, 0, 1, "sin(cos(x + y))")-1.48235</f>
        <v>0.141453430963842</v>
      </c>
      <c r="O694" cm="1">
        <f t="array" ref="O694" xml:space="preserve"> mc(500, -PI()/2,PI()/2, 0, 1, "sin(cos(x + y))")-1.48235</f>
        <v>-6.494047833743144E-2</v>
      </c>
      <c r="P694" cm="1">
        <f t="array" ref="P694" xml:space="preserve"> mc(1000, -PI()/2,PI()/2, 0, 1, "sin(cos(x + y))")-1.48235</f>
        <v>-1.7154003945965668E-2</v>
      </c>
    </row>
    <row r="695" spans="1:16" x14ac:dyDescent="0.3">
      <c r="A695">
        <v>665</v>
      </c>
      <c r="B695" cm="1">
        <f t="array" ref="B695" xml:space="preserve"> mc(100, 0, 4, 1, 2, "x^2+y^2")-92/3</f>
        <v>-2.4209240501258193</v>
      </c>
      <c r="C695" cm="1">
        <f t="array" ref="C695" xml:space="preserve"> mc(500, 0, 4, 1, 2, "x^2+y^2")-92/3</f>
        <v>0.29052582726991716</v>
      </c>
      <c r="D695" cm="1">
        <f t="array" ref="D695" xml:space="preserve"> mc(1000, 0, 4, 1, 2, "x^2+y^2")-92/3</f>
        <v>-0.66423328121130609</v>
      </c>
      <c r="F695" cm="1">
        <f t="array" ref="F695" xml:space="preserve"> ( mc(100, 3, 4, -1, 1, "EXP(x * sin(y))") ) - 7.39981</f>
        <v>3.5276714015487141</v>
      </c>
      <c r="G695" cm="1">
        <f t="array" ref="G695" xml:space="preserve"> ( mc(500, 3, 4, -1, 1, "EXP(x * sin(y))") ) - 7.39981</f>
        <v>0.43588687738597098</v>
      </c>
      <c r="H695" cm="1">
        <f t="array" ref="H695" xml:space="preserve"> ( mc(1000, 3, 4, -1, 1, "EXP(x * sin(y))") ) - 7.39981</f>
        <v>-0.51915203759124573</v>
      </c>
      <c r="J695" cm="1">
        <f t="array" ref="J695" xml:space="preserve"> mc(100, -PI()/2,0,-1, 1, "ln(EXP(x * y))")</f>
        <v>-0.12114734298773498</v>
      </c>
      <c r="K695" cm="1">
        <f t="array" ref="K695" xml:space="preserve"> mc(500, -PI()/2,0,-1, 1, "ln(EXP(x * y))")</f>
        <v>-0.12765340495303523</v>
      </c>
      <c r="L695" cm="1">
        <f t="array" ref="L695" xml:space="preserve"> mc(1000, -PI()/2,0,-1, 1, "ln(EXP(x * y))")</f>
        <v>1.9053630832670934E-2</v>
      </c>
      <c r="N695" cm="1">
        <f t="array" ref="N695" xml:space="preserve"> mc(100, -PI()/2,PI()/2, 0, 1, "sin(cos(x + y))")-1.48235</f>
        <v>-4.7933467883746417E-2</v>
      </c>
      <c r="O695" cm="1">
        <f t="array" ref="O695" xml:space="preserve"> mc(500, -PI()/2,PI()/2, 0, 1, "sin(cos(x + y))")-1.48235</f>
        <v>-2.9453102646009421E-2</v>
      </c>
      <c r="P695" cm="1">
        <f t="array" ref="P695" xml:space="preserve"> mc(1000, -PI()/2,PI()/2, 0, 1, "sin(cos(x + y))")-1.48235</f>
        <v>3.1070001220960375E-2</v>
      </c>
    </row>
    <row r="696" spans="1:16" x14ac:dyDescent="0.3">
      <c r="A696">
        <v>666</v>
      </c>
      <c r="B696" cm="1">
        <f t="array" ref="B696" xml:space="preserve"> mc(100, 0, 4, 1, 2, "x^2+y^2")-92/3</f>
        <v>-1.8171637922932575</v>
      </c>
      <c r="C696" cm="1">
        <f t="array" ref="C696" xml:space="preserve"> mc(500, 0, 4, 1, 2, "x^2+y^2")-92/3</f>
        <v>1.4774626567947458</v>
      </c>
      <c r="D696" cm="1">
        <f t="array" ref="D696" xml:space="preserve"> mc(1000, 0, 4, 1, 2, "x^2+y^2")-92/3</f>
        <v>0.28328544591972005</v>
      </c>
      <c r="F696" cm="1">
        <f t="array" ref="F696" xml:space="preserve"> ( mc(100, 3, 4, -1, 1, "EXP(x * sin(y))") ) - 7.39981</f>
        <v>-2.2690200195193633E-2</v>
      </c>
      <c r="G696" cm="1">
        <f t="array" ref="G696" xml:space="preserve"> ( mc(500, 3, 4, -1, 1, "EXP(x * sin(y))") ) - 7.39981</f>
        <v>-0.22631914585723045</v>
      </c>
      <c r="H696" cm="1">
        <f t="array" ref="H696" xml:space="preserve"> ( mc(1000, 3, 4, -1, 1, "EXP(x * sin(y))") ) - 7.39981</f>
        <v>8.1304528048331548E-3</v>
      </c>
      <c r="J696" cm="1">
        <f t="array" ref="J696" xml:space="preserve"> mc(100, -PI()/2,0,-1, 1, "ln(EXP(x * y))")</f>
        <v>6.5827399308324153E-2</v>
      </c>
      <c r="K696" cm="1">
        <f t="array" ref="K696" xml:space="preserve"> mc(500, -PI()/2,0,-1, 1, "ln(EXP(x * y))")</f>
        <v>-3.4778480324082283E-4</v>
      </c>
      <c r="L696" cm="1">
        <f t="array" ref="L696" xml:space="preserve"> mc(1000, -PI()/2,0,-1, 1, "ln(EXP(x * y))")</f>
        <v>-3.2465095406678621E-2</v>
      </c>
      <c r="N696" cm="1">
        <f t="array" ref="N696" xml:space="preserve"> mc(100, -PI()/2,PI()/2, 0, 1, "sin(cos(x + y))")-1.48235</f>
        <v>7.0332692487145465E-2</v>
      </c>
      <c r="O696" cm="1">
        <f t="array" ref="O696" xml:space="preserve"> mc(500, -PI()/2,PI()/2, 0, 1, "sin(cos(x + y))")-1.48235</f>
        <v>0.10565155052474595</v>
      </c>
      <c r="P696" cm="1">
        <f t="array" ref="P696" xml:space="preserve"> mc(1000, -PI()/2,PI()/2, 0, 1, "sin(cos(x + y))")-1.48235</f>
        <v>5.7366819075754805E-5</v>
      </c>
    </row>
    <row r="697" spans="1:16" x14ac:dyDescent="0.3">
      <c r="A697">
        <v>667</v>
      </c>
      <c r="B697" cm="1">
        <f t="array" ref="B697" xml:space="preserve"> mc(100, 0, 4, 1, 2, "x^2+y^2")-92/3</f>
        <v>0.52147308644253698</v>
      </c>
      <c r="C697" cm="1">
        <f t="array" ref="C697" xml:space="preserve"> mc(500, 0, 4, 1, 2, "x^2+y^2")-92/3</f>
        <v>0.78084097842359057</v>
      </c>
      <c r="D697" cm="1">
        <f t="array" ref="D697" xml:space="preserve"> mc(1000, 0, 4, 1, 2, "x^2+y^2")-92/3</f>
        <v>6.5368598445850523E-2</v>
      </c>
      <c r="F697" cm="1">
        <f t="array" ref="F697" xml:space="preserve"> ( mc(100, 3, 4, -1, 1, "EXP(x * sin(y))") ) - 7.39981</f>
        <v>-0.59255195938966221</v>
      </c>
      <c r="G697" cm="1">
        <f t="array" ref="G697" xml:space="preserve"> ( mc(500, 3, 4, -1, 1, "EXP(x * sin(y))") ) - 7.39981</f>
        <v>0.32314030328177434</v>
      </c>
      <c r="H697" cm="1">
        <f t="array" ref="H697" xml:space="preserve"> ( mc(1000, 3, 4, -1, 1, "EXP(x * sin(y))") ) - 7.39981</f>
        <v>-0.29628616018263543</v>
      </c>
      <c r="J697" cm="1">
        <f t="array" ref="J697" xml:space="preserve"> mc(100, -PI()/2,0,-1, 1, "ln(EXP(x * y))")</f>
        <v>7.6468915672784502E-3</v>
      </c>
      <c r="K697" cm="1">
        <f t="array" ref="K697" xml:space="preserve"> mc(500, -PI()/2,0,-1, 1, "ln(EXP(x * y))")</f>
        <v>-1.5724780551299243E-2</v>
      </c>
      <c r="L697" cm="1">
        <f t="array" ref="L697" xml:space="preserve"> mc(1000, -PI()/2,0,-1, 1, "ln(EXP(x * y))")</f>
        <v>-5.9505014621221985E-2</v>
      </c>
      <c r="N697" cm="1">
        <f t="array" ref="N697" xml:space="preserve"> mc(100, -PI()/2,PI()/2, 0, 1, "sin(cos(x + y))")-1.48235</f>
        <v>-3.9382349881271983E-2</v>
      </c>
      <c r="O697" cm="1">
        <f t="array" ref="O697" xml:space="preserve"> mc(500, -PI()/2,PI()/2, 0, 1, "sin(cos(x + y))")-1.48235</f>
        <v>6.0138284027938083E-2</v>
      </c>
      <c r="P697" cm="1">
        <f t="array" ref="P697" xml:space="preserve"> mc(1000, -PI()/2,PI()/2, 0, 1, "sin(cos(x + y))")-1.48235</f>
        <v>-1.5430569101669844E-2</v>
      </c>
    </row>
    <row r="698" spans="1:16" x14ac:dyDescent="0.3">
      <c r="A698">
        <v>668</v>
      </c>
      <c r="B698" cm="1">
        <f t="array" ref="B698" xml:space="preserve"> mc(100, 0, 4, 1, 2, "x^2+y^2")-92/3</f>
        <v>2.7650771580798938</v>
      </c>
      <c r="C698" cm="1">
        <f t="array" ref="C698" xml:space="preserve"> mc(500, 0, 4, 1, 2, "x^2+y^2")-92/3</f>
        <v>-0.24903205003804274</v>
      </c>
      <c r="D698" cm="1">
        <f t="array" ref="D698" xml:space="preserve"> mc(1000, 0, 4, 1, 2, "x^2+y^2")-92/3</f>
        <v>-0.824531645529607</v>
      </c>
      <c r="F698" cm="1">
        <f t="array" ref="F698" xml:space="preserve"> ( mc(100, 3, 4, -1, 1, "EXP(x * sin(y))") ) - 7.39981</f>
        <v>0.64724296670125092</v>
      </c>
      <c r="G698" cm="1">
        <f t="array" ref="G698" xml:space="preserve"> ( mc(500, 3, 4, -1, 1, "EXP(x * sin(y))") ) - 7.39981</f>
        <v>-4.3220472888366501E-2</v>
      </c>
      <c r="H698" cm="1">
        <f t="array" ref="H698" xml:space="preserve"> ( mc(1000, 3, 4, -1, 1, "EXP(x * sin(y))") ) - 7.39981</f>
        <v>-1.2290462770346622E-2</v>
      </c>
      <c r="J698" cm="1">
        <f t="array" ref="J698" xml:space="preserve"> mc(100, -PI()/2,0,-1, 1, "ln(EXP(x * y))")</f>
        <v>4.78693665123954E-3</v>
      </c>
      <c r="K698" cm="1">
        <f t="array" ref="K698" xml:space="preserve"> mc(500, -PI()/2,0,-1, 1, "ln(EXP(x * y))")</f>
        <v>1.857515312577164E-2</v>
      </c>
      <c r="L698" cm="1">
        <f t="array" ref="L698" xml:space="preserve"> mc(1000, -PI()/2,0,-1, 1, "ln(EXP(x * y))")</f>
        <v>-1.7358274506027425E-2</v>
      </c>
      <c r="N698" cm="1">
        <f t="array" ref="N698" xml:space="preserve"> mc(100, -PI()/2,PI()/2, 0, 1, "sin(cos(x + y))")-1.48235</f>
        <v>0.23097062981618843</v>
      </c>
      <c r="O698" cm="1">
        <f t="array" ref="O698" xml:space="preserve"> mc(500, -PI()/2,PI()/2, 0, 1, "sin(cos(x + y))")-1.48235</f>
        <v>-6.707595295159674E-2</v>
      </c>
      <c r="P698" cm="1">
        <f t="array" ref="P698" xml:space="preserve"> mc(1000, -PI()/2,PI()/2, 0, 1, "sin(cos(x + y))")-1.48235</f>
        <v>2.0101144127954607E-2</v>
      </c>
    </row>
    <row r="699" spans="1:16" x14ac:dyDescent="0.3">
      <c r="A699">
        <v>669</v>
      </c>
      <c r="B699" cm="1">
        <f t="array" ref="B699" xml:space="preserve"> mc(100, 0, 4, 1, 2, "x^2+y^2")-92/3</f>
        <v>-0.21563786289115328</v>
      </c>
      <c r="C699" cm="1">
        <f t="array" ref="C699" xml:space="preserve"> mc(500, 0, 4, 1, 2, "x^2+y^2")-92/3</f>
        <v>-0.12160138456814806</v>
      </c>
      <c r="D699" cm="1">
        <f t="array" ref="D699" xml:space="preserve"> mc(1000, 0, 4, 1, 2, "x^2+y^2")-92/3</f>
        <v>7.3662456864006742E-2</v>
      </c>
      <c r="F699" cm="1">
        <f t="array" ref="F699" xml:space="preserve"> ( mc(100, 3, 4, -1, 1, "EXP(x * sin(y))") ) - 7.39981</f>
        <v>0.10641321585833552</v>
      </c>
      <c r="G699" cm="1">
        <f t="array" ref="G699" xml:space="preserve"> ( mc(500, 3, 4, -1, 1, "EXP(x * sin(y))") ) - 7.39981</f>
        <v>-0.35063499659963604</v>
      </c>
      <c r="H699" cm="1">
        <f t="array" ref="H699" xml:space="preserve"> ( mc(1000, 3, 4, -1, 1, "EXP(x * sin(y))") ) - 7.39981</f>
        <v>-0.52827684241547512</v>
      </c>
      <c r="J699" cm="1">
        <f t="array" ref="J699" xml:space="preserve"> mc(100, -PI()/2,0,-1, 1, "ln(EXP(x * y))")</f>
        <v>-0.10056447547247391</v>
      </c>
      <c r="K699" cm="1">
        <f t="array" ref="K699" xml:space="preserve"> mc(500, -PI()/2,0,-1, 1, "ln(EXP(x * y))")</f>
        <v>4.3673465820123866E-2</v>
      </c>
      <c r="L699" cm="1">
        <f t="array" ref="L699" xml:space="preserve"> mc(1000, -PI()/2,0,-1, 1, "ln(EXP(x * y))")</f>
        <v>4.259437811370085E-2</v>
      </c>
      <c r="N699" cm="1">
        <f t="array" ref="N699" xml:space="preserve"> mc(100, -PI()/2,PI()/2, 0, 1, "sin(cos(x + y))")-1.48235</f>
        <v>0.10251738067817184</v>
      </c>
      <c r="O699" cm="1">
        <f t="array" ref="O699" xml:space="preserve"> mc(500, -PI()/2,PI()/2, 0, 1, "sin(cos(x + y))")-1.48235</f>
        <v>-8.4509764533047704E-2</v>
      </c>
      <c r="P699" cm="1">
        <f t="array" ref="P699" xml:space="preserve"> mc(1000, -PI()/2,PI()/2, 0, 1, "sin(cos(x + y))")-1.48235</f>
        <v>-2.0408874689080481E-2</v>
      </c>
    </row>
    <row r="700" spans="1:16" x14ac:dyDescent="0.3">
      <c r="A700">
        <v>670</v>
      </c>
      <c r="B700" cm="1">
        <f t="array" ref="B700" xml:space="preserve"> mc(100, 0, 4, 1, 2, "x^2+y^2")-92/3</f>
        <v>0.88558375791674848</v>
      </c>
      <c r="C700" cm="1">
        <f t="array" ref="C700" xml:space="preserve"> mc(500, 0, 4, 1, 2, "x^2+y^2")-92/3</f>
        <v>-1.079946422177958</v>
      </c>
      <c r="D700" cm="1">
        <f t="array" ref="D700" xml:space="preserve"> mc(1000, 0, 4, 1, 2, "x^2+y^2")-92/3</f>
        <v>0.73518200819054158</v>
      </c>
      <c r="F700" cm="1">
        <f t="array" ref="F700" xml:space="preserve"> ( mc(100, 3, 4, -1, 1, "EXP(x * sin(y))") ) - 7.39981</f>
        <v>-0.48943769372921508</v>
      </c>
      <c r="G700" cm="1">
        <f t="array" ref="G700" xml:space="preserve"> ( mc(500, 3, 4, -1, 1, "EXP(x * sin(y))") ) - 7.39981</f>
        <v>0.66152949735183775</v>
      </c>
      <c r="H700" cm="1">
        <f t="array" ref="H700" xml:space="preserve"> ( mc(1000, 3, 4, -1, 1, "EXP(x * sin(y))") ) - 7.39981</f>
        <v>0.10953206087292688</v>
      </c>
      <c r="J700" cm="1">
        <f t="array" ref="J700" xml:space="preserve"> mc(100, -PI()/2,0,-1, 1, "ln(EXP(x * y))")</f>
        <v>-2.8242923171873983E-2</v>
      </c>
      <c r="K700" cm="1">
        <f t="array" ref="K700" xml:space="preserve"> mc(500, -PI()/2,0,-1, 1, "ln(EXP(x * y))")</f>
        <v>0.13212821284483756</v>
      </c>
      <c r="L700" cm="1">
        <f t="array" ref="L700" xml:space="preserve"> mc(1000, -PI()/2,0,-1, 1, "ln(EXP(x * y))")</f>
        <v>0.11130544051871037</v>
      </c>
      <c r="N700" cm="1">
        <f t="array" ref="N700" xml:space="preserve"> mc(100, -PI()/2,PI()/2, 0, 1, "sin(cos(x + y))")-1.48235</f>
        <v>0.11855598204687823</v>
      </c>
      <c r="O700" cm="1">
        <f t="array" ref="O700" xml:space="preserve"> mc(500, -PI()/2,PI()/2, 0, 1, "sin(cos(x + y))")-1.48235</f>
        <v>-5.1339297101790748E-2</v>
      </c>
      <c r="P700" cm="1">
        <f t="array" ref="P700" xml:space="preserve"> mc(1000, -PI()/2,PI()/2, 0, 1, "sin(cos(x + y))")-1.48235</f>
        <v>-0.1216341985139513</v>
      </c>
    </row>
    <row r="701" spans="1:16" x14ac:dyDescent="0.3">
      <c r="A701">
        <v>671</v>
      </c>
      <c r="B701" cm="1">
        <f t="array" ref="B701" xml:space="preserve"> mc(100, 0, 4, 1, 2, "x^2+y^2")-92/3</f>
        <v>-2.8551566322657429</v>
      </c>
      <c r="C701" cm="1">
        <f t="array" ref="C701" xml:space="preserve"> mc(500, 0, 4, 1, 2, "x^2+y^2")-92/3</f>
        <v>-1.2462544303308043</v>
      </c>
      <c r="D701" cm="1">
        <f t="array" ref="D701" xml:space="preserve"> mc(1000, 0, 4, 1, 2, "x^2+y^2")-92/3</f>
        <v>0.32451021054381357</v>
      </c>
      <c r="F701" cm="1">
        <f t="array" ref="F701" xml:space="preserve"> ( mc(100, 3, 4, -1, 1, "EXP(x * sin(y))") ) - 7.39981</f>
        <v>0.93094198549277252</v>
      </c>
      <c r="G701" cm="1">
        <f t="array" ref="G701" xml:space="preserve"> ( mc(500, 3, 4, -1, 1, "EXP(x * sin(y))") ) - 7.39981</f>
        <v>-0.67131563519866777</v>
      </c>
      <c r="H701" cm="1">
        <f t="array" ref="H701" xml:space="preserve"> ( mc(1000, 3, 4, -1, 1, "EXP(x * sin(y))") ) - 7.39981</f>
        <v>0.65157417003125317</v>
      </c>
      <c r="J701" cm="1">
        <f t="array" ref="J701" xml:space="preserve"> mc(100, -PI()/2,0,-1, 1, "ln(EXP(x * y))")</f>
        <v>-4.9605878153994358E-2</v>
      </c>
      <c r="K701" cm="1">
        <f t="array" ref="K701" xml:space="preserve"> mc(500, -PI()/2,0,-1, 1, "ln(EXP(x * y))")</f>
        <v>-1.8204205415413963E-3</v>
      </c>
      <c r="L701" cm="1">
        <f t="array" ref="L701" xml:space="preserve"> mc(1000, -PI()/2,0,-1, 1, "ln(EXP(x * y))")</f>
        <v>1.5061978948609276E-2</v>
      </c>
      <c r="N701" cm="1">
        <f t="array" ref="N701" xml:space="preserve"> mc(100, -PI()/2,PI()/2, 0, 1, "sin(cos(x + y))")-1.48235</f>
        <v>-9.3024865998559525E-2</v>
      </c>
      <c r="O701" cm="1">
        <f t="array" ref="O701" xml:space="preserve"> mc(500, -PI()/2,PI()/2, 0, 1, "sin(cos(x + y))")-1.48235</f>
        <v>-8.0462585036265688E-2</v>
      </c>
      <c r="P701" cm="1">
        <f t="array" ref="P701" xml:space="preserve"> mc(1000, -PI()/2,PI()/2, 0, 1, "sin(cos(x + y))")-1.48235</f>
        <v>1.6884977403403667E-2</v>
      </c>
    </row>
    <row r="702" spans="1:16" x14ac:dyDescent="0.3">
      <c r="A702">
        <v>672</v>
      </c>
      <c r="B702" cm="1">
        <f t="array" ref="B702" xml:space="preserve"> mc(100, 0, 4, 1, 2, "x^2+y^2")-92/3</f>
        <v>1.9856623098844501</v>
      </c>
      <c r="C702" cm="1">
        <f t="array" ref="C702" xml:space="preserve"> mc(500, 0, 4, 1, 2, "x^2+y^2")-92/3</f>
        <v>-0.24668604447869669</v>
      </c>
      <c r="D702" cm="1">
        <f t="array" ref="D702" xml:space="preserve"> mc(1000, 0, 4, 1, 2, "x^2+y^2")-92/3</f>
        <v>-0.1338977484983559</v>
      </c>
      <c r="F702" cm="1">
        <f t="array" ref="F702" xml:space="preserve"> ( mc(100, 3, 4, -1, 1, "EXP(x * sin(y))") ) - 7.39981</f>
        <v>-1.7564368294798012</v>
      </c>
      <c r="G702" cm="1">
        <f t="array" ref="G702" xml:space="preserve"> ( mc(500, 3, 4, -1, 1, "EXP(x * sin(y))") ) - 7.39981</f>
        <v>0.20399270071363329</v>
      </c>
      <c r="H702" cm="1">
        <f t="array" ref="H702" xml:space="preserve"> ( mc(1000, 3, 4, -1, 1, "EXP(x * sin(y))") ) - 7.39981</f>
        <v>-0.52984364931243633</v>
      </c>
      <c r="J702" cm="1">
        <f t="array" ref="J702" xml:space="preserve"> mc(100, -PI()/2,0,-1, 1, "ln(EXP(x * y))")</f>
        <v>0.20511514750963358</v>
      </c>
      <c r="K702" cm="1">
        <f t="array" ref="K702" xml:space="preserve"> mc(500, -PI()/2,0,-1, 1, "ln(EXP(x * y))")</f>
        <v>-6.0958060701208809E-3</v>
      </c>
      <c r="L702" cm="1">
        <f t="array" ref="L702" xml:space="preserve"> mc(1000, -PI()/2,0,-1, 1, "ln(EXP(x * y))")</f>
        <v>-9.7371723376703564E-2</v>
      </c>
      <c r="N702" cm="1">
        <f t="array" ref="N702" xml:space="preserve"> mc(100, -PI()/2,PI()/2, 0, 1, "sin(cos(x + y))")-1.48235</f>
        <v>-0.19205710430900247</v>
      </c>
      <c r="O702" cm="1">
        <f t="array" ref="O702" xml:space="preserve"> mc(500, -PI()/2,PI()/2, 0, 1, "sin(cos(x + y))")-1.48235</f>
        <v>-0.10304641343761256</v>
      </c>
      <c r="P702" cm="1">
        <f t="array" ref="P702" xml:space="preserve"> mc(1000, -PI()/2,PI()/2, 0, 1, "sin(cos(x + y))")-1.48235</f>
        <v>-6.9888336635235637E-2</v>
      </c>
    </row>
    <row r="703" spans="1:16" x14ac:dyDescent="0.3">
      <c r="A703">
        <v>673</v>
      </c>
      <c r="B703" cm="1">
        <f t="array" ref="B703" xml:space="preserve"> mc(100, 0, 4, 1, 2, "x^2+y^2")-92/3</f>
        <v>-1.4434223132844899</v>
      </c>
      <c r="C703" cm="1">
        <f t="array" ref="C703" xml:space="preserve"> mc(500, 0, 4, 1, 2, "x^2+y^2")-92/3</f>
        <v>2.0964005758625284</v>
      </c>
      <c r="D703" cm="1">
        <f t="array" ref="D703" xml:space="preserve"> mc(1000, 0, 4, 1, 2, "x^2+y^2")-92/3</f>
        <v>-0.65024283153368856</v>
      </c>
      <c r="F703" cm="1">
        <f t="array" ref="F703" xml:space="preserve"> ( mc(100, 3, 4, -1, 1, "EXP(x * sin(y))") ) - 7.39981</f>
        <v>1.7137999130775317</v>
      </c>
      <c r="G703" cm="1">
        <f t="array" ref="G703" xml:space="preserve"> ( mc(500, 3, 4, -1, 1, "EXP(x * sin(y))") ) - 7.39981</f>
        <v>4.8097710410617722E-2</v>
      </c>
      <c r="H703" cm="1">
        <f t="array" ref="H703" xml:space="preserve"> ( mc(1000, 3, 4, -1, 1, "EXP(x * sin(y))") ) - 7.39981</f>
        <v>0.53968414693275424</v>
      </c>
      <c r="J703" cm="1">
        <f t="array" ref="J703" xml:space="preserve"> mc(100, -PI()/2,0,-1, 1, "ln(EXP(x * y))")</f>
        <v>0.41846040712152172</v>
      </c>
      <c r="K703" cm="1">
        <f t="array" ref="K703" xml:space="preserve"> mc(500, -PI()/2,0,-1, 1, "ln(EXP(x * y))")</f>
        <v>9.8365056471951567E-2</v>
      </c>
      <c r="L703" cm="1">
        <f t="array" ref="L703" xml:space="preserve"> mc(1000, -PI()/2,0,-1, 1, "ln(EXP(x * y))")</f>
        <v>6.8093627662395267E-2</v>
      </c>
      <c r="N703" cm="1">
        <f t="array" ref="N703" xml:space="preserve"> mc(100, -PI()/2,PI()/2, 0, 1, "sin(cos(x + y))")-1.48235</f>
        <v>5.8689483245961904E-2</v>
      </c>
      <c r="O703" cm="1">
        <f t="array" ref="O703" xml:space="preserve"> mc(500, -PI()/2,PI()/2, 0, 1, "sin(cos(x + y))")-1.48235</f>
        <v>4.3127547804803879E-2</v>
      </c>
      <c r="P703" cm="1">
        <f t="array" ref="P703" xml:space="preserve"> mc(1000, -PI()/2,PI()/2, 0, 1, "sin(cos(x + y))")-1.48235</f>
        <v>1.2175435329072171E-2</v>
      </c>
    </row>
    <row r="704" spans="1:16" x14ac:dyDescent="0.3">
      <c r="A704">
        <v>674</v>
      </c>
      <c r="B704" cm="1">
        <f t="array" ref="B704" xml:space="preserve"> mc(100, 0, 4, 1, 2, "x^2+y^2")-92/3</f>
        <v>-1.4297935907761676</v>
      </c>
      <c r="C704" cm="1">
        <f t="array" ref="C704" xml:space="preserve"> mc(500, 0, 4, 1, 2, "x^2+y^2")-92/3</f>
        <v>-0.38605538426840624</v>
      </c>
      <c r="D704" cm="1">
        <f t="array" ref="D704" xml:space="preserve"> mc(1000, 0, 4, 1, 2, "x^2+y^2")-92/3</f>
        <v>-0.24441863006344633</v>
      </c>
      <c r="F704" cm="1">
        <f t="array" ref="F704" xml:space="preserve"> ( mc(100, 3, 4, -1, 1, "EXP(x * sin(y))") ) - 7.39981</f>
        <v>-0.22211830090172313</v>
      </c>
      <c r="G704" cm="1">
        <f t="array" ref="G704" xml:space="preserve"> ( mc(500, 3, 4, -1, 1, "EXP(x * sin(y))") ) - 7.39981</f>
        <v>0.78513047456535645</v>
      </c>
      <c r="H704" cm="1">
        <f t="array" ref="H704" xml:space="preserve"> ( mc(1000, 3, 4, -1, 1, "EXP(x * sin(y))") ) - 7.39981</f>
        <v>5.6449367931974415E-2</v>
      </c>
      <c r="J704" cm="1">
        <f t="array" ref="J704" xml:space="preserve"> mc(100, -PI()/2,0,-1, 1, "ln(EXP(x * y))")</f>
        <v>1.5700741363235311E-2</v>
      </c>
      <c r="K704" cm="1">
        <f t="array" ref="K704" xml:space="preserve"> mc(500, -PI()/2,0,-1, 1, "ln(EXP(x * y))")</f>
        <v>4.3210669094652272E-2</v>
      </c>
      <c r="L704" cm="1">
        <f t="array" ref="L704" xml:space="preserve"> mc(1000, -PI()/2,0,-1, 1, "ln(EXP(x * y))")</f>
        <v>6.4995888407287747E-2</v>
      </c>
      <c r="N704" cm="1">
        <f t="array" ref="N704" xml:space="preserve"> mc(100, -PI()/2,PI()/2, 0, 1, "sin(cos(x + y))")-1.48235</f>
        <v>-4.8778989863764943E-2</v>
      </c>
      <c r="O704" cm="1">
        <f t="array" ref="O704" xml:space="preserve"> mc(500, -PI()/2,PI()/2, 0, 1, "sin(cos(x + y))")-1.48235</f>
        <v>5.939203298385598E-3</v>
      </c>
      <c r="P704" cm="1">
        <f t="array" ref="P704" xml:space="preserve"> mc(1000, -PI()/2,PI()/2, 0, 1, "sin(cos(x + y))")-1.48235</f>
        <v>0.10121185957721845</v>
      </c>
    </row>
    <row r="705" spans="1:16" x14ac:dyDescent="0.3">
      <c r="A705">
        <v>675</v>
      </c>
      <c r="B705" cm="1">
        <f t="array" ref="B705" xml:space="preserve"> mc(100, 0, 4, 1, 2, "x^2+y^2")-92/3</f>
        <v>-0.55373300321262064</v>
      </c>
      <c r="C705" cm="1">
        <f t="array" ref="C705" xml:space="preserve"> mc(500, 0, 4, 1, 2, "x^2+y^2")-92/3</f>
        <v>-1.0155466787868974</v>
      </c>
      <c r="D705" cm="1">
        <f t="array" ref="D705" xml:space="preserve"> mc(1000, 0, 4, 1, 2, "x^2+y^2")-92/3</f>
        <v>0.3185422920291181</v>
      </c>
      <c r="F705" cm="1">
        <f t="array" ref="F705" xml:space="preserve"> ( mc(100, 3, 4, -1, 1, "EXP(x * sin(y))") ) - 7.39981</f>
        <v>1.5097030982771589</v>
      </c>
      <c r="G705" cm="1">
        <f t="array" ref="G705" xml:space="preserve"> ( mc(500, 3, 4, -1, 1, "EXP(x * sin(y))") ) - 7.39981</f>
        <v>0.1354440687231131</v>
      </c>
      <c r="H705" cm="1">
        <f t="array" ref="H705" xml:space="preserve"> ( mc(1000, 3, 4, -1, 1, "EXP(x * sin(y))") ) - 7.39981</f>
        <v>-5.6592769076146077E-2</v>
      </c>
      <c r="J705" cm="1">
        <f t="array" ref="J705" xml:space="preserve"> mc(100, -PI()/2,0,-1, 1, "ln(EXP(x * y))")</f>
        <v>-0.3816060259293253</v>
      </c>
      <c r="K705" cm="1">
        <f t="array" ref="K705" xml:space="preserve"> mc(500, -PI()/2,0,-1, 1, "ln(EXP(x * y))")</f>
        <v>-4.08658537959855E-2</v>
      </c>
      <c r="L705" cm="1">
        <f t="array" ref="L705" xml:space="preserve"> mc(1000, -PI()/2,0,-1, 1, "ln(EXP(x * y))")</f>
        <v>-2.7030867123573634E-2</v>
      </c>
      <c r="N705" cm="1">
        <f t="array" ref="N705" xml:space="preserve"> mc(100, -PI()/2,PI()/2, 0, 1, "sin(cos(x + y))")-1.48235</f>
        <v>0.13028111038799239</v>
      </c>
      <c r="O705" cm="1">
        <f t="array" ref="O705" xml:space="preserve"> mc(500, -PI()/2,PI()/2, 0, 1, "sin(cos(x + y))")-1.48235</f>
        <v>-2.4875464606242348E-2</v>
      </c>
      <c r="P705" cm="1">
        <f t="array" ref="P705" xml:space="preserve"> mc(1000, -PI()/2,PI()/2, 0, 1, "sin(cos(x + y))")-1.48235</f>
        <v>-4.431050857841301E-2</v>
      </c>
    </row>
    <row r="706" spans="1:16" x14ac:dyDescent="0.3">
      <c r="A706">
        <v>676</v>
      </c>
      <c r="B706" cm="1">
        <f t="array" ref="B706" xml:space="preserve"> mc(100, 0, 4, 1, 2, "x^2+y^2")-92/3</f>
        <v>1.9451083216406353</v>
      </c>
      <c r="C706" cm="1">
        <f t="array" ref="C706" xml:space="preserve"> mc(500, 0, 4, 1, 2, "x^2+y^2")-92/3</f>
        <v>1.3113961682581774</v>
      </c>
      <c r="D706" cm="1">
        <f t="array" ref="D706" xml:space="preserve"> mc(1000, 0, 4, 1, 2, "x^2+y^2")-92/3</f>
        <v>-0.52459434297601959</v>
      </c>
      <c r="F706" cm="1">
        <f t="array" ref="F706" xml:space="preserve"> ( mc(100, 3, 4, -1, 1, "EXP(x * sin(y))") ) - 7.39981</f>
        <v>-0.64580006014938895</v>
      </c>
      <c r="G706" cm="1">
        <f t="array" ref="G706" xml:space="preserve"> ( mc(500, 3, 4, -1, 1, "EXP(x * sin(y))") ) - 7.39981</f>
        <v>-0.26271721579848251</v>
      </c>
      <c r="H706" cm="1">
        <f t="array" ref="H706" xml:space="preserve"> ( mc(1000, 3, 4, -1, 1, "EXP(x * sin(y))") ) - 7.39981</f>
        <v>-0.28880668293571965</v>
      </c>
      <c r="J706" cm="1">
        <f t="array" ref="J706" xml:space="preserve"> mc(100, -PI()/2,0,-1, 1, "ln(EXP(x * y))")</f>
        <v>0.30248107526053469</v>
      </c>
      <c r="K706" cm="1">
        <f t="array" ref="K706" xml:space="preserve"> mc(500, -PI()/2,0,-1, 1, "ln(EXP(x * y))")</f>
        <v>0.11297174969500005</v>
      </c>
      <c r="L706" cm="1">
        <f t="array" ref="L706" xml:space="preserve"> mc(1000, -PI()/2,0,-1, 1, "ln(EXP(x * y))")</f>
        <v>-8.1321847833679142E-2</v>
      </c>
      <c r="N706" cm="1">
        <f t="array" ref="N706" xml:space="preserve"> mc(100, -PI()/2,PI()/2, 0, 1, "sin(cos(x + y))")-1.48235</f>
        <v>5.1737532610842019E-2</v>
      </c>
      <c r="O706" cm="1">
        <f t="array" ref="O706" xml:space="preserve"> mc(500, -PI()/2,PI()/2, 0, 1, "sin(cos(x + y))")-1.48235</f>
        <v>0.12748736943011685</v>
      </c>
      <c r="P706" cm="1">
        <f t="array" ref="P706" xml:space="preserve"> mc(1000, -PI()/2,PI()/2, 0, 1, "sin(cos(x + y))")-1.48235</f>
        <v>5.0196270756377448E-3</v>
      </c>
    </row>
    <row r="707" spans="1:16" x14ac:dyDescent="0.3">
      <c r="A707">
        <v>677</v>
      </c>
      <c r="B707" cm="1">
        <f t="array" ref="B707" xml:space="preserve"> mc(100, 0, 4, 1, 2, "x^2+y^2")-92/3</f>
        <v>3.566560824498719</v>
      </c>
      <c r="C707" cm="1">
        <f t="array" ref="C707" xml:space="preserve"> mc(500, 0, 4, 1, 2, "x^2+y^2")-92/3</f>
        <v>1.6575091830958222</v>
      </c>
      <c r="D707" cm="1">
        <f t="array" ref="D707" xml:space="preserve"> mc(1000, 0, 4, 1, 2, "x^2+y^2")-92/3</f>
        <v>-0.57824717992303931</v>
      </c>
      <c r="F707" cm="1">
        <f t="array" ref="F707" xml:space="preserve"> ( mc(100, 3, 4, -1, 1, "EXP(x * sin(y))") ) - 7.39981</f>
        <v>-0.73881896718219853</v>
      </c>
      <c r="G707" cm="1">
        <f t="array" ref="G707" xml:space="preserve"> ( mc(500, 3, 4, -1, 1, "EXP(x * sin(y))") ) - 7.39981</f>
        <v>1.4039014402245655</v>
      </c>
      <c r="H707" cm="1">
        <f t="array" ref="H707" xml:space="preserve"> ( mc(1000, 3, 4, -1, 1, "EXP(x * sin(y))") ) - 7.39981</f>
        <v>-0.27283459552841194</v>
      </c>
      <c r="J707" cm="1">
        <f t="array" ref="J707" xml:space="preserve"> mc(100, -PI()/2,0,-1, 1, "ln(EXP(x * y))")</f>
        <v>3.9203487706687044E-2</v>
      </c>
      <c r="K707" cm="1">
        <f t="array" ref="K707" xml:space="preserve"> mc(500, -PI()/2,0,-1, 1, "ln(EXP(x * y))")</f>
        <v>2.7929861351994871E-2</v>
      </c>
      <c r="L707" cm="1">
        <f t="array" ref="L707" xml:space="preserve"> mc(1000, -PI()/2,0,-1, 1, "ln(EXP(x * y))")</f>
        <v>5.769402210354746E-2</v>
      </c>
      <c r="N707" cm="1">
        <f t="array" ref="N707" xml:space="preserve"> mc(100, -PI()/2,PI()/2, 0, 1, "sin(cos(x + y))")-1.48235</f>
        <v>-0.30266618933399525</v>
      </c>
      <c r="O707" cm="1">
        <f t="array" ref="O707" xml:space="preserve"> mc(500, -PI()/2,PI()/2, 0, 1, "sin(cos(x + y))")-1.48235</f>
        <v>2.0565965668445818E-2</v>
      </c>
      <c r="P707" cm="1">
        <f t="array" ref="P707" xml:space="preserve"> mc(1000, -PI()/2,PI()/2, 0, 1, "sin(cos(x + y))")-1.48235</f>
        <v>5.1468710658911343E-2</v>
      </c>
    </row>
    <row r="708" spans="1:16" x14ac:dyDescent="0.3">
      <c r="A708">
        <v>678</v>
      </c>
      <c r="B708" cm="1">
        <f t="array" ref="B708" xml:space="preserve"> mc(100, 0, 4, 1, 2, "x^2+y^2")-92/3</f>
        <v>2.8691398795267382</v>
      </c>
      <c r="C708" cm="1">
        <f t="array" ref="C708" xml:space="preserve"> mc(500, 0, 4, 1, 2, "x^2+y^2")-92/3</f>
        <v>0.3780374361961627</v>
      </c>
      <c r="D708" cm="1">
        <f t="array" ref="D708" xml:space="preserve"> mc(1000, 0, 4, 1, 2, "x^2+y^2")-92/3</f>
        <v>-0.53024947522257548</v>
      </c>
      <c r="F708" cm="1">
        <f t="array" ref="F708" xml:space="preserve"> ( mc(100, 3, 4, -1, 1, "EXP(x * sin(y))") ) - 7.39981</f>
        <v>0.73513478965964651</v>
      </c>
      <c r="G708" cm="1">
        <f t="array" ref="G708" xml:space="preserve"> ( mc(500, 3, 4, -1, 1, "EXP(x * sin(y))") ) - 7.39981</f>
        <v>-0.1919656111924084</v>
      </c>
      <c r="H708" cm="1">
        <f t="array" ref="H708" xml:space="preserve"> ( mc(1000, 3, 4, -1, 1, "EXP(x * sin(y))") ) - 7.39981</f>
        <v>6.1837591988987306E-2</v>
      </c>
      <c r="J708" cm="1">
        <f t="array" ref="J708" xml:space="preserve"> mc(100, -PI()/2,0,-1, 1, "ln(EXP(x * y))")</f>
        <v>-0.24091792314894087</v>
      </c>
      <c r="K708" cm="1">
        <f t="array" ref="K708" xml:space="preserve"> mc(500, -PI()/2,0,-1, 1, "ln(EXP(x * y))")</f>
        <v>8.9957754620223526E-2</v>
      </c>
      <c r="L708" cm="1">
        <f t="array" ref="L708" xml:space="preserve"> mc(1000, -PI()/2,0,-1, 1, "ln(EXP(x * y))")</f>
        <v>-3.8296855093879853E-2</v>
      </c>
      <c r="N708" cm="1">
        <f t="array" ref="N708" xml:space="preserve"> mc(100, -PI()/2,PI()/2, 0, 1, "sin(cos(x + y))")-1.48235</f>
        <v>-8.2971341930236253E-2</v>
      </c>
      <c r="O708" cm="1">
        <f t="array" ref="O708" xml:space="preserve"> mc(500, -PI()/2,PI()/2, 0, 1, "sin(cos(x + y))")-1.48235</f>
        <v>2.4933163846395212E-2</v>
      </c>
      <c r="P708" cm="1">
        <f t="array" ref="P708" xml:space="preserve"> mc(1000, -PI()/2,PI()/2, 0, 1, "sin(cos(x + y))")-1.48235</f>
        <v>-1.1301218189212925E-2</v>
      </c>
    </row>
    <row r="709" spans="1:16" x14ac:dyDescent="0.3">
      <c r="A709">
        <v>679</v>
      </c>
      <c r="B709" cm="1">
        <f t="array" ref="B709" xml:space="preserve"> mc(100, 0, 4, 1, 2, "x^2+y^2")-92/3</f>
        <v>-1.7161928319125757</v>
      </c>
      <c r="C709" cm="1">
        <f t="array" ref="C709" xml:space="preserve"> mc(500, 0, 4, 1, 2, "x^2+y^2")-92/3</f>
        <v>0.96230717410850986</v>
      </c>
      <c r="D709" cm="1">
        <f t="array" ref="D709" xml:space="preserve"> mc(1000, 0, 4, 1, 2, "x^2+y^2")-92/3</f>
        <v>5.3182644734320661E-2</v>
      </c>
      <c r="F709" cm="1">
        <f t="array" ref="F709" xml:space="preserve"> ( mc(100, 3, 4, -1, 1, "EXP(x * sin(y))") ) - 7.39981</f>
        <v>0.11612876827896557</v>
      </c>
      <c r="G709" cm="1">
        <f t="array" ref="G709" xml:space="preserve"> ( mc(500, 3, 4, -1, 1, "EXP(x * sin(y))") ) - 7.39981</f>
        <v>0.44496249483043737</v>
      </c>
      <c r="H709" cm="1">
        <f t="array" ref="H709" xml:space="preserve"> ( mc(1000, 3, 4, -1, 1, "EXP(x * sin(y))") ) - 7.39981</f>
        <v>8.0315011881230802E-2</v>
      </c>
      <c r="J709" cm="1">
        <f t="array" ref="J709" xml:space="preserve"> mc(100, -PI()/2,0,-1, 1, "ln(EXP(x * y))")</f>
        <v>-0.14981185980566894</v>
      </c>
      <c r="K709" cm="1">
        <f t="array" ref="K709" xml:space="preserve"> mc(500, -PI()/2,0,-1, 1, "ln(EXP(x * y))")</f>
        <v>-5.6634445298817324E-2</v>
      </c>
      <c r="L709" cm="1">
        <f t="array" ref="L709" xml:space="preserve"> mc(1000, -PI()/2,0,-1, 1, "ln(EXP(x * y))")</f>
        <v>-7.9090982826070022E-2</v>
      </c>
      <c r="N709" cm="1">
        <f t="array" ref="N709" xml:space="preserve"> mc(100, -PI()/2,PI()/2, 0, 1, "sin(cos(x + y))")-1.48235</f>
        <v>5.8662862830913154E-2</v>
      </c>
      <c r="O709" cm="1">
        <f t="array" ref="O709" xml:space="preserve"> mc(500, -PI()/2,PI()/2, 0, 1, "sin(cos(x + y))")-1.48235</f>
        <v>7.2459160259648048E-2</v>
      </c>
      <c r="P709" cm="1">
        <f t="array" ref="P709" xml:space="preserve"> mc(1000, -PI()/2,PI()/2, 0, 1, "sin(cos(x + y))")-1.48235</f>
        <v>1.069897294844746E-2</v>
      </c>
    </row>
    <row r="710" spans="1:16" x14ac:dyDescent="0.3">
      <c r="A710">
        <v>680</v>
      </c>
      <c r="B710" cm="1">
        <f t="array" ref="B710" xml:space="preserve"> mc(100, 0, 4, 1, 2, "x^2+y^2")-92/3</f>
        <v>-0.82737093662763783</v>
      </c>
      <c r="C710" cm="1">
        <f t="array" ref="C710" xml:space="preserve"> mc(500, 0, 4, 1, 2, "x^2+y^2")-92/3</f>
        <v>0.3956535742239744</v>
      </c>
      <c r="D710" cm="1">
        <f t="array" ref="D710" xml:space="preserve"> mc(1000, 0, 4, 1, 2, "x^2+y^2")-92/3</f>
        <v>-0.83680940730553388</v>
      </c>
      <c r="F710" cm="1">
        <f t="array" ref="F710" xml:space="preserve"> ( mc(100, 3, 4, -1, 1, "EXP(x * sin(y))") ) - 7.39981</f>
        <v>-1.0617971376951383</v>
      </c>
      <c r="G710" cm="1">
        <f t="array" ref="G710" xml:space="preserve"> ( mc(500, 3, 4, -1, 1, "EXP(x * sin(y))") ) - 7.39981</f>
        <v>-0.83266977314640922</v>
      </c>
      <c r="H710" cm="1">
        <f t="array" ref="H710" xml:space="preserve"> ( mc(1000, 3, 4, -1, 1, "EXP(x * sin(y))") ) - 7.39981</f>
        <v>5.4462993458755271E-2</v>
      </c>
      <c r="J710" cm="1">
        <f t="array" ref="J710" xml:space="preserve"> mc(100, -PI()/2,0,-1, 1, "ln(EXP(x * y))")</f>
        <v>-1.6243147546090573E-3</v>
      </c>
      <c r="K710" cm="1">
        <f t="array" ref="K710" xml:space="preserve"> mc(500, -PI()/2,0,-1, 1, "ln(EXP(x * y))")</f>
        <v>-6.2118590558436111E-2</v>
      </c>
      <c r="L710" cm="1">
        <f t="array" ref="L710" xml:space="preserve"> mc(1000, -PI()/2,0,-1, 1, "ln(EXP(x * y))")</f>
        <v>6.8615561776798853E-2</v>
      </c>
      <c r="N710" cm="1">
        <f t="array" ref="N710" xml:space="preserve"> mc(100, -PI()/2,PI()/2, 0, 1, "sin(cos(x + y))")-1.48235</f>
        <v>-0.18271701406688479</v>
      </c>
      <c r="O710" cm="1">
        <f t="array" ref="O710" xml:space="preserve"> mc(500, -PI()/2,PI()/2, 0, 1, "sin(cos(x + y))")-1.48235</f>
        <v>-2.3747900638197095E-2</v>
      </c>
      <c r="P710" cm="1">
        <f t="array" ref="P710" xml:space="preserve"> mc(1000, -PI()/2,PI()/2, 0, 1, "sin(cos(x + y))")-1.48235</f>
        <v>3.7502143605233629E-2</v>
      </c>
    </row>
    <row r="711" spans="1:16" x14ac:dyDescent="0.3">
      <c r="A711">
        <v>681</v>
      </c>
      <c r="B711" cm="1">
        <f t="array" ref="B711" xml:space="preserve"> mc(100, 0, 4, 1, 2, "x^2+y^2")-92/3</f>
        <v>0.27922555477464428</v>
      </c>
      <c r="C711" cm="1">
        <f t="array" ref="C711" xml:space="preserve"> mc(500, 0, 4, 1, 2, "x^2+y^2")-92/3</f>
        <v>0.1670142214031145</v>
      </c>
      <c r="D711" cm="1">
        <f t="array" ref="D711" xml:space="preserve"> mc(1000, 0, 4, 1, 2, "x^2+y^2")-92/3</f>
        <v>1.1056412501208293</v>
      </c>
      <c r="F711" cm="1">
        <f t="array" ref="F711" xml:space="preserve"> ( mc(100, 3, 4, -1, 1, "EXP(x * sin(y))") ) - 7.39981</f>
        <v>0.78069871198672658</v>
      </c>
      <c r="G711" cm="1">
        <f t="array" ref="G711" xml:space="preserve"> ( mc(500, 3, 4, -1, 1, "EXP(x * sin(y))") ) - 7.39981</f>
        <v>0.4808501487574377</v>
      </c>
      <c r="H711" cm="1">
        <f t="array" ref="H711" xml:space="preserve"> ( mc(1000, 3, 4, -1, 1, "EXP(x * sin(y))") ) - 7.39981</f>
        <v>8.3372404832569913E-2</v>
      </c>
      <c r="J711" cm="1">
        <f t="array" ref="J711" xml:space="preserve"> mc(100, -PI()/2,0,-1, 1, "ln(EXP(x * y))")</f>
        <v>-1.0685803629256219E-2</v>
      </c>
      <c r="K711" cm="1">
        <f t="array" ref="K711" xml:space="preserve"> mc(500, -PI()/2,0,-1, 1, "ln(EXP(x * y))")</f>
        <v>-6.9363639108606115E-2</v>
      </c>
      <c r="L711" cm="1">
        <f t="array" ref="L711" xml:space="preserve"> mc(1000, -PI()/2,0,-1, 1, "ln(EXP(x * y))")</f>
        <v>-9.474398617077201E-2</v>
      </c>
      <c r="N711" cm="1">
        <f t="array" ref="N711" xml:space="preserve"> mc(100, -PI()/2,PI()/2, 0, 1, "sin(cos(x + y))")-1.48235</f>
        <v>6.2631691302413195E-2</v>
      </c>
      <c r="O711" cm="1">
        <f t="array" ref="O711" xml:space="preserve"> mc(500, -PI()/2,PI()/2, 0, 1, "sin(cos(x + y))")-1.48235</f>
        <v>-6.9595918006836621E-2</v>
      </c>
      <c r="P711" cm="1">
        <f t="array" ref="P711" xml:space="preserve"> mc(1000, -PI()/2,PI()/2, 0, 1, "sin(cos(x + y))")-1.48235</f>
        <v>8.583319438001169E-3</v>
      </c>
    </row>
    <row r="712" spans="1:16" x14ac:dyDescent="0.3">
      <c r="A712">
        <v>682</v>
      </c>
      <c r="B712" cm="1">
        <f t="array" ref="B712" xml:space="preserve"> mc(100, 0, 4, 1, 2, "x^2+y^2")-92/3</f>
        <v>0.45653494445020115</v>
      </c>
      <c r="C712" cm="1">
        <f t="array" ref="C712" xml:space="preserve"> mc(500, 0, 4, 1, 2, "x^2+y^2")-92/3</f>
        <v>1.7745777837630818</v>
      </c>
      <c r="D712" cm="1">
        <f t="array" ref="D712" xml:space="preserve"> mc(1000, 0, 4, 1, 2, "x^2+y^2")-92/3</f>
        <v>0.6885364518354784</v>
      </c>
      <c r="F712" cm="1">
        <f t="array" ref="F712" xml:space="preserve"> ( mc(100, 3, 4, -1, 1, "EXP(x * sin(y))") ) - 7.39981</f>
        <v>-1.0129155670941365</v>
      </c>
      <c r="G712" cm="1">
        <f t="array" ref="G712" xml:space="preserve"> ( mc(500, 3, 4, -1, 1, "EXP(x * sin(y))") ) - 7.39981</f>
        <v>-0.77424497110331991</v>
      </c>
      <c r="H712" cm="1">
        <f t="array" ref="H712" xml:space="preserve"> ( mc(1000, 3, 4, -1, 1, "EXP(x * sin(y))") ) - 7.39981</f>
        <v>0.17051342207268405</v>
      </c>
      <c r="J712" cm="1">
        <f t="array" ref="J712" xml:space="preserve"> mc(100, -PI()/2,0,-1, 1, "ln(EXP(x * y))")</f>
        <v>0.1232603918492256</v>
      </c>
      <c r="K712" cm="1">
        <f t="array" ref="K712" xml:space="preserve"> mc(500, -PI()/2,0,-1, 1, "ln(EXP(x * y))")</f>
        <v>-6.0105054128817281E-2</v>
      </c>
      <c r="L712" cm="1">
        <f t="array" ref="L712" xml:space="preserve"> mc(1000, -PI()/2,0,-1, 1, "ln(EXP(x * y))")</f>
        <v>2.2331479873847059E-2</v>
      </c>
      <c r="N712" cm="1">
        <f t="array" ref="N712" xml:space="preserve"> mc(100, -PI()/2,PI()/2, 0, 1, "sin(cos(x + y))")-1.48235</f>
        <v>-2.2214519061704019E-2</v>
      </c>
      <c r="O712" cm="1">
        <f t="array" ref="O712" xml:space="preserve"> mc(500, -PI()/2,PI()/2, 0, 1, "sin(cos(x + y))")-1.48235</f>
        <v>6.2695943908432028E-2</v>
      </c>
      <c r="P712" cm="1">
        <f t="array" ref="P712" xml:space="preserve"> mc(1000, -PI()/2,PI()/2, 0, 1, "sin(cos(x + y))")-1.48235</f>
        <v>-5.4973367316248911E-3</v>
      </c>
    </row>
    <row r="713" spans="1:16" x14ac:dyDescent="0.3">
      <c r="A713">
        <v>683</v>
      </c>
      <c r="B713" cm="1">
        <f t="array" ref="B713" xml:space="preserve"> mc(100, 0, 4, 1, 2, "x^2+y^2")-92/3</f>
        <v>-3.9731828853380051</v>
      </c>
      <c r="C713" cm="1">
        <f t="array" ref="C713" xml:space="preserve"> mc(500, 0, 4, 1, 2, "x^2+y^2")-92/3</f>
        <v>1.0378986502999226</v>
      </c>
      <c r="D713" cm="1">
        <f t="array" ref="D713" xml:space="preserve"> mc(1000, 0, 4, 1, 2, "x^2+y^2")-92/3</f>
        <v>0.15049508443270199</v>
      </c>
      <c r="F713" cm="1">
        <f t="array" ref="F713" xml:space="preserve"> ( mc(100, 3, 4, -1, 1, "EXP(x * sin(y))") ) - 7.39981</f>
        <v>0.9458539851669947</v>
      </c>
      <c r="G713" cm="1">
        <f t="array" ref="G713" xml:space="preserve"> ( mc(500, 3, 4, -1, 1, "EXP(x * sin(y))") ) - 7.39981</f>
        <v>0.21343674901930942</v>
      </c>
      <c r="H713" cm="1">
        <f t="array" ref="H713" xml:space="preserve"> ( mc(1000, 3, 4, -1, 1, "EXP(x * sin(y))") ) - 7.39981</f>
        <v>-0.13396792173266103</v>
      </c>
      <c r="J713" cm="1">
        <f t="array" ref="J713" xml:space="preserve"> mc(100, -PI()/2,0,-1, 1, "ln(EXP(x * y))")</f>
        <v>0.16857863815386684</v>
      </c>
      <c r="K713" cm="1">
        <f t="array" ref="K713" xml:space="preserve"> mc(500, -PI()/2,0,-1, 1, "ln(EXP(x * y))")</f>
        <v>-7.9344475613534853E-3</v>
      </c>
      <c r="L713" cm="1">
        <f t="array" ref="L713" xml:space="preserve"> mc(1000, -PI()/2,0,-1, 1, "ln(EXP(x * y))")</f>
        <v>-6.7586622689445083E-2</v>
      </c>
      <c r="N713" cm="1">
        <f t="array" ref="N713" xml:space="preserve"> mc(100, -PI()/2,PI()/2, 0, 1, "sin(cos(x + y))")-1.48235</f>
        <v>2.230516976622976E-2</v>
      </c>
      <c r="O713" cm="1">
        <f t="array" ref="O713" xml:space="preserve"> mc(500, -PI()/2,PI()/2, 0, 1, "sin(cos(x + y))")-1.48235</f>
        <v>-1.2871509066645137E-2</v>
      </c>
      <c r="P713" cm="1">
        <f t="array" ref="P713" xml:space="preserve"> mc(1000, -PI()/2,PI()/2, 0, 1, "sin(cos(x + y))")-1.48235</f>
        <v>-3.2069077050614458E-2</v>
      </c>
    </row>
    <row r="714" spans="1:16" x14ac:dyDescent="0.3">
      <c r="A714">
        <v>684</v>
      </c>
      <c r="B714" cm="1">
        <f t="array" ref="B714" xml:space="preserve"> mc(100, 0, 4, 1, 2, "x^2+y^2")-92/3</f>
        <v>-2.5075316150371414</v>
      </c>
      <c r="C714" cm="1">
        <f t="array" ref="C714" xml:space="preserve"> mc(500, 0, 4, 1, 2, "x^2+y^2")-92/3</f>
        <v>0.80677379938845561</v>
      </c>
      <c r="D714" cm="1">
        <f t="array" ref="D714" xml:space="preserve"> mc(1000, 0, 4, 1, 2, "x^2+y^2")-92/3</f>
        <v>0.30463403454980309</v>
      </c>
      <c r="F714" cm="1">
        <f t="array" ref="F714" xml:space="preserve"> ( mc(100, 3, 4, -1, 1, "EXP(x * sin(y))") ) - 7.39981</f>
        <v>-0.44066244853601244</v>
      </c>
      <c r="G714" cm="1">
        <f t="array" ref="G714" xml:space="preserve"> ( mc(500, 3, 4, -1, 1, "EXP(x * sin(y))") ) - 7.39981</f>
        <v>-0.26700412731451628</v>
      </c>
      <c r="H714" cm="1">
        <f t="array" ref="H714" xml:space="preserve"> ( mc(1000, 3, 4, -1, 1, "EXP(x * sin(y))") ) - 7.39981</f>
        <v>-6.2334540003428529E-2</v>
      </c>
      <c r="J714" cm="1">
        <f t="array" ref="J714" xml:space="preserve"> mc(100, -PI()/2,0,-1, 1, "ln(EXP(x * y))")</f>
        <v>0.16896961021885437</v>
      </c>
      <c r="K714" cm="1">
        <f t="array" ref="K714" xml:space="preserve"> mc(500, -PI()/2,0,-1, 1, "ln(EXP(x * y))")</f>
        <v>-0.11026261343088854</v>
      </c>
      <c r="L714" cm="1">
        <f t="array" ref="L714" xml:space="preserve"> mc(1000, -PI()/2,0,-1, 1, "ln(EXP(x * y))")</f>
        <v>7.8915113946123827E-2</v>
      </c>
      <c r="N714" cm="1">
        <f t="array" ref="N714" xml:space="preserve"> mc(100, -PI()/2,PI()/2, 0, 1, "sin(cos(x + y))")-1.48235</f>
        <v>8.6180165399244668E-2</v>
      </c>
      <c r="O714" cm="1">
        <f t="array" ref="O714" xml:space="preserve"> mc(500, -PI()/2,PI()/2, 0, 1, "sin(cos(x + y))")-1.48235</f>
        <v>8.213820068701172E-2</v>
      </c>
      <c r="P714" cm="1">
        <f t="array" ref="P714" xml:space="preserve"> mc(1000, -PI()/2,PI()/2, 0, 1, "sin(cos(x + y))")-1.48235</f>
        <v>-2.6975666377414775E-2</v>
      </c>
    </row>
    <row r="715" spans="1:16" x14ac:dyDescent="0.3">
      <c r="A715">
        <v>685</v>
      </c>
      <c r="B715" cm="1">
        <f t="array" ref="B715" xml:space="preserve"> mc(100, 0, 4, 1, 2, "x^2+y^2")-92/3</f>
        <v>1.9982499632300268</v>
      </c>
      <c r="C715" cm="1">
        <f t="array" ref="C715" xml:space="preserve"> mc(500, 0, 4, 1, 2, "x^2+y^2")-92/3</f>
        <v>-0.19181650578985554</v>
      </c>
      <c r="D715" cm="1">
        <f t="array" ref="D715" xml:space="preserve"> mc(1000, 0, 4, 1, 2, "x^2+y^2")-92/3</f>
        <v>-8.8897344035359538E-2</v>
      </c>
      <c r="F715" cm="1">
        <f t="array" ref="F715" xml:space="preserve"> ( mc(100, 3, 4, -1, 1, "EXP(x * sin(y))") ) - 7.39981</f>
        <v>2.0273655118463605</v>
      </c>
      <c r="G715" cm="1">
        <f t="array" ref="G715" xml:space="preserve"> ( mc(500, 3, 4, -1, 1, "EXP(x * sin(y))") ) - 7.39981</f>
        <v>3.1507538464470741E-2</v>
      </c>
      <c r="H715" cm="1">
        <f t="array" ref="H715" xml:space="preserve"> ( mc(1000, 3, 4, -1, 1, "EXP(x * sin(y))") ) - 7.39981</f>
        <v>0.46973601980324986</v>
      </c>
      <c r="J715" cm="1">
        <f t="array" ref="J715" xml:space="preserve"> mc(100, -PI()/2,0,-1, 1, "ln(EXP(x * y))")</f>
        <v>-0.10946989540944171</v>
      </c>
      <c r="K715" cm="1">
        <f t="array" ref="K715" xml:space="preserve"> mc(500, -PI()/2,0,-1, 1, "ln(EXP(x * y))")</f>
        <v>-7.7014806443646278E-2</v>
      </c>
      <c r="L715" cm="1">
        <f t="array" ref="L715" xml:space="preserve"> mc(1000, -PI()/2,0,-1, 1, "ln(EXP(x * y))")</f>
        <v>3.1568875393234795E-2</v>
      </c>
      <c r="N715" cm="1">
        <f t="array" ref="N715" xml:space="preserve"> mc(100, -PI()/2,PI()/2, 0, 1, "sin(cos(x + y))")-1.48235</f>
        <v>-8.3250990663269242E-2</v>
      </c>
      <c r="O715" cm="1">
        <f t="array" ref="O715" xml:space="preserve"> mc(500, -PI()/2,PI()/2, 0, 1, "sin(cos(x + y))")-1.48235</f>
        <v>-4.8952992467491185E-2</v>
      </c>
      <c r="P715" cm="1">
        <f t="array" ref="P715" xml:space="preserve"> mc(1000, -PI()/2,PI()/2, 0, 1, "sin(cos(x + y))")-1.48235</f>
        <v>-5.8574850123347399E-3</v>
      </c>
    </row>
    <row r="716" spans="1:16" x14ac:dyDescent="0.3">
      <c r="A716">
        <v>686</v>
      </c>
      <c r="B716" cm="1">
        <f t="array" ref="B716" xml:space="preserve"> mc(100, 0, 4, 1, 2, "x^2+y^2")-92/3</f>
        <v>1.9393645663413217</v>
      </c>
      <c r="C716" cm="1">
        <f t="array" ref="C716" xml:space="preserve"> mc(500, 0, 4, 1, 2, "x^2+y^2")-92/3</f>
        <v>-0.41659081102108786</v>
      </c>
      <c r="D716" cm="1">
        <f t="array" ref="D716" xml:space="preserve"> mc(1000, 0, 4, 1, 2, "x^2+y^2")-92/3</f>
        <v>-0.44484713665980635</v>
      </c>
      <c r="F716" cm="1">
        <f t="array" ref="F716" xml:space="preserve"> ( mc(100, 3, 4, -1, 1, "EXP(x * sin(y))") ) - 7.39981</f>
        <v>-1.8691675246789581</v>
      </c>
      <c r="G716" cm="1">
        <f t="array" ref="G716" xml:space="preserve"> ( mc(500, 3, 4, -1, 1, "EXP(x * sin(y))") ) - 7.39981</f>
        <v>6.0437304045440676E-2</v>
      </c>
      <c r="H716" cm="1">
        <f t="array" ref="H716" xml:space="preserve"> ( mc(1000, 3, 4, -1, 1, "EXP(x * sin(y))") ) - 7.39981</f>
        <v>-0.1707178042173032</v>
      </c>
      <c r="J716" cm="1">
        <f t="array" ref="J716" xml:space="preserve"> mc(100, -PI()/2,0,-1, 1, "ln(EXP(x * y))")</f>
        <v>0.16095153508747725</v>
      </c>
      <c r="K716" cm="1">
        <f t="array" ref="K716" xml:space="preserve"> mc(500, -PI()/2,0,-1, 1, "ln(EXP(x * y))")</f>
        <v>1.820313530625851E-2</v>
      </c>
      <c r="L716" cm="1">
        <f t="array" ref="L716" xml:space="preserve"> mc(1000, -PI()/2,0,-1, 1, "ln(EXP(x * y))")</f>
        <v>-0.11568993709725148</v>
      </c>
      <c r="N716" cm="1">
        <f t="array" ref="N716" xml:space="preserve"> mc(100, -PI()/2,PI()/2, 0, 1, "sin(cos(x + y))")-1.48235</f>
        <v>-6.1522793113130803E-2</v>
      </c>
      <c r="O716" cm="1">
        <f t="array" ref="O716" xml:space="preserve"> mc(500, -PI()/2,PI()/2, 0, 1, "sin(cos(x + y))")-1.48235</f>
        <v>1.5718703178175142E-2</v>
      </c>
      <c r="P716" cm="1">
        <f t="array" ref="P716" xml:space="preserve"> mc(1000, -PI()/2,PI()/2, 0, 1, "sin(cos(x + y))")-1.48235</f>
        <v>2.6028215800169008E-3</v>
      </c>
    </row>
    <row r="717" spans="1:16" x14ac:dyDescent="0.3">
      <c r="A717">
        <v>687</v>
      </c>
      <c r="B717" cm="1">
        <f t="array" ref="B717" xml:space="preserve"> mc(100, 0, 4, 1, 2, "x^2+y^2")-92/3</f>
        <v>-0.13866936388354034</v>
      </c>
      <c r="C717" cm="1">
        <f t="array" ref="C717" xml:space="preserve"> mc(500, 0, 4, 1, 2, "x^2+y^2")-92/3</f>
        <v>-0.74684729639958292</v>
      </c>
      <c r="D717" cm="1">
        <f t="array" ref="D717" xml:space="preserve"> mc(1000, 0, 4, 1, 2, "x^2+y^2")-92/3</f>
        <v>-4.7472378520129865E-2</v>
      </c>
      <c r="F717" cm="1">
        <f t="array" ref="F717" xml:space="preserve"> ( mc(100, 3, 4, -1, 1, "EXP(x * sin(y))") ) - 7.39981</f>
        <v>1.3124415730889165</v>
      </c>
      <c r="G717" cm="1">
        <f t="array" ref="G717" xml:space="preserve"> ( mc(500, 3, 4, -1, 1, "EXP(x * sin(y))") ) - 7.39981</f>
        <v>0.25563866746734831</v>
      </c>
      <c r="H717" cm="1">
        <f t="array" ref="H717" xml:space="preserve"> ( mc(1000, 3, 4, -1, 1, "EXP(x * sin(y))") ) - 7.39981</f>
        <v>-0.13777136041719906</v>
      </c>
      <c r="J717" cm="1">
        <f t="array" ref="J717" xml:space="preserve"> mc(100, -PI()/2,0,-1, 1, "ln(EXP(x * y))")</f>
        <v>1.3804496877864661E-2</v>
      </c>
      <c r="K717" cm="1">
        <f t="array" ref="K717" xml:space="preserve"> mc(500, -PI()/2,0,-1, 1, "ln(EXP(x * y))")</f>
        <v>0.10496580599939428</v>
      </c>
      <c r="L717" cm="1">
        <f t="array" ref="L717" xml:space="preserve"> mc(1000, -PI()/2,0,-1, 1, "ln(EXP(x * y))")</f>
        <v>-4.0297339325952267E-2</v>
      </c>
      <c r="N717" cm="1">
        <f t="array" ref="N717" xml:space="preserve"> mc(100, -PI()/2,PI()/2, 0, 1, "sin(cos(x + y))")-1.48235</f>
        <v>4.344238564968439E-2</v>
      </c>
      <c r="O717" cm="1">
        <f t="array" ref="O717" xml:space="preserve"> mc(500, -PI()/2,PI()/2, 0, 1, "sin(cos(x + y))")-1.48235</f>
        <v>8.3731468622310512E-2</v>
      </c>
      <c r="P717" cm="1">
        <f t="array" ref="P717" xml:space="preserve"> mc(1000, -PI()/2,PI()/2, 0, 1, "sin(cos(x + y))")-1.48235</f>
        <v>-5.3779045601947351E-2</v>
      </c>
    </row>
    <row r="718" spans="1:16" x14ac:dyDescent="0.3">
      <c r="A718">
        <v>688</v>
      </c>
      <c r="B718" cm="1">
        <f t="array" ref="B718" xml:space="preserve"> mc(100, 0, 4, 1, 2, "x^2+y^2")-92/3</f>
        <v>-9.5013007506921099E-2</v>
      </c>
      <c r="C718" cm="1">
        <f t="array" ref="C718" xml:space="preserve"> mc(500, 0, 4, 1, 2, "x^2+y^2")-92/3</f>
        <v>1.0360138878766847</v>
      </c>
      <c r="D718" cm="1">
        <f t="array" ref="D718" xml:space="preserve"> mc(1000, 0, 4, 1, 2, "x^2+y^2")-92/3</f>
        <v>0.41925239217649235</v>
      </c>
      <c r="F718" cm="1">
        <f t="array" ref="F718" xml:space="preserve"> ( mc(100, 3, 4, -1, 1, "EXP(x * sin(y))") ) - 7.39981</f>
        <v>0.54267229487870772</v>
      </c>
      <c r="G718" cm="1">
        <f t="array" ref="G718" xml:space="preserve"> ( mc(500, 3, 4, -1, 1, "EXP(x * sin(y))") ) - 7.39981</f>
        <v>-0.2823557360545168</v>
      </c>
      <c r="H718" cm="1">
        <f t="array" ref="H718" xml:space="preserve"> ( mc(1000, 3, 4, -1, 1, "EXP(x * sin(y))") ) - 7.39981</f>
        <v>-1.9105595390157326E-2</v>
      </c>
      <c r="J718" cm="1">
        <f t="array" ref="J718" xml:space="preserve"> mc(100, -PI()/2,0,-1, 1, "ln(EXP(x * y))")</f>
        <v>0.38405089848202911</v>
      </c>
      <c r="K718" cm="1">
        <f t="array" ref="K718" xml:space="preserve"> mc(500, -PI()/2,0,-1, 1, "ln(EXP(x * y))")</f>
        <v>0.11136271919716248</v>
      </c>
      <c r="L718" cm="1">
        <f t="array" ref="L718" xml:space="preserve"> mc(1000, -PI()/2,0,-1, 1, "ln(EXP(x * y))")</f>
        <v>3.0028918787401125E-2</v>
      </c>
      <c r="N718" cm="1">
        <f t="array" ref="N718" xml:space="preserve"> mc(100, -PI()/2,PI()/2, 0, 1, "sin(cos(x + y))")-1.48235</f>
        <v>-0.16544180071293169</v>
      </c>
      <c r="O718" cm="1">
        <f t="array" ref="O718" xml:space="preserve"> mc(500, -PI()/2,PI()/2, 0, 1, "sin(cos(x + y))")-1.48235</f>
        <v>-8.8094118340972694E-2</v>
      </c>
      <c r="P718" cm="1">
        <f t="array" ref="P718" xml:space="preserve"> mc(1000, -PI()/2,PI()/2, 0, 1, "sin(cos(x + y))")-1.48235</f>
        <v>2.0824927923420056E-2</v>
      </c>
    </row>
    <row r="719" spans="1:16" x14ac:dyDescent="0.3">
      <c r="A719">
        <v>689</v>
      </c>
      <c r="B719" cm="1">
        <f t="array" ref="B719" xml:space="preserve"> mc(100, 0, 4, 1, 2, "x^2+y^2")-92/3</f>
        <v>-1.3506240828903309</v>
      </c>
      <c r="C719" cm="1">
        <f t="array" ref="C719" xml:space="preserve"> mc(500, 0, 4, 1, 2, "x^2+y^2")-92/3</f>
        <v>0.44825148186772878</v>
      </c>
      <c r="D719" cm="1">
        <f t="array" ref="D719" xml:space="preserve"> mc(1000, 0, 4, 1, 2, "x^2+y^2")-92/3</f>
        <v>1.0119180705345272</v>
      </c>
      <c r="F719" cm="1">
        <f t="array" ref="F719" xml:space="preserve"> ( mc(100, 3, 4, -1, 1, "EXP(x * sin(y))") ) - 7.39981</f>
        <v>-0.47528526454579456</v>
      </c>
      <c r="G719" cm="1">
        <f t="array" ref="G719" xml:space="preserve"> ( mc(500, 3, 4, -1, 1, "EXP(x * sin(y))") ) - 7.39981</f>
        <v>0.90903483255360484</v>
      </c>
      <c r="H719" cm="1">
        <f t="array" ref="H719" xml:space="preserve"> ( mc(1000, 3, 4, -1, 1, "EXP(x * sin(y))") ) - 7.39981</f>
        <v>0.1745072033595223</v>
      </c>
      <c r="J719" cm="1">
        <f t="array" ref="J719" xml:space="preserve"> mc(100, -PI()/2,0,-1, 1, "ln(EXP(x * y))")</f>
        <v>0.19220249451555058</v>
      </c>
      <c r="K719" cm="1">
        <f t="array" ref="K719" xml:space="preserve"> mc(500, -PI()/2,0,-1, 1, "ln(EXP(x * y))")</f>
        <v>-0.16280202916280809</v>
      </c>
      <c r="L719" cm="1">
        <f t="array" ref="L719" xml:space="preserve"> mc(1000, -PI()/2,0,-1, 1, "ln(EXP(x * y))")</f>
        <v>-0.13589303216134682</v>
      </c>
      <c r="N719" cm="1">
        <f t="array" ref="N719" xml:space="preserve"> mc(100, -PI()/2,PI()/2, 0, 1, "sin(cos(x + y))")-1.48235</f>
        <v>0.13888330125611681</v>
      </c>
      <c r="O719" cm="1">
        <f t="array" ref="O719" xml:space="preserve"> mc(500, -PI()/2,PI()/2, 0, 1, "sin(cos(x + y))")-1.48235</f>
        <v>5.3993958298319544E-3</v>
      </c>
      <c r="P719" cm="1">
        <f t="array" ref="P719" xml:space="preserve"> mc(1000, -PI()/2,PI()/2, 0, 1, "sin(cos(x + y))")-1.48235</f>
        <v>-5.3672238094568225E-2</v>
      </c>
    </row>
    <row r="720" spans="1:16" x14ac:dyDescent="0.3">
      <c r="A720">
        <v>690</v>
      </c>
      <c r="B720" cm="1">
        <f t="array" ref="B720" xml:space="preserve"> mc(100, 0, 4, 1, 2, "x^2+y^2")-92/3</f>
        <v>-0.20403768459823723</v>
      </c>
      <c r="C720" cm="1">
        <f t="array" ref="C720" xml:space="preserve"> mc(500, 0, 4, 1, 2, "x^2+y^2")-92/3</f>
        <v>0.23026716186582163</v>
      </c>
      <c r="D720" cm="1">
        <f t="array" ref="D720" xml:space="preserve"> mc(1000, 0, 4, 1, 2, "x^2+y^2")-92/3</f>
        <v>2.1234481910880731E-2</v>
      </c>
      <c r="F720" cm="1">
        <f t="array" ref="F720" xml:space="preserve"> ( mc(100, 3, 4, -1, 1, "EXP(x * sin(y))") ) - 7.39981</f>
        <v>1.2774373233950769</v>
      </c>
      <c r="G720" cm="1">
        <f t="array" ref="G720" xml:space="preserve"> ( mc(500, 3, 4, -1, 1, "EXP(x * sin(y))") ) - 7.39981</f>
        <v>-0.31184753741095417</v>
      </c>
      <c r="H720" cm="1">
        <f t="array" ref="H720" xml:space="preserve"> ( mc(1000, 3, 4, -1, 1, "EXP(x * sin(y))") ) - 7.39981</f>
        <v>4.7280289849984669E-3</v>
      </c>
      <c r="J720" cm="1">
        <f t="array" ref="J720" xml:space="preserve"> mc(100, -PI()/2,0,-1, 1, "ln(EXP(x * y))")</f>
        <v>-9.663028518043297E-2</v>
      </c>
      <c r="K720" cm="1">
        <f t="array" ref="K720" xml:space="preserve"> mc(500, -PI()/2,0,-1, 1, "ln(EXP(x * y))")</f>
        <v>-0.14960412697416711</v>
      </c>
      <c r="L720" cm="1">
        <f t="array" ref="L720" xml:space="preserve"> mc(1000, -PI()/2,0,-1, 1, "ln(EXP(x * y))")</f>
        <v>8.9390794043848698E-2</v>
      </c>
      <c r="N720" cm="1">
        <f t="array" ref="N720" xml:space="preserve"> mc(100, -PI()/2,PI()/2, 0, 1, "sin(cos(x + y))")-1.48235</f>
        <v>5.4782603880617176E-2</v>
      </c>
      <c r="O720" cm="1">
        <f t="array" ref="O720" xml:space="preserve"> mc(500, -PI()/2,PI()/2, 0, 1, "sin(cos(x + y))")-1.48235</f>
        <v>6.5454794356029522E-2</v>
      </c>
      <c r="P720" cm="1">
        <f t="array" ref="P720" xml:space="preserve"> mc(1000, -PI()/2,PI()/2, 0, 1, "sin(cos(x + y))")-1.48235</f>
        <v>3.9095528587127726E-2</v>
      </c>
    </row>
    <row r="721" spans="1:16" x14ac:dyDescent="0.3">
      <c r="A721">
        <v>691</v>
      </c>
      <c r="B721" cm="1">
        <f t="array" ref="B721" xml:space="preserve"> mc(100, 0, 4, 1, 2, "x^2+y^2")-92/3</f>
        <v>1.1150932638889444</v>
      </c>
      <c r="C721" cm="1">
        <f t="array" ref="C721" xml:space="preserve"> mc(500, 0, 4, 1, 2, "x^2+y^2")-92/3</f>
        <v>0.89187297858042669</v>
      </c>
      <c r="D721" cm="1">
        <f t="array" ref="D721" xml:space="preserve"> mc(1000, 0, 4, 1, 2, "x^2+y^2")-92/3</f>
        <v>-0.24688039153352648</v>
      </c>
      <c r="F721" cm="1">
        <f t="array" ref="F721" xml:space="preserve"> ( mc(100, 3, 4, -1, 1, "EXP(x * sin(y))") ) - 7.39981</f>
        <v>0.92961494839410896</v>
      </c>
      <c r="G721" cm="1">
        <f t="array" ref="G721" xml:space="preserve"> ( mc(500, 3, 4, -1, 1, "EXP(x * sin(y))") ) - 7.39981</f>
        <v>-0.37940809702297695</v>
      </c>
      <c r="H721" cm="1">
        <f t="array" ref="H721" xml:space="preserve"> ( mc(1000, 3, 4, -1, 1, "EXP(x * sin(y))") ) - 7.39981</f>
        <v>0.45121795037104206</v>
      </c>
      <c r="J721" cm="1">
        <f t="array" ref="J721" xml:space="preserve"> mc(100, -PI()/2,0,-1, 1, "ln(EXP(x * y))")</f>
        <v>-0.14115668199491485</v>
      </c>
      <c r="K721" cm="1">
        <f t="array" ref="K721" xml:space="preserve"> mc(500, -PI()/2,0,-1, 1, "ln(EXP(x * y))")</f>
        <v>-1.4181205896022574E-2</v>
      </c>
      <c r="L721" cm="1">
        <f t="array" ref="L721" xml:space="preserve"> mc(1000, -PI()/2,0,-1, 1, "ln(EXP(x * y))")</f>
        <v>-3.5711759215684438E-2</v>
      </c>
      <c r="N721" cm="1">
        <f t="array" ref="N721" xml:space="preserve"> mc(100, -PI()/2,PI()/2, 0, 1, "sin(cos(x + y))")-1.48235</f>
        <v>-6.5300599277020144E-2</v>
      </c>
      <c r="O721" cm="1">
        <f t="array" ref="O721" xml:space="preserve"> mc(500, -PI()/2,PI()/2, 0, 1, "sin(cos(x + y))")-1.48235</f>
        <v>-7.1636227776658679E-2</v>
      </c>
      <c r="P721" cm="1">
        <f t="array" ref="P721" xml:space="preserve"> mc(1000, -PI()/2,PI()/2, 0, 1, "sin(cos(x + y))")-1.48235</f>
        <v>9.0926590556799081E-2</v>
      </c>
    </row>
    <row r="722" spans="1:16" x14ac:dyDescent="0.3">
      <c r="A722">
        <v>692</v>
      </c>
      <c r="B722" cm="1">
        <f t="array" ref="B722" xml:space="preserve"> mc(100, 0, 4, 1, 2, "x^2+y^2")-92/3</f>
        <v>1.2598757536025857</v>
      </c>
      <c r="C722" cm="1">
        <f t="array" ref="C722" xml:space="preserve"> mc(500, 0, 4, 1, 2, "x^2+y^2")-92/3</f>
        <v>-0.42066284908278817</v>
      </c>
      <c r="D722" cm="1">
        <f t="array" ref="D722" xml:space="preserve"> mc(1000, 0, 4, 1, 2, "x^2+y^2")-92/3</f>
        <v>-7.5288262933618455E-2</v>
      </c>
      <c r="F722" cm="1">
        <f t="array" ref="F722" xml:space="preserve"> ( mc(100, 3, 4, -1, 1, "EXP(x * sin(y))") ) - 7.39981</f>
        <v>-0.25831068498428689</v>
      </c>
      <c r="G722" cm="1">
        <f t="array" ref="G722" xml:space="preserve"> ( mc(500, 3, 4, -1, 1, "EXP(x * sin(y))") ) - 7.39981</f>
        <v>-0.39188203146683875</v>
      </c>
      <c r="H722" cm="1">
        <f t="array" ref="H722" xml:space="preserve"> ( mc(1000, 3, 4, -1, 1, "EXP(x * sin(y))") ) - 7.39981</f>
        <v>0.13164860569707315</v>
      </c>
      <c r="J722" cm="1">
        <f t="array" ref="J722" xml:space="preserve"> mc(100, -PI()/2,0,-1, 1, "ln(EXP(x * y))")</f>
        <v>-6.3582794660092229E-2</v>
      </c>
      <c r="K722" cm="1">
        <f t="array" ref="K722" xml:space="preserve"> mc(500, -PI()/2,0,-1, 1, "ln(EXP(x * y))")</f>
        <v>-6.0388266547434066E-2</v>
      </c>
      <c r="L722" cm="1">
        <f t="array" ref="L722" xml:space="preserve"> mc(1000, -PI()/2,0,-1, 1, "ln(EXP(x * y))")</f>
        <v>2.6827633159470968E-2</v>
      </c>
      <c r="N722" cm="1">
        <f t="array" ref="N722" xml:space="preserve"> mc(100, -PI()/2,PI()/2, 0, 1, "sin(cos(x + y))")-1.48235</f>
        <v>-0.10379611309983261</v>
      </c>
      <c r="O722" cm="1">
        <f t="array" ref="O722" xml:space="preserve"> mc(500, -PI()/2,PI()/2, 0, 1, "sin(cos(x + y))")-1.48235</f>
        <v>-1.8488321847724309E-2</v>
      </c>
      <c r="P722" cm="1">
        <f t="array" ref="P722" xml:space="preserve"> mc(1000, -PI()/2,PI()/2, 0, 1, "sin(cos(x + y))")-1.48235</f>
        <v>-6.6346691382342948E-2</v>
      </c>
    </row>
    <row r="723" spans="1:16" x14ac:dyDescent="0.3">
      <c r="A723">
        <v>693</v>
      </c>
      <c r="B723" cm="1">
        <f t="array" ref="B723" xml:space="preserve"> mc(100, 0, 4, 1, 2, "x^2+y^2")-92/3</f>
        <v>-3.5214160450547034</v>
      </c>
      <c r="C723" cm="1">
        <f t="array" ref="C723" xml:space="preserve"> mc(500, 0, 4, 1, 2, "x^2+y^2")-92/3</f>
        <v>-1.3013565222687156</v>
      </c>
      <c r="D723" cm="1">
        <f t="array" ref="D723" xml:space="preserve"> mc(1000, 0, 4, 1, 2, "x^2+y^2")-92/3</f>
        <v>-0.35708946594528967</v>
      </c>
      <c r="F723" cm="1">
        <f t="array" ref="F723" xml:space="preserve"> ( mc(100, 3, 4, -1, 1, "EXP(x * sin(y))") ) - 7.39981</f>
        <v>0.61496538855788785</v>
      </c>
      <c r="G723" cm="1">
        <f t="array" ref="G723" xml:space="preserve"> ( mc(500, 3, 4, -1, 1, "EXP(x * sin(y))") ) - 7.39981</f>
        <v>-6.8199053292019585E-3</v>
      </c>
      <c r="H723" cm="1">
        <f t="array" ref="H723" xml:space="preserve"> ( mc(1000, 3, 4, -1, 1, "EXP(x * sin(y))") ) - 7.39981</f>
        <v>-0.13412255967660069</v>
      </c>
      <c r="J723" cm="1">
        <f t="array" ref="J723" xml:space="preserve"> mc(100, -PI()/2,0,-1, 1, "ln(EXP(x * y))")</f>
        <v>-0.11086586177236885</v>
      </c>
      <c r="K723" cm="1">
        <f t="array" ref="K723" xml:space="preserve"> mc(500, -PI()/2,0,-1, 1, "ln(EXP(x * y))")</f>
        <v>-5.2876930614272434E-2</v>
      </c>
      <c r="L723" cm="1">
        <f t="array" ref="L723" xml:space="preserve"> mc(1000, -PI()/2,0,-1, 1, "ln(EXP(x * y))")</f>
        <v>-2.2839099378623356E-2</v>
      </c>
      <c r="N723" cm="1">
        <f t="array" ref="N723" xml:space="preserve"> mc(100, -PI()/2,PI()/2, 0, 1, "sin(cos(x + y))")-1.48235</f>
        <v>3.5247976305192719E-2</v>
      </c>
      <c r="O723" cm="1">
        <f t="array" ref="O723" xml:space="preserve"> mc(500, -PI()/2,PI()/2, 0, 1, "sin(cos(x + y))")-1.48235</f>
        <v>4.3532165140446999E-2</v>
      </c>
      <c r="P723" cm="1">
        <f t="array" ref="P723" xml:space="preserve"> mc(1000, -PI()/2,PI()/2, 0, 1, "sin(cos(x + y))")-1.48235</f>
        <v>9.4729451185591174E-3</v>
      </c>
    </row>
    <row r="724" spans="1:16" x14ac:dyDescent="0.3">
      <c r="A724">
        <v>694</v>
      </c>
      <c r="B724" cm="1">
        <f t="array" ref="B724" xml:space="preserve"> mc(100, 0, 4, 1, 2, "x^2+y^2")-92/3</f>
        <v>0.25003653003997073</v>
      </c>
      <c r="C724" cm="1">
        <f t="array" ref="C724" xml:space="preserve"> mc(500, 0, 4, 1, 2, "x^2+y^2")-92/3</f>
        <v>0.50994350500311114</v>
      </c>
      <c r="D724" cm="1">
        <f t="array" ref="D724" xml:space="preserve"> mc(1000, 0, 4, 1, 2, "x^2+y^2")-92/3</f>
        <v>0.30241819223395794</v>
      </c>
      <c r="F724" cm="1">
        <f t="array" ref="F724" xml:space="preserve"> ( mc(100, 3, 4, -1, 1, "EXP(x * sin(y))") ) - 7.39981</f>
        <v>0.77958901396748459</v>
      </c>
      <c r="G724" cm="1">
        <f t="array" ref="G724" xml:space="preserve"> ( mc(500, 3, 4, -1, 1, "EXP(x * sin(y))") ) - 7.39981</f>
        <v>-0.6246154793207026</v>
      </c>
      <c r="H724" cm="1">
        <f t="array" ref="H724" xml:space="preserve"> ( mc(1000, 3, 4, -1, 1, "EXP(x * sin(y))") ) - 7.39981</f>
        <v>0.50741503787619102</v>
      </c>
      <c r="J724" cm="1">
        <f t="array" ref="J724" xml:space="preserve"> mc(100, -PI()/2,0,-1, 1, "ln(EXP(x * y))")</f>
        <v>-0.13417599543131301</v>
      </c>
      <c r="K724" cm="1">
        <f t="array" ref="K724" xml:space="preserve"> mc(500, -PI()/2,0,-1, 1, "ln(EXP(x * y))")</f>
        <v>-1.855308305051746E-2</v>
      </c>
      <c r="L724" cm="1">
        <f t="array" ref="L724" xml:space="preserve"> mc(1000, -PI()/2,0,-1, 1, "ln(EXP(x * y))")</f>
        <v>-1.3112509819580334E-2</v>
      </c>
      <c r="N724" cm="1">
        <f t="array" ref="N724" xml:space="preserve"> mc(100, -PI()/2,PI()/2, 0, 1, "sin(cos(x + y))")-1.48235</f>
        <v>2.2696429906020166E-2</v>
      </c>
      <c r="O724" cm="1">
        <f t="array" ref="O724" xml:space="preserve"> mc(500, -PI()/2,PI()/2, 0, 1, "sin(cos(x + y))")-1.48235</f>
        <v>-0.10335582470620408</v>
      </c>
      <c r="P724" cm="1">
        <f t="array" ref="P724" xml:space="preserve"> mc(1000, -PI()/2,PI()/2, 0, 1, "sin(cos(x + y))")-1.48235</f>
        <v>-4.0643964899181428E-2</v>
      </c>
    </row>
    <row r="725" spans="1:16" x14ac:dyDescent="0.3">
      <c r="A725">
        <v>695</v>
      </c>
      <c r="B725" cm="1">
        <f t="array" ref="B725" xml:space="preserve"> mc(100, 0, 4, 1, 2, "x^2+y^2")-92/3</f>
        <v>1.2884094543651408</v>
      </c>
      <c r="C725" cm="1">
        <f t="array" ref="C725" xml:space="preserve"> mc(500, 0, 4, 1, 2, "x^2+y^2")-92/3</f>
        <v>-0.81407800986018231</v>
      </c>
      <c r="D725" cm="1">
        <f t="array" ref="D725" xml:space="preserve"> mc(1000, 0, 4, 1, 2, "x^2+y^2")-92/3</f>
        <v>1.3026136711368039</v>
      </c>
      <c r="F725" cm="1">
        <f t="array" ref="F725" xml:space="preserve"> ( mc(100, 3, 4, -1, 1, "EXP(x * sin(y))") ) - 7.39981</f>
        <v>-0.145253731493586</v>
      </c>
      <c r="G725" cm="1">
        <f t="array" ref="G725" xml:space="preserve"> ( mc(500, 3, 4, -1, 1, "EXP(x * sin(y))") ) - 7.39981</f>
        <v>-0.76204423305568181</v>
      </c>
      <c r="H725" cm="1">
        <f t="array" ref="H725" xml:space="preserve"> ( mc(1000, 3, 4, -1, 1, "EXP(x * sin(y))") ) - 7.39981</f>
        <v>-6.4705099062324578E-2</v>
      </c>
      <c r="J725" cm="1">
        <f t="array" ref="J725" xml:space="preserve"> mc(100, -PI()/2,0,-1, 1, "ln(EXP(x * y))")</f>
        <v>-8.6893376540630007E-2</v>
      </c>
      <c r="K725" cm="1">
        <f t="array" ref="K725" xml:space="preserve"> mc(500, -PI()/2,0,-1, 1, "ln(EXP(x * y))")</f>
        <v>-6.1661534382301524E-3</v>
      </c>
      <c r="L725" cm="1">
        <f t="array" ref="L725" xml:space="preserve"> mc(1000, -PI()/2,0,-1, 1, "ln(EXP(x * y))")</f>
        <v>-1.0981470019964345E-3</v>
      </c>
      <c r="N725" cm="1">
        <f t="array" ref="N725" xml:space="preserve"> mc(100, -PI()/2,PI()/2, 0, 1, "sin(cos(x + y))")-1.48235</f>
        <v>-0.12989237149297939</v>
      </c>
      <c r="O725" cm="1">
        <f t="array" ref="O725" xml:space="preserve"> mc(500, -PI()/2,PI()/2, 0, 1, "sin(cos(x + y))")-1.48235</f>
        <v>1.7346164723885948E-4</v>
      </c>
      <c r="P725" cm="1">
        <f t="array" ref="P725" xml:space="preserve"> mc(1000, -PI()/2,PI()/2, 0, 1, "sin(cos(x + y))")-1.48235</f>
        <v>1.1644343481612029E-2</v>
      </c>
    </row>
    <row r="726" spans="1:16" x14ac:dyDescent="0.3">
      <c r="A726">
        <v>696</v>
      </c>
      <c r="B726" cm="1">
        <f t="array" ref="B726" xml:space="preserve"> mc(100, 0, 4, 1, 2, "x^2+y^2")-92/3</f>
        <v>2.7489562493038768</v>
      </c>
      <c r="C726" cm="1">
        <f t="array" ref="C726" xml:space="preserve"> mc(500, 0, 4, 1, 2, "x^2+y^2")-92/3</f>
        <v>-0.37944993463663224</v>
      </c>
      <c r="D726" cm="1">
        <f t="array" ref="D726" xml:space="preserve"> mc(1000, 0, 4, 1, 2, "x^2+y^2")-92/3</f>
        <v>0.52152315902541702</v>
      </c>
      <c r="F726" cm="1">
        <f t="array" ref="F726" xml:space="preserve"> ( mc(100, 3, 4, -1, 1, "EXP(x * sin(y))") ) - 7.39981</f>
        <v>0.91770741603048123</v>
      </c>
      <c r="G726" cm="1">
        <f t="array" ref="G726" xml:space="preserve"> ( mc(500, 3, 4, -1, 1, "EXP(x * sin(y))") ) - 7.39981</f>
        <v>-0.60108734007484976</v>
      </c>
      <c r="H726" cm="1">
        <f t="array" ref="H726" xml:space="preserve"> ( mc(1000, 3, 4, -1, 1, "EXP(x * sin(y))") ) - 7.39981</f>
        <v>-0.4995258142723733</v>
      </c>
      <c r="J726" cm="1">
        <f t="array" ref="J726" xml:space="preserve"> mc(100, -PI()/2,0,-1, 1, "ln(EXP(x * y))")</f>
        <v>7.9039396816920869E-3</v>
      </c>
      <c r="K726" cm="1">
        <f t="array" ref="K726" xml:space="preserve"> mc(500, -PI()/2,0,-1, 1, "ln(EXP(x * y))")</f>
        <v>-1.4224461435707087E-2</v>
      </c>
      <c r="L726" cm="1">
        <f t="array" ref="L726" xml:space="preserve"> mc(1000, -PI()/2,0,-1, 1, "ln(EXP(x * y))")</f>
        <v>3.7098131014800784E-3</v>
      </c>
      <c r="N726" cm="1">
        <f t="array" ref="N726" xml:space="preserve"> mc(100, -PI()/2,PI()/2, 0, 1, "sin(cos(x + y))")-1.48235</f>
        <v>2.657038988409921E-2</v>
      </c>
      <c r="O726" cm="1">
        <f t="array" ref="O726" xml:space="preserve"> mc(500, -PI()/2,PI()/2, 0, 1, "sin(cos(x + y))")-1.48235</f>
        <v>-6.0052823383260234E-2</v>
      </c>
      <c r="P726" cm="1">
        <f t="array" ref="P726" xml:space="preserve"> mc(1000, -PI()/2,PI()/2, 0, 1, "sin(cos(x + y))")-1.48235</f>
        <v>2.3735864395998174E-2</v>
      </c>
    </row>
    <row r="727" spans="1:16" x14ac:dyDescent="0.3">
      <c r="A727">
        <v>697</v>
      </c>
      <c r="B727" cm="1">
        <f t="array" ref="B727" xml:space="preserve"> mc(100, 0, 4, 1, 2, "x^2+y^2")-92/3</f>
        <v>1.891075856228003</v>
      </c>
      <c r="C727" cm="1">
        <f t="array" ref="C727" xml:space="preserve"> mc(500, 0, 4, 1, 2, "x^2+y^2")-92/3</f>
        <v>0.71997648228609989</v>
      </c>
      <c r="D727" cm="1">
        <f t="array" ref="D727" xml:space="preserve"> mc(1000, 0, 4, 1, 2, "x^2+y^2")-92/3</f>
        <v>-7.791268392348627E-2</v>
      </c>
      <c r="F727" cm="1">
        <f t="array" ref="F727" xml:space="preserve"> ( mc(100, 3, 4, -1, 1, "EXP(x * sin(y))") ) - 7.39981</f>
        <v>1.2692608249700523</v>
      </c>
      <c r="G727" cm="1">
        <f t="array" ref="G727" xml:space="preserve"> ( mc(500, 3, 4, -1, 1, "EXP(x * sin(y))") ) - 7.39981</f>
        <v>-1.0877656915707625</v>
      </c>
      <c r="H727" cm="1">
        <f t="array" ref="H727" xml:space="preserve"> ( mc(1000, 3, 4, -1, 1, "EXP(x * sin(y))") ) - 7.39981</f>
        <v>-7.1025335121735367E-2</v>
      </c>
      <c r="J727" cm="1">
        <f t="array" ref="J727" xml:space="preserve"> mc(100, -PI()/2,0,-1, 1, "ln(EXP(x * y))")</f>
        <v>-5.1447205116748655E-2</v>
      </c>
      <c r="K727" cm="1">
        <f t="array" ref="K727" xml:space="preserve"> mc(500, -PI()/2,0,-1, 1, "ln(EXP(x * y))")</f>
        <v>-9.6828970686436547E-2</v>
      </c>
      <c r="L727" cm="1">
        <f t="array" ref="L727" xml:space="preserve"> mc(1000, -PI()/2,0,-1, 1, "ln(EXP(x * y))")</f>
        <v>4.153808168165482E-2</v>
      </c>
      <c r="N727" cm="1">
        <f t="array" ref="N727" xml:space="preserve"> mc(100, -PI()/2,PI()/2, 0, 1, "sin(cos(x + y))")-1.48235</f>
        <v>0.12465293298305946</v>
      </c>
      <c r="O727" cm="1">
        <f t="array" ref="O727" xml:space="preserve"> mc(500, -PI()/2,PI()/2, 0, 1, "sin(cos(x + y))")-1.48235</f>
        <v>-3.9220171427591488E-2</v>
      </c>
      <c r="P727" cm="1">
        <f t="array" ref="P727" xml:space="preserve"> mc(1000, -PI()/2,PI()/2, 0, 1, "sin(cos(x + y))")-1.48235</f>
        <v>-1.8632892863273964E-2</v>
      </c>
    </row>
    <row r="728" spans="1:16" x14ac:dyDescent="0.3">
      <c r="A728">
        <v>698</v>
      </c>
      <c r="B728" cm="1">
        <f t="array" ref="B728" xml:space="preserve"> mc(100, 0, 4, 1, 2, "x^2+y^2")-92/3</f>
        <v>2.4650624569142927</v>
      </c>
      <c r="C728" cm="1">
        <f t="array" ref="C728" xml:space="preserve"> mc(500, 0, 4, 1, 2, "x^2+y^2")-92/3</f>
        <v>-9.3229678103526226E-2</v>
      </c>
      <c r="D728" cm="1">
        <f t="array" ref="D728" xml:space="preserve"> mc(1000, 0, 4, 1, 2, "x^2+y^2")-92/3</f>
        <v>0.14904738889957514</v>
      </c>
      <c r="F728" cm="1">
        <f t="array" ref="F728" xml:space="preserve"> ( mc(100, 3, 4, -1, 1, "EXP(x * sin(y))") ) - 7.39981</f>
        <v>0.52203321307115047</v>
      </c>
      <c r="G728" cm="1">
        <f t="array" ref="G728" xml:space="preserve"> ( mc(500, 3, 4, -1, 1, "EXP(x * sin(y))") ) - 7.39981</f>
        <v>5.6976909173608092E-2</v>
      </c>
      <c r="H728" cm="1">
        <f t="array" ref="H728" xml:space="preserve"> ( mc(1000, 3, 4, -1, 1, "EXP(x * sin(y))") ) - 7.39981</f>
        <v>0.52740153455764016</v>
      </c>
      <c r="J728" cm="1">
        <f t="array" ref="J728" xml:space="preserve"> mc(100, -PI()/2,0,-1, 1, "ln(EXP(x * y))")</f>
        <v>-6.1501679449654803E-2</v>
      </c>
      <c r="K728" cm="1">
        <f t="array" ref="K728" xml:space="preserve"> mc(500, -PI()/2,0,-1, 1, "ln(EXP(x * y))")</f>
        <v>-1.0513612215810307E-3</v>
      </c>
      <c r="L728" cm="1">
        <f t="array" ref="L728" xml:space="preserve"> mc(1000, -PI()/2,0,-1, 1, "ln(EXP(x * y))")</f>
        <v>-6.1005212269217027E-2</v>
      </c>
      <c r="N728" cm="1">
        <f t="array" ref="N728" xml:space="preserve"> mc(100, -PI()/2,PI()/2, 0, 1, "sin(cos(x + y))")-1.48235</f>
        <v>0.10697954216030392</v>
      </c>
      <c r="O728" cm="1">
        <f t="array" ref="O728" xml:space="preserve"> mc(500, -PI()/2,PI()/2, 0, 1, "sin(cos(x + y))")-1.48235</f>
        <v>4.8678638940164332E-2</v>
      </c>
      <c r="P728" cm="1">
        <f t="array" ref="P728" xml:space="preserve"> mc(1000, -PI()/2,PI()/2, 0, 1, "sin(cos(x + y))")-1.48235</f>
        <v>4.3851139164615027E-2</v>
      </c>
    </row>
    <row r="729" spans="1:16" x14ac:dyDescent="0.3">
      <c r="A729">
        <v>699</v>
      </c>
      <c r="B729" cm="1">
        <f t="array" ref="B729" xml:space="preserve"> mc(100, 0, 4, 1, 2, "x^2+y^2")-92/3</f>
        <v>-2.5738572893565639</v>
      </c>
      <c r="C729" cm="1">
        <f t="array" ref="C729" xml:space="preserve"> mc(500, 0, 4, 1, 2, "x^2+y^2")-92/3</f>
        <v>0.26627060470809738</v>
      </c>
      <c r="D729" cm="1">
        <f t="array" ref="D729" xml:space="preserve"> mc(1000, 0, 4, 1, 2, "x^2+y^2")-92/3</f>
        <v>-0.25483803467908928</v>
      </c>
      <c r="F729" cm="1">
        <f t="array" ref="F729" xml:space="preserve"> ( mc(100, 3, 4, -1, 1, "EXP(x * sin(y))") ) - 7.39981</f>
        <v>0.20774479684907377</v>
      </c>
      <c r="G729" cm="1">
        <f t="array" ref="G729" xml:space="preserve"> ( mc(500, 3, 4, -1, 1, "EXP(x * sin(y))") ) - 7.39981</f>
        <v>7.8977521832769959E-2</v>
      </c>
      <c r="H729" cm="1">
        <f t="array" ref="H729" xml:space="preserve"> ( mc(1000, 3, 4, -1, 1, "EXP(x * sin(y))") ) - 7.39981</f>
        <v>0.51928885043878203</v>
      </c>
      <c r="J729" cm="1">
        <f t="array" ref="J729" xml:space="preserve"> mc(100, -PI()/2,0,-1, 1, "ln(EXP(x * y))")</f>
        <v>-7.8785741292049377E-3</v>
      </c>
      <c r="K729" cm="1">
        <f t="array" ref="K729" xml:space="preserve"> mc(500, -PI()/2,0,-1, 1, "ln(EXP(x * y))")</f>
        <v>-7.3284250616315863E-4</v>
      </c>
      <c r="L729" cm="1">
        <f t="array" ref="L729" xml:space="preserve"> mc(1000, -PI()/2,0,-1, 1, "ln(EXP(x * y))")</f>
        <v>-3.8625195564937376E-2</v>
      </c>
      <c r="N729" cm="1">
        <f t="array" ref="N729" xml:space="preserve"> mc(100, -PI()/2,PI()/2, 0, 1, "sin(cos(x + y))")-1.48235</f>
        <v>9.1265031079068804E-2</v>
      </c>
      <c r="O729" cm="1">
        <f t="array" ref="O729" xml:space="preserve"> mc(500, -PI()/2,PI()/2, 0, 1, "sin(cos(x + y))")-1.48235</f>
        <v>-1.8454440920649962E-2</v>
      </c>
      <c r="P729" cm="1">
        <f t="array" ref="P729" xml:space="preserve"> mc(1000, -PI()/2,PI()/2, 0, 1, "sin(cos(x + y))")-1.48235</f>
        <v>5.8723591894390026E-2</v>
      </c>
    </row>
    <row r="730" spans="1:16" x14ac:dyDescent="0.3">
      <c r="A730">
        <v>700</v>
      </c>
      <c r="B730" cm="1">
        <f t="array" ref="B730" xml:space="preserve"> mc(100, 0, 4, 1, 2, "x^2+y^2")-92/3</f>
        <v>0.10278686908193535</v>
      </c>
      <c r="C730" cm="1">
        <f t="array" ref="C730" xml:space="preserve"> mc(500, 0, 4, 1, 2, "x^2+y^2")-92/3</f>
        <v>0.98241587737754799</v>
      </c>
      <c r="D730" cm="1">
        <f t="array" ref="D730" xml:space="preserve"> mc(1000, 0, 4, 1, 2, "x^2+y^2")-92/3</f>
        <v>0.84025682484544362</v>
      </c>
      <c r="F730" cm="1">
        <f t="array" ref="F730" xml:space="preserve"> ( mc(100, 3, 4, -1, 1, "EXP(x * sin(y))") ) - 7.39981</f>
        <v>-0.40306443480801502</v>
      </c>
      <c r="G730" cm="1">
        <f t="array" ref="G730" xml:space="preserve"> ( mc(500, 3, 4, -1, 1, "EXP(x * sin(y))") ) - 7.39981</f>
        <v>0.59077645253385747</v>
      </c>
      <c r="H730" cm="1">
        <f t="array" ref="H730" xml:space="preserve"> ( mc(1000, 3, 4, -1, 1, "EXP(x * sin(y))") ) - 7.39981</f>
        <v>-1.5881427205487242E-2</v>
      </c>
      <c r="J730" cm="1">
        <f t="array" ref="J730" xml:space="preserve"> mc(100, -PI()/2,0,-1, 1, "ln(EXP(x * y))")</f>
        <v>1.8473148983216978E-2</v>
      </c>
      <c r="K730" cm="1">
        <f t="array" ref="K730" xml:space="preserve"> mc(500, -PI()/2,0,-1, 1, "ln(EXP(x * y))")</f>
        <v>0.1305527943809747</v>
      </c>
      <c r="L730" cm="1">
        <f t="array" ref="L730" xml:space="preserve"> mc(1000, -PI()/2,0,-1, 1, "ln(EXP(x * y))")</f>
        <v>-7.001054970496097E-2</v>
      </c>
      <c r="N730" cm="1">
        <f t="array" ref="N730" xml:space="preserve"> mc(100, -PI()/2,PI()/2, 0, 1, "sin(cos(x + y))")-1.48235</f>
        <v>-4.5683915843627299E-2</v>
      </c>
      <c r="O730" cm="1">
        <f t="array" ref="O730" xml:space="preserve"> mc(500, -PI()/2,PI()/2, 0, 1, "sin(cos(x + y))")-1.48235</f>
        <v>2.6003967403245731E-2</v>
      </c>
      <c r="P730" cm="1">
        <f t="array" ref="P730" xml:space="preserve"> mc(1000, -PI()/2,PI()/2, 0, 1, "sin(cos(x + y))")-1.48235</f>
        <v>5.2925055176839875E-2</v>
      </c>
    </row>
    <row r="731" spans="1:16" x14ac:dyDescent="0.3">
      <c r="A731">
        <v>701</v>
      </c>
      <c r="B731" cm="1">
        <f t="array" ref="B731" xml:space="preserve"> mc(100, 0, 4, 1, 2, "x^2+y^2")-92/3</f>
        <v>-2.7613977537572403</v>
      </c>
      <c r="C731" cm="1">
        <f t="array" ref="C731" xml:space="preserve"> mc(500, 0, 4, 1, 2, "x^2+y^2")-92/3</f>
        <v>0.36547009054720903</v>
      </c>
      <c r="D731" cm="1">
        <f t="array" ref="D731" xml:space="preserve"> mc(1000, 0, 4, 1, 2, "x^2+y^2")-92/3</f>
        <v>0.26726991679311851</v>
      </c>
      <c r="F731" cm="1">
        <f t="array" ref="F731" xml:space="preserve"> ( mc(100, 3, 4, -1, 1, "EXP(x * sin(y))") ) - 7.39981</f>
        <v>0.66917284535562338</v>
      </c>
      <c r="G731" cm="1">
        <f t="array" ref="G731" xml:space="preserve"> ( mc(500, 3, 4, -1, 1, "EXP(x * sin(y))") ) - 7.39981</f>
        <v>-0.69359966452019517</v>
      </c>
      <c r="H731" cm="1">
        <f t="array" ref="H731" xml:space="preserve"> ( mc(1000, 3, 4, -1, 1, "EXP(x * sin(y))") ) - 7.39981</f>
        <v>6.9976238279454428E-2</v>
      </c>
      <c r="J731" cm="1">
        <f t="array" ref="J731" xml:space="preserve"> mc(100, -PI()/2,0,-1, 1, "ln(EXP(x * y))")</f>
        <v>0.10751622152932855</v>
      </c>
      <c r="K731" cm="1">
        <f t="array" ref="K731" xml:space="preserve"> mc(500, -PI()/2,0,-1, 1, "ln(EXP(x * y))")</f>
        <v>-0.10186035825290045</v>
      </c>
      <c r="L731" cm="1">
        <f t="array" ref="L731" xml:space="preserve"> mc(1000, -PI()/2,0,-1, 1, "ln(EXP(x * y))")</f>
        <v>-5.3087170577087069E-2</v>
      </c>
      <c r="N731" cm="1">
        <f t="array" ref="N731" xml:space="preserve"> mc(100, -PI()/2,PI()/2, 0, 1, "sin(cos(x + y))")-1.48235</f>
        <v>0.11360643515601598</v>
      </c>
      <c r="O731" cm="1">
        <f t="array" ref="O731" xml:space="preserve"> mc(500, -PI()/2,PI()/2, 0, 1, "sin(cos(x + y))")-1.48235</f>
        <v>4.1362405539212554E-2</v>
      </c>
      <c r="P731" cm="1">
        <f t="array" ref="P731" xml:space="preserve"> mc(1000, -PI()/2,PI()/2, 0, 1, "sin(cos(x + y))")-1.48235</f>
        <v>3.0410247436523097E-2</v>
      </c>
    </row>
    <row r="732" spans="1:16" x14ac:dyDescent="0.3">
      <c r="A732">
        <v>702</v>
      </c>
      <c r="B732" cm="1">
        <f t="array" ref="B732" xml:space="preserve"> mc(100, 0, 4, 1, 2, "x^2+y^2")-92/3</f>
        <v>-1.5624485154900398</v>
      </c>
      <c r="C732" cm="1">
        <f t="array" ref="C732" xml:space="preserve"> mc(500, 0, 4, 1, 2, "x^2+y^2")-92/3</f>
        <v>0.57722682729027142</v>
      </c>
      <c r="D732" cm="1">
        <f t="array" ref="D732" xml:space="preserve"> mc(1000, 0, 4, 1, 2, "x^2+y^2")-92/3</f>
        <v>0.65935385213415643</v>
      </c>
      <c r="F732" cm="1">
        <f t="array" ref="F732" xml:space="preserve"> ( mc(100, 3, 4, -1, 1, "EXP(x * sin(y))") ) - 7.39981</f>
        <v>-0.52931704412424985</v>
      </c>
      <c r="G732" cm="1">
        <f t="array" ref="G732" xml:space="preserve"> ( mc(500, 3, 4, -1, 1, "EXP(x * sin(y))") ) - 7.39981</f>
        <v>0.21836848706214163</v>
      </c>
      <c r="H732" cm="1">
        <f t="array" ref="H732" xml:space="preserve"> ( mc(1000, 3, 4, -1, 1, "EXP(x * sin(y))") ) - 7.39981</f>
        <v>7.966510427571194E-2</v>
      </c>
      <c r="J732" cm="1">
        <f t="array" ref="J732" xml:space="preserve"> mc(100, -PI()/2,0,-1, 1, "ln(EXP(x * y))")</f>
        <v>-2.4873046009562479E-3</v>
      </c>
      <c r="K732" cm="1">
        <f t="array" ref="K732" xml:space="preserve"> mc(500, -PI()/2,0,-1, 1, "ln(EXP(x * y))")</f>
        <v>4.4377499978687451E-2</v>
      </c>
      <c r="L732" cm="1">
        <f t="array" ref="L732" xml:space="preserve"> mc(1000, -PI()/2,0,-1, 1, "ln(EXP(x * y))")</f>
        <v>-2.67480470182315E-2</v>
      </c>
      <c r="N732" cm="1">
        <f t="array" ref="N732" xml:space="preserve"> mc(100, -PI()/2,PI()/2, 0, 1, "sin(cos(x + y))")-1.48235</f>
        <v>3.8857043382674483E-2</v>
      </c>
      <c r="O732" cm="1">
        <f t="array" ref="O732" xml:space="preserve"> mc(500, -PI()/2,PI()/2, 0, 1, "sin(cos(x + y))")-1.48235</f>
        <v>3.3736742940306597E-2</v>
      </c>
      <c r="P732" cm="1">
        <f t="array" ref="P732" xml:space="preserve"> mc(1000, -PI()/2,PI()/2, 0, 1, "sin(cos(x + y))")-1.48235</f>
        <v>7.9006435886861404E-3</v>
      </c>
    </row>
    <row r="733" spans="1:16" x14ac:dyDescent="0.3">
      <c r="A733">
        <v>703</v>
      </c>
      <c r="B733" cm="1">
        <f t="array" ref="B733" xml:space="preserve"> mc(100, 0, 4, 1, 2, "x^2+y^2")-92/3</f>
        <v>1.5279298697044617</v>
      </c>
      <c r="C733" cm="1">
        <f t="array" ref="C733" xml:space="preserve"> mc(500, 0, 4, 1, 2, "x^2+y^2")-92/3</f>
        <v>-9.3209863710974616E-3</v>
      </c>
      <c r="D733" cm="1">
        <f t="array" ref="D733" xml:space="preserve"> mc(1000, 0, 4, 1, 2, "x^2+y^2")-92/3</f>
        <v>-0.45831588293076919</v>
      </c>
      <c r="F733" cm="1">
        <f t="array" ref="F733" xml:space="preserve"> ( mc(100, 3, 4, -1, 1, "EXP(x * sin(y))") ) - 7.39981</f>
        <v>1.4954455299703788</v>
      </c>
      <c r="G733" cm="1">
        <f t="array" ref="G733" xml:space="preserve"> ( mc(500, 3, 4, -1, 1, "EXP(x * sin(y))") ) - 7.39981</f>
        <v>0.22089803611175718</v>
      </c>
      <c r="H733" cm="1">
        <f t="array" ref="H733" xml:space="preserve"> ( mc(1000, 3, 4, -1, 1, "EXP(x * sin(y))") ) - 7.39981</f>
        <v>3.9197208149536422E-2</v>
      </c>
      <c r="J733" cm="1">
        <f t="array" ref="J733" xml:space="preserve"> mc(100, -PI()/2,0,-1, 1, "ln(EXP(x * y))")</f>
        <v>-9.7694996846527285E-2</v>
      </c>
      <c r="K733" cm="1">
        <f t="array" ref="K733" xml:space="preserve"> mc(500, -PI()/2,0,-1, 1, "ln(EXP(x * y))")</f>
        <v>-6.0993860769309391E-2</v>
      </c>
      <c r="L733" cm="1">
        <f t="array" ref="L733" xml:space="preserve"> mc(1000, -PI()/2,0,-1, 1, "ln(EXP(x * y))")</f>
        <v>-0.14533647478501915</v>
      </c>
      <c r="N733" cm="1">
        <f t="array" ref="N733" xml:space="preserve"> mc(100, -PI()/2,PI()/2, 0, 1, "sin(cos(x + y))")-1.48235</f>
        <v>0.17824266268495181</v>
      </c>
      <c r="O733" cm="1">
        <f t="array" ref="O733" xml:space="preserve"> mc(500, -PI()/2,PI()/2, 0, 1, "sin(cos(x + y))")-1.48235</f>
        <v>3.252202182659869E-2</v>
      </c>
      <c r="P733" cm="1">
        <f t="array" ref="P733" xml:space="preserve"> mc(1000, -PI()/2,PI()/2, 0, 1, "sin(cos(x + y))")-1.48235</f>
        <v>-2.3473780641527275E-2</v>
      </c>
    </row>
    <row r="734" spans="1:16" x14ac:dyDescent="0.3">
      <c r="A734">
        <v>704</v>
      </c>
      <c r="B734" cm="1">
        <f t="array" ref="B734" xml:space="preserve"> mc(100, 0, 4, 1, 2, "x^2+y^2")-92/3</f>
        <v>0.53508619998657991</v>
      </c>
      <c r="C734" cm="1">
        <f t="array" ref="C734" xml:space="preserve"> mc(500, 0, 4, 1, 2, "x^2+y^2")-92/3</f>
        <v>0.67504033513913342</v>
      </c>
      <c r="D734" cm="1">
        <f t="array" ref="D734" xml:space="preserve"> mc(1000, 0, 4, 1, 2, "x^2+y^2")-92/3</f>
        <v>0.14879482104602459</v>
      </c>
      <c r="F734" cm="1">
        <f t="array" ref="F734" xml:space="preserve"> ( mc(100, 3, 4, -1, 1, "EXP(x * sin(y))") ) - 7.39981</f>
        <v>1.3836665144397511</v>
      </c>
      <c r="G734" cm="1">
        <f t="array" ref="G734" xml:space="preserve"> ( mc(500, 3, 4, -1, 1, "EXP(x * sin(y))") ) - 7.39981</f>
        <v>0.38318439998518805</v>
      </c>
      <c r="H734" cm="1">
        <f t="array" ref="H734" xml:space="preserve"> ( mc(1000, 3, 4, -1, 1, "EXP(x * sin(y))") ) - 7.39981</f>
        <v>-3.0414449847503633E-2</v>
      </c>
      <c r="J734" cm="1">
        <f t="array" ref="J734" xml:space="preserve"> mc(100, -PI()/2,0,-1, 1, "ln(EXP(x * y))")</f>
        <v>-3.0346898103158101E-2</v>
      </c>
      <c r="K734" cm="1">
        <f t="array" ref="K734" xml:space="preserve"> mc(500, -PI()/2,0,-1, 1, "ln(EXP(x * y))")</f>
        <v>-9.5615880297347286E-2</v>
      </c>
      <c r="L734" cm="1">
        <f t="array" ref="L734" xml:space="preserve"> mc(1000, -PI()/2,0,-1, 1, "ln(EXP(x * y))")</f>
        <v>-1.0139398392566872E-2</v>
      </c>
      <c r="N734" cm="1">
        <f t="array" ref="N734" xml:space="preserve"> mc(100, -PI()/2,PI()/2, 0, 1, "sin(cos(x + y))")-1.48235</f>
        <v>3.561318922045742E-2</v>
      </c>
      <c r="O734" cm="1">
        <f t="array" ref="O734" xml:space="preserve"> mc(500, -PI()/2,PI()/2, 0, 1, "sin(cos(x + y))")-1.48235</f>
        <v>-4.8136179163651427E-2</v>
      </c>
      <c r="P734" cm="1">
        <f t="array" ref="P734" xml:space="preserve"> mc(1000, -PI()/2,PI()/2, 0, 1, "sin(cos(x + y))")-1.48235</f>
        <v>-7.4689069710949241E-2</v>
      </c>
    </row>
    <row r="735" spans="1:16" x14ac:dyDescent="0.3">
      <c r="A735">
        <v>705</v>
      </c>
      <c r="B735" cm="1">
        <f t="array" ref="B735" xml:space="preserve"> mc(100, 0, 4, 1, 2, "x^2+y^2")-92/3</f>
        <v>2.5584565783232627</v>
      </c>
      <c r="C735" cm="1">
        <f t="array" ref="C735" xml:space="preserve"> mc(500, 0, 4, 1, 2, "x^2+y^2")-92/3</f>
        <v>-1.5204223058359361</v>
      </c>
      <c r="D735" cm="1">
        <f t="array" ref="D735" xml:space="preserve"> mc(1000, 0, 4, 1, 2, "x^2+y^2")-92/3</f>
        <v>0.83646950429956846</v>
      </c>
      <c r="F735" cm="1">
        <f t="array" ref="F735" xml:space="preserve"> ( mc(100, 3, 4, -1, 1, "EXP(x * sin(y))") ) - 7.39981</f>
        <v>0.12299265512602986</v>
      </c>
      <c r="G735" cm="1">
        <f t="array" ref="G735" xml:space="preserve"> ( mc(500, 3, 4, -1, 1, "EXP(x * sin(y))") ) - 7.39981</f>
        <v>0.20649074028484016</v>
      </c>
      <c r="H735" cm="1">
        <f t="array" ref="H735" xml:space="preserve"> ( mc(1000, 3, 4, -1, 1, "EXP(x * sin(y))") ) - 7.39981</f>
        <v>-3.830694282399616E-2</v>
      </c>
      <c r="J735" cm="1">
        <f t="array" ref="J735" xml:space="preserve"> mc(100, -PI()/2,0,-1, 1, "ln(EXP(x * y))")</f>
        <v>-0.33907622118437619</v>
      </c>
      <c r="K735" cm="1">
        <f t="array" ref="K735" xml:space="preserve"> mc(500, -PI()/2,0,-1, 1, "ln(EXP(x * y))")</f>
        <v>9.2857172308246874E-2</v>
      </c>
      <c r="L735" cm="1">
        <f t="array" ref="L735" xml:space="preserve"> mc(1000, -PI()/2,0,-1, 1, "ln(EXP(x * y))")</f>
        <v>-3.3887827107051946E-2</v>
      </c>
      <c r="N735" cm="1">
        <f t="array" ref="N735" xml:space="preserve"> mc(100, -PI()/2,PI()/2, 0, 1, "sin(cos(x + y))")-1.48235</f>
        <v>3.65729663494887E-2</v>
      </c>
      <c r="O735" cm="1">
        <f t="array" ref="O735" xml:space="preserve"> mc(500, -PI()/2,PI()/2, 0, 1, "sin(cos(x + y))")-1.48235</f>
        <v>-5.6296619811897042E-2</v>
      </c>
      <c r="P735" cm="1">
        <f t="array" ref="P735" xml:space="preserve"> mc(1000, -PI()/2,PI()/2, 0, 1, "sin(cos(x + y))")-1.48235</f>
        <v>1.5947005892071875E-2</v>
      </c>
    </row>
    <row r="736" spans="1:16" x14ac:dyDescent="0.3">
      <c r="A736">
        <v>706</v>
      </c>
      <c r="B736" cm="1">
        <f t="array" ref="B736" xml:space="preserve"> mc(100, 0, 4, 1, 2, "x^2+y^2")-92/3</f>
        <v>-2.309685040846631</v>
      </c>
      <c r="C736" cm="1">
        <f t="array" ref="C736" xml:space="preserve"> mc(500, 0, 4, 1, 2, "x^2+y^2")-92/3</f>
        <v>0.52177075696070929</v>
      </c>
      <c r="D736" cm="1">
        <f t="array" ref="D736" xml:space="preserve"> mc(1000, 0, 4, 1, 2, "x^2+y^2")-92/3</f>
        <v>0.19131392401996195</v>
      </c>
      <c r="F736" cm="1">
        <f t="array" ref="F736" xml:space="preserve"> ( mc(100, 3, 4, -1, 1, "EXP(x * sin(y))") ) - 7.39981</f>
        <v>0.77751603102381317</v>
      </c>
      <c r="G736" cm="1">
        <f t="array" ref="G736" xml:space="preserve"> ( mc(500, 3, 4, -1, 1, "EXP(x * sin(y))") ) - 7.39981</f>
        <v>0.75168582426466735</v>
      </c>
      <c r="H736" cm="1">
        <f t="array" ref="H736" xml:space="preserve"> ( mc(1000, 3, 4, -1, 1, "EXP(x * sin(y))") ) - 7.39981</f>
        <v>-0.32637141874661069</v>
      </c>
      <c r="J736" cm="1">
        <f t="array" ref="J736" xml:space="preserve"> mc(100, -PI()/2,0,-1, 1, "ln(EXP(x * y))")</f>
        <v>5.0274231303900956E-2</v>
      </c>
      <c r="K736" cm="1">
        <f t="array" ref="K736" xml:space="preserve"> mc(500, -PI()/2,0,-1, 1, "ln(EXP(x * y))")</f>
        <v>3.4526633752990796E-2</v>
      </c>
      <c r="L736" cm="1">
        <f t="array" ref="L736" xml:space="preserve"> mc(1000, -PI()/2,0,-1, 1, "ln(EXP(x * y))")</f>
        <v>-3.7403840875362658E-2</v>
      </c>
      <c r="N736" cm="1">
        <f t="array" ref="N736" xml:space="preserve"> mc(100, -PI()/2,PI()/2, 0, 1, "sin(cos(x + y))")-1.48235</f>
        <v>2.8775027048006718E-2</v>
      </c>
      <c r="O736" cm="1">
        <f t="array" ref="O736" xml:space="preserve"> mc(500, -PI()/2,PI()/2, 0, 1, "sin(cos(x + y))")-1.48235</f>
        <v>5.8242005526132568E-2</v>
      </c>
      <c r="P736" cm="1">
        <f t="array" ref="P736" xml:space="preserve"> mc(1000, -PI()/2,PI()/2, 0, 1, "sin(cos(x + y))")-1.48235</f>
        <v>-0.1330029641658621</v>
      </c>
    </row>
    <row r="737" spans="1:16" x14ac:dyDescent="0.3">
      <c r="A737">
        <v>707</v>
      </c>
      <c r="B737" cm="1">
        <f t="array" ref="B737" xml:space="preserve"> mc(100, 0, 4, 1, 2, "x^2+y^2")-92/3</f>
        <v>3.2907981650885638</v>
      </c>
      <c r="C737" cm="1">
        <f t="array" ref="C737" xml:space="preserve"> mc(500, 0, 4, 1, 2, "x^2+y^2")-92/3</f>
        <v>0.12740526526544826</v>
      </c>
      <c r="D737" cm="1">
        <f t="array" ref="D737" xml:space="preserve"> mc(1000, 0, 4, 1, 2, "x^2+y^2")-92/3</f>
        <v>1.453423476477969</v>
      </c>
      <c r="F737" cm="1">
        <f t="array" ref="F737" xml:space="preserve"> ( mc(100, 3, 4, -1, 1, "EXP(x * sin(y))") ) - 7.39981</f>
        <v>-1.6486982836919299</v>
      </c>
      <c r="G737" cm="1">
        <f t="array" ref="G737" xml:space="preserve"> ( mc(500, 3, 4, -1, 1, "EXP(x * sin(y))") ) - 7.39981</f>
        <v>0.32156923985074659</v>
      </c>
      <c r="H737" cm="1">
        <f t="array" ref="H737" xml:space="preserve"> ( mc(1000, 3, 4, -1, 1, "EXP(x * sin(y))") ) - 7.39981</f>
        <v>-0.48036794432270913</v>
      </c>
      <c r="J737" cm="1">
        <f t="array" ref="J737" xml:space="preserve"> mc(100, -PI()/2,0,-1, 1, "ln(EXP(x * y))")</f>
        <v>-0.20157154237106054</v>
      </c>
      <c r="K737" cm="1">
        <f t="array" ref="K737" xml:space="preserve"> mc(500, -PI()/2,0,-1, 1, "ln(EXP(x * y))")</f>
        <v>-3.327647024936671E-2</v>
      </c>
      <c r="L737" cm="1">
        <f t="array" ref="L737" xml:space="preserve"> mc(1000, -PI()/2,0,-1, 1, "ln(EXP(x * y))")</f>
        <v>-0.11867474164465733</v>
      </c>
      <c r="N737" cm="1">
        <f t="array" ref="N737" xml:space="preserve"> mc(100, -PI()/2,PI()/2, 0, 1, "sin(cos(x + y))")-1.48235</f>
        <v>-8.755010377599004E-2</v>
      </c>
      <c r="O737" cm="1">
        <f t="array" ref="O737" xml:space="preserve"> mc(500, -PI()/2,PI()/2, 0, 1, "sin(cos(x + y))")-1.48235</f>
        <v>6.2263651961950384E-2</v>
      </c>
      <c r="P737" cm="1">
        <f t="array" ref="P737" xml:space="preserve"> mc(1000, -PI()/2,PI()/2, 0, 1, "sin(cos(x + y))")-1.48235</f>
        <v>8.2929563312865717E-3</v>
      </c>
    </row>
    <row r="738" spans="1:16" x14ac:dyDescent="0.3">
      <c r="A738">
        <v>708</v>
      </c>
      <c r="B738" cm="1">
        <f t="array" ref="B738" xml:space="preserve"> mc(100, 0, 4, 1, 2, "x^2+y^2")-92/3</f>
        <v>0.80841465711640481</v>
      </c>
      <c r="C738" cm="1">
        <f t="array" ref="C738" xml:space="preserve"> mc(500, 0, 4, 1, 2, "x^2+y^2")-92/3</f>
        <v>1.0910353334027043</v>
      </c>
      <c r="D738" cm="1">
        <f t="array" ref="D738" xml:space="preserve"> mc(1000, 0, 4, 1, 2, "x^2+y^2")-92/3</f>
        <v>-0.46629792171271589</v>
      </c>
      <c r="F738" cm="1">
        <f t="array" ref="F738" xml:space="preserve"> ( mc(100, 3, 4, -1, 1, "EXP(x * sin(y))") ) - 7.39981</f>
        <v>-1.0579608556488331</v>
      </c>
      <c r="G738" cm="1">
        <f t="array" ref="G738" xml:space="preserve"> ( mc(500, 3, 4, -1, 1, "EXP(x * sin(y))") ) - 7.39981</f>
        <v>-6.1351349757212681E-2</v>
      </c>
      <c r="H738" cm="1">
        <f t="array" ref="H738" xml:space="preserve"> ( mc(1000, 3, 4, -1, 1, "EXP(x * sin(y))") ) - 7.39981</f>
        <v>0.13309415936194213</v>
      </c>
      <c r="J738" cm="1">
        <f t="array" ref="J738" xml:space="preserve"> mc(100, -PI()/2,0,-1, 1, "ln(EXP(x * y))")</f>
        <v>-0.23907483231541415</v>
      </c>
      <c r="K738" cm="1">
        <f t="array" ref="K738" xml:space="preserve"> mc(500, -PI()/2,0,-1, 1, "ln(EXP(x * y))")</f>
        <v>1.6850484181604265E-2</v>
      </c>
      <c r="L738" cm="1">
        <f t="array" ref="L738" xml:space="preserve"> mc(1000, -PI()/2,0,-1, 1, "ln(EXP(x * y))")</f>
        <v>-0.11745694677486786</v>
      </c>
      <c r="N738" cm="1">
        <f t="array" ref="N738" xml:space="preserve"> mc(100, -PI()/2,PI()/2, 0, 1, "sin(cos(x + y))")-1.48235</f>
        <v>1.9748619325275607E-2</v>
      </c>
      <c r="O738" cm="1">
        <f t="array" ref="O738" xml:space="preserve"> mc(500, -PI()/2,PI()/2, 0, 1, "sin(cos(x + y))")-1.48235</f>
        <v>-2.9426036751951212E-2</v>
      </c>
      <c r="P738" cm="1">
        <f t="array" ref="P738" xml:space="preserve"> mc(1000, -PI()/2,PI()/2, 0, 1, "sin(cos(x + y))")-1.48235</f>
        <v>-4.8617282757861258E-3</v>
      </c>
    </row>
    <row r="739" spans="1:16" x14ac:dyDescent="0.3">
      <c r="A739">
        <v>709</v>
      </c>
      <c r="B739" cm="1">
        <f t="array" ref="B739" xml:space="preserve"> mc(100, 0, 4, 1, 2, "x^2+y^2")-92/3</f>
        <v>3.1702719576705469</v>
      </c>
      <c r="C739" cm="1">
        <f t="array" ref="C739" xml:space="preserve"> mc(500, 0, 4, 1, 2, "x^2+y^2")-92/3</f>
        <v>1.0109425530308513</v>
      </c>
      <c r="D739" cm="1">
        <f t="array" ref="D739" xml:space="preserve"> mc(1000, 0, 4, 1, 2, "x^2+y^2")-92/3</f>
        <v>0.95354684510150634</v>
      </c>
      <c r="F739" cm="1">
        <f t="array" ref="F739" xml:space="preserve"> ( mc(100, 3, 4, -1, 1, "EXP(x * sin(y))") ) - 7.39981</f>
        <v>-1.5808491755912701</v>
      </c>
      <c r="G739" cm="1">
        <f t="array" ref="G739" xml:space="preserve"> ( mc(500, 3, 4, -1, 1, "EXP(x * sin(y))") ) - 7.39981</f>
        <v>0.1999268277378885</v>
      </c>
      <c r="H739" cm="1">
        <f t="array" ref="H739" xml:space="preserve"> ( mc(1000, 3, 4, -1, 1, "EXP(x * sin(y))") ) - 7.39981</f>
        <v>0.41524920464516679</v>
      </c>
      <c r="J739" cm="1">
        <f t="array" ref="J739" xml:space="preserve"> mc(100, -PI()/2,0,-1, 1, "ln(EXP(x * y))")</f>
        <v>-5.4001668187671978E-2</v>
      </c>
      <c r="K739" cm="1">
        <f t="array" ref="K739" xml:space="preserve"> mc(500, -PI()/2,0,-1, 1, "ln(EXP(x * y))")</f>
        <v>-1.1945883667898208E-2</v>
      </c>
      <c r="L739" cm="1">
        <f t="array" ref="L739" xml:space="preserve"> mc(1000, -PI()/2,0,-1, 1, "ln(EXP(x * y))")</f>
        <v>6.7533810793243753E-3</v>
      </c>
      <c r="N739" cm="1">
        <f t="array" ref="N739" xml:space="preserve"> mc(100, -PI()/2,PI()/2, 0, 1, "sin(cos(x + y))")-1.48235</f>
        <v>-6.335429280296867E-2</v>
      </c>
      <c r="O739" cm="1">
        <f t="array" ref="O739" xml:space="preserve"> mc(500, -PI()/2,PI()/2, 0, 1, "sin(cos(x + y))")-1.48235</f>
        <v>2.5226549598451609E-3</v>
      </c>
      <c r="P739" cm="1">
        <f t="array" ref="P739" xml:space="preserve"> mc(1000, -PI()/2,PI()/2, 0, 1, "sin(cos(x + y))")-1.48235</f>
        <v>-1.7864172571458781E-2</v>
      </c>
    </row>
    <row r="740" spans="1:16" x14ac:dyDescent="0.3">
      <c r="A740">
        <v>710</v>
      </c>
      <c r="B740" cm="1">
        <f t="array" ref="B740" xml:space="preserve"> mc(100, 0, 4, 1, 2, "x^2+y^2")-92/3</f>
        <v>3.3346139974503366</v>
      </c>
      <c r="C740" cm="1">
        <f t="array" ref="C740" xml:space="preserve"> mc(500, 0, 4, 1, 2, "x^2+y^2")-92/3</f>
        <v>-0.89601545899383694</v>
      </c>
      <c r="D740" cm="1">
        <f t="array" ref="D740" xml:space="preserve"> mc(1000, 0, 4, 1, 2, "x^2+y^2")-92/3</f>
        <v>1.3316323040911655</v>
      </c>
      <c r="F740" cm="1">
        <f t="array" ref="F740" xml:space="preserve"> ( mc(100, 3, 4, -1, 1, "EXP(x * sin(y))") ) - 7.39981</f>
        <v>-1.0004747186573413</v>
      </c>
      <c r="G740" cm="1">
        <f t="array" ref="G740" xml:space="preserve"> ( mc(500, 3, 4, -1, 1, "EXP(x * sin(y))") ) - 7.39981</f>
        <v>0.50171426348392778</v>
      </c>
      <c r="H740" cm="1">
        <f t="array" ref="H740" xml:space="preserve"> ( mc(1000, 3, 4, -1, 1, "EXP(x * sin(y))") ) - 7.39981</f>
        <v>0.25144045200003617</v>
      </c>
      <c r="J740" cm="1">
        <f t="array" ref="J740" xml:space="preserve"> mc(100, -PI()/2,0,-1, 1, "ln(EXP(x * y))")</f>
        <v>4.0647003730094736E-2</v>
      </c>
      <c r="K740" cm="1">
        <f t="array" ref="K740" xml:space="preserve"> mc(500, -PI()/2,0,-1, 1, "ln(EXP(x * y))")</f>
        <v>8.7727648338440309E-2</v>
      </c>
      <c r="L740" cm="1">
        <f t="array" ref="L740" xml:space="preserve"> mc(1000, -PI()/2,0,-1, 1, "ln(EXP(x * y))")</f>
        <v>-2.59370939509193E-2</v>
      </c>
      <c r="N740" cm="1">
        <f t="array" ref="N740" xml:space="preserve"> mc(100, -PI()/2,PI()/2, 0, 1, "sin(cos(x + y))")-1.48235</f>
        <v>1.7393762017894554E-2</v>
      </c>
      <c r="O740" cm="1">
        <f t="array" ref="O740" xml:space="preserve"> mc(500, -PI()/2,PI()/2, 0, 1, "sin(cos(x + y))")-1.48235</f>
        <v>-1.5027336443015349E-2</v>
      </c>
      <c r="P740" cm="1">
        <f t="array" ref="P740" xml:space="preserve"> mc(1000, -PI()/2,PI()/2, 0, 1, "sin(cos(x + y))")-1.48235</f>
        <v>1.3242203819234355E-2</v>
      </c>
    </row>
    <row r="741" spans="1:16" x14ac:dyDescent="0.3">
      <c r="A741">
        <v>711</v>
      </c>
      <c r="B741" cm="1">
        <f t="array" ref="B741" xml:space="preserve"> mc(100, 0, 4, 1, 2, "x^2+y^2")-92/3</f>
        <v>-0.10564947158464477</v>
      </c>
      <c r="C741" cm="1">
        <f t="array" ref="C741" xml:space="preserve"> mc(500, 0, 4, 1, 2, "x^2+y^2")-92/3</f>
        <v>0.44577286516113901</v>
      </c>
      <c r="D741" cm="1">
        <f t="array" ref="D741" xml:space="preserve"> mc(1000, 0, 4, 1, 2, "x^2+y^2")-92/3</f>
        <v>-0.29034507186143088</v>
      </c>
      <c r="F741" cm="1">
        <f t="array" ref="F741" xml:space="preserve"> ( mc(100, 3, 4, -1, 1, "EXP(x * sin(y))") ) - 7.39981</f>
        <v>-0.10392123145183785</v>
      </c>
      <c r="G741" cm="1">
        <f t="array" ref="G741" xml:space="preserve"> ( mc(500, 3, 4, -1, 1, "EXP(x * sin(y))") ) - 7.39981</f>
        <v>0.36278262212056767</v>
      </c>
      <c r="H741" cm="1">
        <f t="array" ref="H741" xml:space="preserve"> ( mc(1000, 3, 4, -1, 1, "EXP(x * sin(y))") ) - 7.39981</f>
        <v>-0.65369845566604479</v>
      </c>
      <c r="J741" cm="1">
        <f t="array" ref="J741" xml:space="preserve"> mc(100, -PI()/2,0,-1, 1, "ln(EXP(x * y))")</f>
        <v>-0.19229018339690496</v>
      </c>
      <c r="K741" cm="1">
        <f t="array" ref="K741" xml:space="preserve"> mc(500, -PI()/2,0,-1, 1, "ln(EXP(x * y))")</f>
        <v>-0.10263889996545038</v>
      </c>
      <c r="L741" cm="1">
        <f t="array" ref="L741" xml:space="preserve"> mc(1000, -PI()/2,0,-1, 1, "ln(EXP(x * y))")</f>
        <v>5.1996583484116753E-2</v>
      </c>
      <c r="N741" cm="1">
        <f t="array" ref="N741" xml:space="preserve"> mc(100, -PI()/2,PI()/2, 0, 1, "sin(cos(x + y))")-1.48235</f>
        <v>0.17435508600298433</v>
      </c>
      <c r="O741" cm="1">
        <f t="array" ref="O741" xml:space="preserve"> mc(500, -PI()/2,PI()/2, 0, 1, "sin(cos(x + y))")-1.48235</f>
        <v>-2.8781395802665699E-2</v>
      </c>
      <c r="P741" cm="1">
        <f t="array" ref="P741" xml:space="preserve"> mc(1000, -PI()/2,PI()/2, 0, 1, "sin(cos(x + y))")-1.48235</f>
        <v>4.4672310466455922E-3</v>
      </c>
    </row>
    <row r="742" spans="1:16" x14ac:dyDescent="0.3">
      <c r="A742">
        <v>712</v>
      </c>
      <c r="B742" cm="1">
        <f t="array" ref="B742" xml:space="preserve"> mc(100, 0, 4, 1, 2, "x^2+y^2")-92/3</f>
        <v>0.6111875564476108</v>
      </c>
      <c r="C742" cm="1">
        <f t="array" ref="C742" xml:space="preserve"> mc(500, 0, 4, 1, 2, "x^2+y^2")-92/3</f>
        <v>-0.60471522003385658</v>
      </c>
      <c r="D742" cm="1">
        <f t="array" ref="D742" xml:space="preserve"> mc(1000, 0, 4, 1, 2, "x^2+y^2")-92/3</f>
        <v>-0.41434605731270935</v>
      </c>
      <c r="F742" cm="1">
        <f t="array" ref="F742" xml:space="preserve"> ( mc(100, 3, 4, -1, 1, "EXP(x * sin(y))") ) - 7.39981</f>
        <v>-0.69714682591379962</v>
      </c>
      <c r="G742" cm="1">
        <f t="array" ref="G742" xml:space="preserve"> ( mc(500, 3, 4, -1, 1, "EXP(x * sin(y))") ) - 7.39981</f>
        <v>0.25616614769020885</v>
      </c>
      <c r="H742" cm="1">
        <f t="array" ref="H742" xml:space="preserve"> ( mc(1000, 3, 4, -1, 1, "EXP(x * sin(y))") ) - 7.39981</f>
        <v>3.2440150171449744E-2</v>
      </c>
      <c r="J742" cm="1">
        <f t="array" ref="J742" xml:space="preserve"> mc(100, -PI()/2,0,-1, 1, "ln(EXP(x * y))")</f>
        <v>-0.12613158592194593</v>
      </c>
      <c r="K742" cm="1">
        <f t="array" ref="K742" xml:space="preserve"> mc(500, -PI()/2,0,-1, 1, "ln(EXP(x * y))")</f>
        <v>7.4680530441667212E-2</v>
      </c>
      <c r="L742" cm="1">
        <f t="array" ref="L742" xml:space="preserve"> mc(1000, -PI()/2,0,-1, 1, "ln(EXP(x * y))")</f>
        <v>-1.7581943825937835E-2</v>
      </c>
      <c r="N742" cm="1">
        <f t="array" ref="N742" xml:space="preserve"> mc(100, -PI()/2,PI()/2, 0, 1, "sin(cos(x + y))")-1.48235</f>
        <v>0.11396817164783446</v>
      </c>
      <c r="O742" cm="1">
        <f t="array" ref="O742" xml:space="preserve"> mc(500, -PI()/2,PI()/2, 0, 1, "sin(cos(x + y))")-1.48235</f>
        <v>4.8925025587077897E-2</v>
      </c>
      <c r="P742" cm="1">
        <f t="array" ref="P742" xml:space="preserve"> mc(1000, -PI()/2,PI()/2, 0, 1, "sin(cos(x + y))")-1.48235</f>
        <v>3.0015986205135903E-2</v>
      </c>
    </row>
    <row r="743" spans="1:16" x14ac:dyDescent="0.3">
      <c r="A743">
        <v>713</v>
      </c>
      <c r="B743" cm="1">
        <f t="array" ref="B743" xml:space="preserve"> mc(100, 0, 4, 1, 2, "x^2+y^2")-92/3</f>
        <v>0.27911040922414543</v>
      </c>
      <c r="C743" cm="1">
        <f t="array" ref="C743" xml:space="preserve"> mc(500, 0, 4, 1, 2, "x^2+y^2")-92/3</f>
        <v>-0.80831905959327344</v>
      </c>
      <c r="D743" cm="1">
        <f t="array" ref="D743" xml:space="preserve"> mc(1000, 0, 4, 1, 2, "x^2+y^2")-92/3</f>
        <v>-1.0413022178033025</v>
      </c>
      <c r="F743" cm="1">
        <f t="array" ref="F743" xml:space="preserve"> ( mc(100, 3, 4, -1, 1, "EXP(x * sin(y))") ) - 7.39981</f>
        <v>0.78800089173390653</v>
      </c>
      <c r="G743" cm="1">
        <f t="array" ref="G743" xml:space="preserve"> ( mc(500, 3, 4, -1, 1, "EXP(x * sin(y))") ) - 7.39981</f>
        <v>-0.20055926705518878</v>
      </c>
      <c r="H743" cm="1">
        <f t="array" ref="H743" xml:space="preserve"> ( mc(1000, 3, 4, -1, 1, "EXP(x * sin(y))") ) - 7.39981</f>
        <v>0.11263746460502144</v>
      </c>
      <c r="J743" cm="1">
        <f t="array" ref="J743" xml:space="preserve"> mc(100, -PI()/2,0,-1, 1, "ln(EXP(x * y))")</f>
        <v>-1.0550526982736973E-2</v>
      </c>
      <c r="K743" cm="1">
        <f t="array" ref="K743" xml:space="preserve"> mc(500, -PI()/2,0,-1, 1, "ln(EXP(x * y))")</f>
        <v>5.3584472201719406E-2</v>
      </c>
      <c r="L743" cm="1">
        <f t="array" ref="L743" xml:space="preserve"> mc(1000, -PI()/2,0,-1, 1, "ln(EXP(x * y))")</f>
        <v>-2.0332925403570615E-3</v>
      </c>
      <c r="N743" cm="1">
        <f t="array" ref="N743" xml:space="preserve"> mc(100, -PI()/2,PI()/2, 0, 1, "sin(cos(x + y))")-1.48235</f>
        <v>-9.5385689860348011E-2</v>
      </c>
      <c r="O743" cm="1">
        <f t="array" ref="O743" xml:space="preserve"> mc(500, -PI()/2,PI()/2, 0, 1, "sin(cos(x + y))")-1.48235</f>
        <v>2.252924398199152E-2</v>
      </c>
      <c r="P743" cm="1">
        <f t="array" ref="P743" xml:space="preserve"> mc(1000, -PI()/2,PI()/2, 0, 1, "sin(cos(x + y))")-1.48235</f>
        <v>2.672150917768934E-2</v>
      </c>
    </row>
    <row r="744" spans="1:16" x14ac:dyDescent="0.3">
      <c r="A744">
        <v>714</v>
      </c>
      <c r="B744" cm="1">
        <f t="array" ref="B744" xml:space="preserve"> mc(100, 0, 4, 1, 2, "x^2+y^2")-92/3</f>
        <v>-0.35563912966210154</v>
      </c>
      <c r="C744" cm="1">
        <f t="array" ref="C744" xml:space="preserve"> mc(500, 0, 4, 1, 2, "x^2+y^2")-92/3</f>
        <v>-0.59766628778888986</v>
      </c>
      <c r="D744" cm="1">
        <f t="array" ref="D744" xml:space="preserve"> mc(1000, 0, 4, 1, 2, "x^2+y^2")-92/3</f>
        <v>1.1272693803139653</v>
      </c>
      <c r="F744" cm="1">
        <f t="array" ref="F744" xml:space="preserve"> ( mc(100, 3, 4, -1, 1, "EXP(x * sin(y))") ) - 7.39981</f>
        <v>-1.2315984494924219</v>
      </c>
      <c r="G744" cm="1">
        <f t="array" ref="G744" xml:space="preserve"> ( mc(500, 3, 4, -1, 1, "EXP(x * sin(y))") ) - 7.39981</f>
        <v>-0.75117902374843748</v>
      </c>
      <c r="H744" cm="1">
        <f t="array" ref="H744" xml:space="preserve"> ( mc(1000, 3, 4, -1, 1, "EXP(x * sin(y))") ) - 7.39981</f>
        <v>-0.38837299353743671</v>
      </c>
      <c r="J744" cm="1">
        <f t="array" ref="J744" xml:space="preserve"> mc(100, -PI()/2,0,-1, 1, "ln(EXP(x * y))")</f>
        <v>-6.2177055829248346E-2</v>
      </c>
      <c r="K744" cm="1">
        <f t="array" ref="K744" xml:space="preserve"> mc(500, -PI()/2,0,-1, 1, "ln(EXP(x * y))")</f>
        <v>-1.5857969466753639E-2</v>
      </c>
      <c r="L744" cm="1">
        <f t="array" ref="L744" xml:space="preserve"> mc(1000, -PI()/2,0,-1, 1, "ln(EXP(x * y))")</f>
        <v>-4.4116908996728002E-2</v>
      </c>
      <c r="N744" cm="1">
        <f t="array" ref="N744" xml:space="preserve"> mc(100, -PI()/2,PI()/2, 0, 1, "sin(cos(x + y))")-1.48235</f>
        <v>2.2450151281930619E-2</v>
      </c>
      <c r="O744" cm="1">
        <f t="array" ref="O744" xml:space="preserve"> mc(500, -PI()/2,PI()/2, 0, 1, "sin(cos(x + y))")-1.48235</f>
        <v>5.2402750296042022E-2</v>
      </c>
      <c r="P744" cm="1">
        <f t="array" ref="P744" xml:space="preserve"> mc(1000, -PI()/2,PI()/2, 0, 1, "sin(cos(x + y))")-1.48235</f>
        <v>3.162490364777848E-2</v>
      </c>
    </row>
    <row r="745" spans="1:16" x14ac:dyDescent="0.3">
      <c r="A745">
        <v>715</v>
      </c>
      <c r="B745" cm="1">
        <f t="array" ref="B745" xml:space="preserve"> mc(100, 0, 4, 1, 2, "x^2+y^2")-92/3</f>
        <v>-0.20715438884405302</v>
      </c>
      <c r="C745" cm="1">
        <f t="array" ref="C745" xml:space="preserve"> mc(500, 0, 4, 1, 2, "x^2+y^2")-92/3</f>
        <v>0.16924625419828487</v>
      </c>
      <c r="D745" cm="1">
        <f t="array" ref="D745" xml:space="preserve"> mc(1000, 0, 4, 1, 2, "x^2+y^2")-92/3</f>
        <v>0.10084637134296415</v>
      </c>
      <c r="F745" cm="1">
        <f t="array" ref="F745" xml:space="preserve"> ( mc(100, 3, 4, -1, 1, "EXP(x * sin(y))") ) - 7.39981</f>
        <v>-0.26762924534366128</v>
      </c>
      <c r="G745" cm="1">
        <f t="array" ref="G745" xml:space="preserve"> ( mc(500, 3, 4, -1, 1, "EXP(x * sin(y))") ) - 7.39981</f>
        <v>0.64700844103578525</v>
      </c>
      <c r="H745" cm="1">
        <f t="array" ref="H745" xml:space="preserve"> ( mc(1000, 3, 4, -1, 1, "EXP(x * sin(y))") ) - 7.39981</f>
        <v>0.76530938350362199</v>
      </c>
      <c r="J745" cm="1">
        <f t="array" ref="J745" xml:space="preserve"> mc(100, -PI()/2,0,-1, 1, "ln(EXP(x * y))")</f>
        <v>-9.7788019929826039E-2</v>
      </c>
      <c r="K745" cm="1">
        <f t="array" ref="K745" xml:space="preserve"> mc(500, -PI()/2,0,-1, 1, "ln(EXP(x * y))")</f>
        <v>-3.9240517800098157E-2</v>
      </c>
      <c r="L745" cm="1">
        <f t="array" ref="L745" xml:space="preserve"> mc(1000, -PI()/2,0,-1, 1, "ln(EXP(x * y))")</f>
        <v>-9.2537767859623941E-3</v>
      </c>
      <c r="N745" cm="1">
        <f t="array" ref="N745" xml:space="preserve"> mc(100, -PI()/2,PI()/2, 0, 1, "sin(cos(x + y))")-1.48235</f>
        <v>-9.1466053947165893E-2</v>
      </c>
      <c r="O745" cm="1">
        <f t="array" ref="O745" xml:space="preserve"> mc(500, -PI()/2,PI()/2, 0, 1, "sin(cos(x + y))")-1.48235</f>
        <v>-8.8665650406849483E-3</v>
      </c>
      <c r="P745" cm="1">
        <f t="array" ref="P745" xml:space="preserve"> mc(1000, -PI()/2,PI()/2, 0, 1, "sin(cos(x + y))")-1.48235</f>
        <v>1.3220877809310805E-2</v>
      </c>
    </row>
    <row r="746" spans="1:16" x14ac:dyDescent="0.3">
      <c r="A746">
        <v>716</v>
      </c>
      <c r="B746" cm="1">
        <f t="array" ref="B746" xml:space="preserve"> mc(100, 0, 4, 1, 2, "x^2+y^2")-92/3</f>
        <v>3.3315915288416456</v>
      </c>
      <c r="C746" cm="1">
        <f t="array" ref="C746" xml:space="preserve"> mc(500, 0, 4, 1, 2, "x^2+y^2")-92/3</f>
        <v>-0.64757672626229379</v>
      </c>
      <c r="D746" cm="1">
        <f t="array" ref="D746" xml:space="preserve"> mc(1000, 0, 4, 1, 2, "x^2+y^2")-92/3</f>
        <v>-0.62223893720827306</v>
      </c>
      <c r="F746" cm="1">
        <f t="array" ref="F746" xml:space="preserve"> ( mc(100, 3, 4, -1, 1, "EXP(x * sin(y))") ) - 7.39981</f>
        <v>0.40255766721718178</v>
      </c>
      <c r="G746" cm="1">
        <f t="array" ref="G746" xml:space="preserve"> ( mc(500, 3, 4, -1, 1, "EXP(x * sin(y))") ) - 7.39981</f>
        <v>-0.31182353739984414</v>
      </c>
      <c r="H746" cm="1">
        <f t="array" ref="H746" xml:space="preserve"> ( mc(1000, 3, 4, -1, 1, "EXP(x * sin(y))") ) - 7.39981</f>
        <v>-0.32590942894356978</v>
      </c>
      <c r="J746" cm="1">
        <f t="array" ref="J746" xml:space="preserve"> mc(100, -PI()/2,0,-1, 1, "ln(EXP(x * y))")</f>
        <v>3.7020115527677248E-2</v>
      </c>
      <c r="K746" cm="1">
        <f t="array" ref="K746" xml:space="preserve"> mc(500, -PI()/2,0,-1, 1, "ln(EXP(x * y))")</f>
        <v>-5.1893701811768139E-2</v>
      </c>
      <c r="L746" cm="1">
        <f t="array" ref="L746" xml:space="preserve"> mc(1000, -PI()/2,0,-1, 1, "ln(EXP(x * y))")</f>
        <v>7.3562321738999733E-3</v>
      </c>
      <c r="N746" cm="1">
        <f t="array" ref="N746" xml:space="preserve"> mc(100, -PI()/2,PI()/2, 0, 1, "sin(cos(x + y))")-1.48235</f>
        <v>4.3544079515070555E-2</v>
      </c>
      <c r="O746" cm="1">
        <f t="array" ref="O746" xml:space="preserve"> mc(500, -PI()/2,PI()/2, 0, 1, "sin(cos(x + y))")-1.48235</f>
        <v>-8.0269154332449855E-2</v>
      </c>
      <c r="P746" cm="1">
        <f t="array" ref="P746" xml:space="preserve"> mc(1000, -PI()/2,PI()/2, 0, 1, "sin(cos(x + y))")-1.48235</f>
        <v>4.1269658998637215E-3</v>
      </c>
    </row>
    <row r="747" spans="1:16" x14ac:dyDescent="0.3">
      <c r="A747">
        <v>717</v>
      </c>
      <c r="B747" cm="1">
        <f t="array" ref="B747" xml:space="preserve"> mc(100, 0, 4, 1, 2, "x^2+y^2")-92/3</f>
        <v>-0.96918913968518794</v>
      </c>
      <c r="C747" cm="1">
        <f t="array" ref="C747" xml:space="preserve"> mc(500, 0, 4, 1, 2, "x^2+y^2")-92/3</f>
        <v>-0.68439105978009351</v>
      </c>
      <c r="D747" cm="1">
        <f t="array" ref="D747" xml:space="preserve"> mc(1000, 0, 4, 1, 2, "x^2+y^2")-92/3</f>
        <v>0.53700660832923219</v>
      </c>
      <c r="F747" cm="1">
        <f t="array" ref="F747" xml:space="preserve"> ( mc(100, 3, 4, -1, 1, "EXP(x * sin(y))") ) - 7.39981</f>
        <v>-0.30115457236822341</v>
      </c>
      <c r="G747" cm="1">
        <f t="array" ref="G747" xml:space="preserve"> ( mc(500, 3, 4, -1, 1, "EXP(x * sin(y))") ) - 7.39981</f>
        <v>0.11772998978126026</v>
      </c>
      <c r="H747" cm="1">
        <f t="array" ref="H747" xml:space="preserve"> ( mc(1000, 3, 4, -1, 1, "EXP(x * sin(y))") ) - 7.39981</f>
        <v>-0.13874998318490572</v>
      </c>
      <c r="J747" cm="1">
        <f t="array" ref="J747" xml:space="preserve"> mc(100, -PI()/2,0,-1, 1, "ln(EXP(x * y))")</f>
        <v>0.22187058366568194</v>
      </c>
      <c r="K747" cm="1">
        <f t="array" ref="K747" xml:space="preserve"> mc(500, -PI()/2,0,-1, 1, "ln(EXP(x * y))")</f>
        <v>-4.459286958768445E-2</v>
      </c>
      <c r="L747" cm="1">
        <f t="array" ref="L747" xml:space="preserve"> mc(1000, -PI()/2,0,-1, 1, "ln(EXP(x * y))")</f>
        <v>1.6509922699242344E-2</v>
      </c>
      <c r="N747" cm="1">
        <f t="array" ref="N747" xml:space="preserve"> mc(100, -PI()/2,PI()/2, 0, 1, "sin(cos(x + y))")-1.48235</f>
        <v>-4.806876420887507E-3</v>
      </c>
      <c r="O747" cm="1">
        <f t="array" ref="O747" xml:space="preserve"> mc(500, -PI()/2,PI()/2, 0, 1, "sin(cos(x + y))")-1.48235</f>
        <v>-2.32001982497958E-2</v>
      </c>
      <c r="P747" cm="1">
        <f t="array" ref="P747" xml:space="preserve"> mc(1000, -PI()/2,PI()/2, 0, 1, "sin(cos(x + y))")-1.48235</f>
        <v>-2.7835122206427698E-3</v>
      </c>
    </row>
    <row r="748" spans="1:16" x14ac:dyDescent="0.3">
      <c r="A748">
        <v>718</v>
      </c>
      <c r="B748" cm="1">
        <f t="array" ref="B748" xml:space="preserve"> mc(100, 0, 4, 1, 2, "x^2+y^2")-92/3</f>
        <v>-0.54197591306688864</v>
      </c>
      <c r="C748" cm="1">
        <f t="array" ref="C748" xml:space="preserve"> mc(500, 0, 4, 1, 2, "x^2+y^2")-92/3</f>
        <v>-0.3510956299119421</v>
      </c>
      <c r="D748" cm="1">
        <f t="array" ref="D748" xml:space="preserve"> mc(1000, 0, 4, 1, 2, "x^2+y^2")-92/3</f>
        <v>0.89893460551735771</v>
      </c>
      <c r="F748" cm="1">
        <f t="array" ref="F748" xml:space="preserve"> ( mc(100, 3, 4, -1, 1, "EXP(x * sin(y))") ) - 7.39981</f>
        <v>0.50113389938508845</v>
      </c>
      <c r="G748" cm="1">
        <f t="array" ref="G748" xml:space="preserve"> ( mc(500, 3, 4, -1, 1, "EXP(x * sin(y))") ) - 7.39981</f>
        <v>-0.56893720575850359</v>
      </c>
      <c r="H748" cm="1">
        <f t="array" ref="H748" xml:space="preserve"> ( mc(1000, 3, 4, -1, 1, "EXP(x * sin(y))") ) - 7.39981</f>
        <v>5.5206438437847893E-2</v>
      </c>
      <c r="J748" cm="1">
        <f t="array" ref="J748" xml:space="preserve"> mc(100, -PI()/2,0,-1, 1, "ln(EXP(x * y))")</f>
        <v>4.1832287577723837E-2</v>
      </c>
      <c r="K748" cm="1">
        <f t="array" ref="K748" xml:space="preserve"> mc(500, -PI()/2,0,-1, 1, "ln(EXP(x * y))")</f>
        <v>-2.3493137135823249E-2</v>
      </c>
      <c r="L748" cm="1">
        <f t="array" ref="L748" xml:space="preserve"> mc(1000, -PI()/2,0,-1, 1, "ln(EXP(x * y))")</f>
        <v>-9.3268210924067535E-2</v>
      </c>
      <c r="N748" cm="1">
        <f t="array" ref="N748" xml:space="preserve"> mc(100, -PI()/2,PI()/2, 0, 1, "sin(cos(x + y))")-1.48235</f>
        <v>0.12957419030158079</v>
      </c>
      <c r="O748" cm="1">
        <f t="array" ref="O748" xml:space="preserve"> mc(500, -PI()/2,PI()/2, 0, 1, "sin(cos(x + y))")-1.48235</f>
        <v>1.1804143808986645E-3</v>
      </c>
      <c r="P748" cm="1">
        <f t="array" ref="P748" xml:space="preserve"> mc(1000, -PI()/2,PI()/2, 0, 1, "sin(cos(x + y))")-1.48235</f>
        <v>-2.0553269700568366E-2</v>
      </c>
    </row>
    <row r="749" spans="1:16" x14ac:dyDescent="0.3">
      <c r="A749">
        <v>719</v>
      </c>
      <c r="B749" cm="1">
        <f t="array" ref="B749" xml:space="preserve"> mc(100, 0, 4, 1, 2, "x^2+y^2")-92/3</f>
        <v>1.7526195504085926</v>
      </c>
      <c r="C749" cm="1">
        <f t="array" ref="C749" xml:space="preserve"> mc(500, 0, 4, 1, 2, "x^2+y^2")-92/3</f>
        <v>0.20321894644320437</v>
      </c>
      <c r="D749" cm="1">
        <f t="array" ref="D749" xml:space="preserve"> mc(1000, 0, 4, 1, 2, "x^2+y^2")-92/3</f>
        <v>-1.0776563752554402</v>
      </c>
      <c r="F749" cm="1">
        <f t="array" ref="F749" xml:space="preserve"> ( mc(100, 3, 4, -1, 1, "EXP(x * sin(y))") ) - 7.39981</f>
        <v>-0.97870607224979178</v>
      </c>
      <c r="G749" cm="1">
        <f t="array" ref="G749" xml:space="preserve"> ( mc(500, 3, 4, -1, 1, "EXP(x * sin(y))") ) - 7.39981</f>
        <v>-4.6729049293120717E-2</v>
      </c>
      <c r="H749" cm="1">
        <f t="array" ref="H749" xml:space="preserve"> ( mc(1000, 3, 4, -1, 1, "EXP(x * sin(y))") ) - 7.39981</f>
        <v>-9.0605272728737418E-2</v>
      </c>
      <c r="J749" cm="1">
        <f t="array" ref="J749" xml:space="preserve"> mc(100, -PI()/2,0,-1, 1, "ln(EXP(x * y))")</f>
        <v>-4.3078707727830824E-3</v>
      </c>
      <c r="K749" cm="1">
        <f t="array" ref="K749" xml:space="preserve"> mc(500, -PI()/2,0,-1, 1, "ln(EXP(x * y))")</f>
        <v>3.0882683931628168E-2</v>
      </c>
      <c r="L749" cm="1">
        <f t="array" ref="L749" xml:space="preserve"> mc(1000, -PI()/2,0,-1, 1, "ln(EXP(x * y))")</f>
        <v>-4.0413421767734027E-2</v>
      </c>
      <c r="N749" cm="1">
        <f t="array" ref="N749" xml:space="preserve"> mc(100, -PI()/2,PI()/2, 0, 1, "sin(cos(x + y))")-1.48235</f>
        <v>0.12880295458285462</v>
      </c>
      <c r="O749" cm="1">
        <f t="array" ref="O749" xml:space="preserve"> mc(500, -PI()/2,PI()/2, 0, 1, "sin(cos(x + y))")-1.48235</f>
        <v>2.7333875671650576E-2</v>
      </c>
      <c r="P749" cm="1">
        <f t="array" ref="P749" xml:space="preserve"> mc(1000, -PI()/2,PI()/2, 0, 1, "sin(cos(x + y))")-1.48235</f>
        <v>9.491117556950357E-2</v>
      </c>
    </row>
    <row r="750" spans="1:16" x14ac:dyDescent="0.3">
      <c r="A750">
        <v>720</v>
      </c>
      <c r="B750" cm="1">
        <f t="array" ref="B750" xml:space="preserve"> mc(100, 0, 4, 1, 2, "x^2+y^2")-92/3</f>
        <v>1.723354130508671</v>
      </c>
      <c r="C750" cm="1">
        <f t="array" ref="C750" xml:space="preserve"> mc(500, 0, 4, 1, 2, "x^2+y^2")-92/3</f>
        <v>0.52588134084437854</v>
      </c>
      <c r="D750" cm="1">
        <f t="array" ref="D750" xml:space="preserve"> mc(1000, 0, 4, 1, 2, "x^2+y^2")-92/3</f>
        <v>-1.2816230239687165</v>
      </c>
      <c r="F750" cm="1">
        <f t="array" ref="F750" xml:space="preserve"> ( mc(100, 3, 4, -1, 1, "EXP(x * sin(y))") ) - 7.39981</f>
        <v>0.89854359941850426</v>
      </c>
      <c r="G750" cm="1">
        <f t="array" ref="G750" xml:space="preserve"> ( mc(500, 3, 4, -1, 1, "EXP(x * sin(y))") ) - 7.39981</f>
        <v>-0.60173058953064018</v>
      </c>
      <c r="H750" cm="1">
        <f t="array" ref="H750" xml:space="preserve"> ( mc(1000, 3, 4, -1, 1, "EXP(x * sin(y))") ) - 7.39981</f>
        <v>-0.41678458532225893</v>
      </c>
      <c r="J750" cm="1">
        <f t="array" ref="J750" xml:space="preserve"> mc(100, -PI()/2,0,-1, 1, "ln(EXP(x * y))")</f>
        <v>6.0923840799619641E-2</v>
      </c>
      <c r="K750" cm="1">
        <f t="array" ref="K750" xml:space="preserve"> mc(500, -PI()/2,0,-1, 1, "ln(EXP(x * y))")</f>
        <v>5.5991538532397286E-2</v>
      </c>
      <c r="L750" cm="1">
        <f t="array" ref="L750" xml:space="preserve"> mc(1000, -PI()/2,0,-1, 1, "ln(EXP(x * y))")</f>
        <v>-9.4748841429243991E-3</v>
      </c>
      <c r="N750" cm="1">
        <f t="array" ref="N750" xml:space="preserve"> mc(100, -PI()/2,PI()/2, 0, 1, "sin(cos(x + y))")-1.48235</f>
        <v>-2.1433254287491543E-2</v>
      </c>
      <c r="O750" cm="1">
        <f t="array" ref="O750" xml:space="preserve"> mc(500, -PI()/2,PI()/2, 0, 1, "sin(cos(x + y))")-1.48235</f>
        <v>3.1455120056336661E-2</v>
      </c>
      <c r="P750" cm="1">
        <f t="array" ref="P750" xml:space="preserve"> mc(1000, -PI()/2,PI()/2, 0, 1, "sin(cos(x + y))")-1.48235</f>
        <v>5.3747077373514252E-2</v>
      </c>
    </row>
    <row r="751" spans="1:16" x14ac:dyDescent="0.3">
      <c r="A751">
        <v>721</v>
      </c>
      <c r="B751" cm="1">
        <f t="array" ref="B751" xml:space="preserve"> mc(100, 0, 4, 1, 2, "x^2+y^2")-92/3</f>
        <v>2.7892578030938999</v>
      </c>
      <c r="C751" cm="1">
        <f t="array" ref="C751" xml:space="preserve"> mc(500, 0, 4, 1, 2, "x^2+y^2")-92/3</f>
        <v>-1.3827658651418311</v>
      </c>
      <c r="D751" cm="1">
        <f t="array" ref="D751" xml:space="preserve"> mc(1000, 0, 4, 1, 2, "x^2+y^2")-92/3</f>
        <v>0.62814109884470426</v>
      </c>
      <c r="F751" cm="1">
        <f t="array" ref="F751" xml:space="preserve"> ( mc(100, 3, 4, -1, 1, "EXP(x * sin(y))") ) - 7.39981</f>
        <v>-0.38276629492889302</v>
      </c>
      <c r="G751" cm="1">
        <f t="array" ref="G751" xml:space="preserve"> ( mc(500, 3, 4, -1, 1, "EXP(x * sin(y))") ) - 7.39981</f>
        <v>-2.1086149414137445E-2</v>
      </c>
      <c r="H751" cm="1">
        <f t="array" ref="H751" xml:space="preserve"> ( mc(1000, 3, 4, -1, 1, "EXP(x * sin(y))") ) - 7.39981</f>
        <v>-1.0512940913930215</v>
      </c>
      <c r="J751" cm="1">
        <f t="array" ref="J751" xml:space="preserve"> mc(100, -PI()/2,0,-1, 1, "ln(EXP(x * y))")</f>
        <v>-0.15515805164195623</v>
      </c>
      <c r="K751" cm="1">
        <f t="array" ref="K751" xml:space="preserve"> mc(500, -PI()/2,0,-1, 1, "ln(EXP(x * y))")</f>
        <v>-7.2841320800646536E-2</v>
      </c>
      <c r="L751" cm="1">
        <f t="array" ref="L751" xml:space="preserve"> mc(1000, -PI()/2,0,-1, 1, "ln(EXP(x * y))")</f>
        <v>3.5714069303998466E-2</v>
      </c>
      <c r="N751" cm="1">
        <f t="array" ref="N751" xml:space="preserve"> mc(100, -PI()/2,PI()/2, 0, 1, "sin(cos(x + y))")-1.48235</f>
        <v>0.1420408958106818</v>
      </c>
      <c r="O751" cm="1">
        <f t="array" ref="O751" xml:space="preserve"> mc(500, -PI()/2,PI()/2, 0, 1, "sin(cos(x + y))")-1.48235</f>
        <v>2.73508607794819E-2</v>
      </c>
      <c r="P751" cm="1">
        <f t="array" ref="P751" xml:space="preserve"> mc(1000, -PI()/2,PI()/2, 0, 1, "sin(cos(x + y))")-1.48235</f>
        <v>4.4468951658056532E-3</v>
      </c>
    </row>
    <row r="752" spans="1:16" x14ac:dyDescent="0.3">
      <c r="A752">
        <v>722</v>
      </c>
      <c r="B752" cm="1">
        <f t="array" ref="B752" xml:space="preserve"> mc(100, 0, 4, 1, 2, "x^2+y^2")-92/3</f>
        <v>-0.87429272492054011</v>
      </c>
      <c r="C752" cm="1">
        <f t="array" ref="C752" xml:space="preserve"> mc(500, 0, 4, 1, 2, "x^2+y^2")-92/3</f>
        <v>1.7059767840835853</v>
      </c>
      <c r="D752" cm="1">
        <f t="array" ref="D752" xml:space="preserve"> mc(1000, 0, 4, 1, 2, "x^2+y^2")-92/3</f>
        <v>0.53688122353858958</v>
      </c>
      <c r="F752" cm="1">
        <f t="array" ref="F752" xml:space="preserve"> ( mc(100, 3, 4, -1, 1, "EXP(x * sin(y))") ) - 7.39981</f>
        <v>-2.0868604294483193</v>
      </c>
      <c r="G752" cm="1">
        <f t="array" ref="G752" xml:space="preserve"> ( mc(500, 3, 4, -1, 1, "EXP(x * sin(y))") ) - 7.39981</f>
        <v>-2.2878652256379972E-2</v>
      </c>
      <c r="H752" cm="1">
        <f t="array" ref="H752" xml:space="preserve"> ( mc(1000, 3, 4, -1, 1, "EXP(x * sin(y))") ) - 7.39981</f>
        <v>5.3739144502550573E-2</v>
      </c>
      <c r="J752" cm="1">
        <f t="array" ref="J752" xml:space="preserve"> mc(100, -PI()/2,0,-1, 1, "ln(EXP(x * y))")</f>
        <v>-9.0735857034034348E-2</v>
      </c>
      <c r="K752" cm="1">
        <f t="array" ref="K752" xml:space="preserve"> mc(500, -PI()/2,0,-1, 1, "ln(EXP(x * y))")</f>
        <v>9.1480341364725271E-2</v>
      </c>
      <c r="L752" cm="1">
        <f t="array" ref="L752" xml:space="preserve"> mc(1000, -PI()/2,0,-1, 1, "ln(EXP(x * y))")</f>
        <v>9.7393816311984419E-2</v>
      </c>
      <c r="N752" cm="1">
        <f t="array" ref="N752" xml:space="preserve"> mc(100, -PI()/2,PI()/2, 0, 1, "sin(cos(x + y))")-1.48235</f>
        <v>0.16720580061957291</v>
      </c>
      <c r="O752" cm="1">
        <f t="array" ref="O752" xml:space="preserve"> mc(500, -PI()/2,PI()/2, 0, 1, "sin(cos(x + y))")-1.48235</f>
        <v>2.6026109016044963E-2</v>
      </c>
      <c r="P752" cm="1">
        <f t="array" ref="P752" xml:space="preserve"> mc(1000, -PI()/2,PI()/2, 0, 1, "sin(cos(x + y))")-1.48235</f>
        <v>-1.6791601341381135E-2</v>
      </c>
    </row>
    <row r="753" spans="1:16" x14ac:dyDescent="0.3">
      <c r="A753">
        <v>723</v>
      </c>
      <c r="B753" cm="1">
        <f t="array" ref="B753" xml:space="preserve"> mc(100, 0, 4, 1, 2, "x^2+y^2")-92/3</f>
        <v>-0.61254067126906975</v>
      </c>
      <c r="C753" cm="1">
        <f t="array" ref="C753" xml:space="preserve"> mc(500, 0, 4, 1, 2, "x^2+y^2")-92/3</f>
        <v>5.2107367896745416E-3</v>
      </c>
      <c r="D753" cm="1">
        <f t="array" ref="D753" xml:space="preserve"> mc(1000, 0, 4, 1, 2, "x^2+y^2")-92/3</f>
        <v>0.95240453683600634</v>
      </c>
      <c r="F753" cm="1">
        <f t="array" ref="F753" xml:space="preserve"> ( mc(100, 3, 4, -1, 1, "EXP(x * sin(y))") ) - 7.39981</f>
        <v>-3.3838404634392028E-2</v>
      </c>
      <c r="G753" cm="1">
        <f t="array" ref="G753" xml:space="preserve"> ( mc(500, 3, 4, -1, 1, "EXP(x * sin(y))") ) - 7.39981</f>
        <v>0.82790505555894711</v>
      </c>
      <c r="H753" cm="1">
        <f t="array" ref="H753" xml:space="preserve"> ( mc(1000, 3, 4, -1, 1, "EXP(x * sin(y))") ) - 7.39981</f>
        <v>0.39944627638050711</v>
      </c>
      <c r="J753" cm="1">
        <f t="array" ref="J753" xml:space="preserve"> mc(100, -PI()/2,0,-1, 1, "ln(EXP(x * y))")</f>
        <v>5.7799770187378169E-2</v>
      </c>
      <c r="K753" cm="1">
        <f t="array" ref="K753" xml:space="preserve"> mc(500, -PI()/2,0,-1, 1, "ln(EXP(x * y))")</f>
        <v>0.14953765255050788</v>
      </c>
      <c r="L753" cm="1">
        <f t="array" ref="L753" xml:space="preserve"> mc(1000, -PI()/2,0,-1, 1, "ln(EXP(x * y))")</f>
        <v>-2.1399936250054079E-2</v>
      </c>
      <c r="N753" cm="1">
        <f t="array" ref="N753" xml:space="preserve"> mc(100, -PI()/2,PI()/2, 0, 1, "sin(cos(x + y))")-1.48235</f>
        <v>0.21329096542147408</v>
      </c>
      <c r="O753" cm="1">
        <f t="array" ref="O753" xml:space="preserve"> mc(500, -PI()/2,PI()/2, 0, 1, "sin(cos(x + y))")-1.48235</f>
        <v>5.3462881371102E-2</v>
      </c>
      <c r="P753" cm="1">
        <f t="array" ref="P753" xml:space="preserve"> mc(1000, -PI()/2,PI()/2, 0, 1, "sin(cos(x + y))")-1.48235</f>
        <v>3.892023389930066E-2</v>
      </c>
    </row>
    <row r="754" spans="1:16" x14ac:dyDescent="0.3">
      <c r="A754">
        <v>724</v>
      </c>
      <c r="B754" cm="1">
        <f t="array" ref="B754" xml:space="preserve"> mc(100, 0, 4, 1, 2, "x^2+y^2")-92/3</f>
        <v>0.69554197086280567</v>
      </c>
      <c r="C754" cm="1">
        <f t="array" ref="C754" xml:space="preserve"> mc(500, 0, 4, 1, 2, "x^2+y^2")-92/3</f>
        <v>-0.51086780881996319</v>
      </c>
      <c r="D754" cm="1">
        <f t="array" ref="D754" xml:space="preserve"> mc(1000, 0, 4, 1, 2, "x^2+y^2")-92/3</f>
        <v>0.3771679731968014</v>
      </c>
      <c r="F754" cm="1">
        <f t="array" ref="F754" xml:space="preserve"> ( mc(100, 3, 4, -1, 1, "EXP(x * sin(y))") ) - 7.39981</f>
        <v>0.16841526202897228</v>
      </c>
      <c r="G754" cm="1">
        <f t="array" ref="G754" xml:space="preserve"> ( mc(500, 3, 4, -1, 1, "EXP(x * sin(y))") ) - 7.39981</f>
        <v>2.5638508204416155E-2</v>
      </c>
      <c r="H754" cm="1">
        <f t="array" ref="H754" xml:space="preserve"> ( mc(1000, 3, 4, -1, 1, "EXP(x * sin(y))") ) - 7.39981</f>
        <v>0.37564184274963797</v>
      </c>
      <c r="J754" cm="1">
        <f t="array" ref="J754" xml:space="preserve"> mc(100, -PI()/2,0,-1, 1, "ln(EXP(x * y))")</f>
        <v>4.4436275780557789E-2</v>
      </c>
      <c r="K754" cm="1">
        <f t="array" ref="K754" xml:space="preserve"> mc(500, -PI()/2,0,-1, 1, "ln(EXP(x * y))")</f>
        <v>-3.330981949097362E-2</v>
      </c>
      <c r="L754" cm="1">
        <f t="array" ref="L754" xml:space="preserve"> mc(1000, -PI()/2,0,-1, 1, "ln(EXP(x * y))")</f>
        <v>4.2918170966920965E-2</v>
      </c>
      <c r="N754" cm="1">
        <f t="array" ref="N754" xml:space="preserve"> mc(100, -PI()/2,PI()/2, 0, 1, "sin(cos(x + y))")-1.48235</f>
        <v>0.10472556117957477</v>
      </c>
      <c r="O754" cm="1">
        <f t="array" ref="O754" xml:space="preserve"> mc(500, -PI()/2,PI()/2, 0, 1, "sin(cos(x + y))")-1.48235</f>
        <v>1.5310012329949441E-2</v>
      </c>
      <c r="P754" cm="1">
        <f t="array" ref="P754" xml:space="preserve"> mc(1000, -PI()/2,PI()/2, 0, 1, "sin(cos(x + y))")-1.48235</f>
        <v>3.4120582504919561E-3</v>
      </c>
    </row>
    <row r="755" spans="1:16" x14ac:dyDescent="0.3">
      <c r="A755">
        <v>725</v>
      </c>
      <c r="B755" cm="1">
        <f t="array" ref="B755" xml:space="preserve"> mc(100, 0, 4, 1, 2, "x^2+y^2")-92/3</f>
        <v>-0.69185050681175042</v>
      </c>
      <c r="C755" cm="1">
        <f t="array" ref="C755" xml:space="preserve"> mc(500, 0, 4, 1, 2, "x^2+y^2")-92/3</f>
        <v>-5.4805945398765488E-2</v>
      </c>
      <c r="D755" cm="1">
        <f t="array" ref="D755" xml:space="preserve"> mc(1000, 0, 4, 1, 2, "x^2+y^2")-92/3</f>
        <v>-1.2199662517724335</v>
      </c>
      <c r="F755" cm="1">
        <f t="array" ref="F755" xml:space="preserve"> ( mc(100, 3, 4, -1, 1, "EXP(x * sin(y))") ) - 7.39981</f>
        <v>-1.3391943660204557</v>
      </c>
      <c r="G755" cm="1">
        <f t="array" ref="G755" xml:space="preserve"> ( mc(500, 3, 4, -1, 1, "EXP(x * sin(y))") ) - 7.39981</f>
        <v>-1.0700980232357242</v>
      </c>
      <c r="H755" cm="1">
        <f t="array" ref="H755" xml:space="preserve"> ( mc(1000, 3, 4, -1, 1, "EXP(x * sin(y))") ) - 7.39981</f>
        <v>0.1430166980712837</v>
      </c>
      <c r="J755" cm="1">
        <f t="array" ref="J755" xml:space="preserve"> mc(100, -PI()/2,0,-1, 1, "ln(EXP(x * y))")</f>
        <v>-0.15341570429864287</v>
      </c>
      <c r="K755" cm="1">
        <f t="array" ref="K755" xml:space="preserve"> mc(500, -PI()/2,0,-1, 1, "ln(EXP(x * y))")</f>
        <v>7.9012677825569949E-2</v>
      </c>
      <c r="L755" cm="1">
        <f t="array" ref="L755" xml:space="preserve"> mc(1000, -PI()/2,0,-1, 1, "ln(EXP(x * y))")</f>
        <v>9.2478948111618022E-3</v>
      </c>
      <c r="N755" cm="1">
        <f t="array" ref="N755" xml:space="preserve"> mc(100, -PI()/2,PI()/2, 0, 1, "sin(cos(x + y))")-1.48235</f>
        <v>3.3484439790219866E-2</v>
      </c>
      <c r="O755" cm="1">
        <f t="array" ref="O755" xml:space="preserve"> mc(500, -PI()/2,PI()/2, 0, 1, "sin(cos(x + y))")-1.48235</f>
        <v>1.2260095005500737E-2</v>
      </c>
      <c r="P755" cm="1">
        <f t="array" ref="P755" xml:space="preserve"> mc(1000, -PI()/2,PI()/2, 0, 1, "sin(cos(x + y))")-1.48235</f>
        <v>-3.9327994530561572E-2</v>
      </c>
    </row>
    <row r="756" spans="1:16" x14ac:dyDescent="0.3">
      <c r="A756">
        <v>726</v>
      </c>
      <c r="B756" cm="1">
        <f t="array" ref="B756" xml:space="preserve"> mc(100, 0, 4, 1, 2, "x^2+y^2")-92/3</f>
        <v>1.4855456428969696</v>
      </c>
      <c r="C756" cm="1">
        <f t="array" ref="C756" xml:space="preserve"> mc(500, 0, 4, 1, 2, "x^2+y^2")-92/3</f>
        <v>0.80644989254590271</v>
      </c>
      <c r="D756" cm="1">
        <f t="array" ref="D756" xml:space="preserve"> mc(1000, 0, 4, 1, 2, "x^2+y^2")-92/3</f>
        <v>-1.1533098408662568E-2</v>
      </c>
      <c r="F756" cm="1">
        <f t="array" ref="F756" xml:space="preserve"> ( mc(100, 3, 4, -1, 1, "EXP(x * sin(y))") ) - 7.39981</f>
        <v>-1.9533660731286719</v>
      </c>
      <c r="G756" cm="1">
        <f t="array" ref="G756" xml:space="preserve"> ( mc(500, 3, 4, -1, 1, "EXP(x * sin(y))") ) - 7.39981</f>
        <v>0.20430492475063655</v>
      </c>
      <c r="H756" cm="1">
        <f t="array" ref="H756" xml:space="preserve"> ( mc(1000, 3, 4, -1, 1, "EXP(x * sin(y))") ) - 7.39981</f>
        <v>-0.46364611931479338</v>
      </c>
      <c r="J756" cm="1">
        <f t="array" ref="J756" xml:space="preserve"> mc(100, -PI()/2,0,-1, 1, "ln(EXP(x * y))")</f>
        <v>0.10261856616985054</v>
      </c>
      <c r="K756" cm="1">
        <f t="array" ref="K756" xml:space="preserve"> mc(500, -PI()/2,0,-1, 1, "ln(EXP(x * y))")</f>
        <v>8.7375462136826718E-2</v>
      </c>
      <c r="L756" cm="1">
        <f t="array" ref="L756" xml:space="preserve"> mc(1000, -PI()/2,0,-1, 1, "ln(EXP(x * y))")</f>
        <v>-3.8772294851874369E-3</v>
      </c>
      <c r="N756" cm="1">
        <f t="array" ref="N756" xml:space="preserve"> mc(100, -PI()/2,PI()/2, 0, 1, "sin(cos(x + y))")-1.48235</f>
        <v>-0.23248636837060177</v>
      </c>
      <c r="O756" cm="1">
        <f t="array" ref="O756" xml:space="preserve"> mc(500, -PI()/2,PI()/2, 0, 1, "sin(cos(x + y))")-1.48235</f>
        <v>-4.984289629130334E-3</v>
      </c>
      <c r="P756" cm="1">
        <f t="array" ref="P756" xml:space="preserve"> mc(1000, -PI()/2,PI()/2, 0, 1, "sin(cos(x + y))")-1.48235</f>
        <v>-2.7963948269738026E-4</v>
      </c>
    </row>
    <row r="757" spans="1:16" x14ac:dyDescent="0.3">
      <c r="A757">
        <v>727</v>
      </c>
      <c r="B757" cm="1">
        <f t="array" ref="B757" xml:space="preserve"> mc(100, 0, 4, 1, 2, "x^2+y^2")-92/3</f>
        <v>-1.5445014279614888</v>
      </c>
      <c r="C757" cm="1">
        <f t="array" ref="C757" xml:space="preserve"> mc(500, 0, 4, 1, 2, "x^2+y^2")-92/3</f>
        <v>-0.92085525757090281</v>
      </c>
      <c r="D757" cm="1">
        <f t="array" ref="D757" xml:space="preserve"> mc(1000, 0, 4, 1, 2, "x^2+y^2")-92/3</f>
        <v>-0.33337223987763309</v>
      </c>
      <c r="F757" cm="1">
        <f t="array" ref="F757" xml:space="preserve"> ( mc(100, 3, 4, -1, 1, "EXP(x * sin(y))") ) - 7.39981</f>
        <v>-2.363838337950952E-4</v>
      </c>
      <c r="G757" cm="1">
        <f t="array" ref="G757" xml:space="preserve"> ( mc(500, 3, 4, -1, 1, "EXP(x * sin(y))") ) - 7.39981</f>
        <v>0.28445218387495075</v>
      </c>
      <c r="H757" cm="1">
        <f t="array" ref="H757" xml:space="preserve"> ( mc(1000, 3, 4, -1, 1, "EXP(x * sin(y))") ) - 7.39981</f>
        <v>0.83037208172898502</v>
      </c>
      <c r="J757" cm="1">
        <f t="array" ref="J757" xml:space="preserve"> mc(100, -PI()/2,0,-1, 1, "ln(EXP(x * y))")</f>
        <v>-1.5285181036625961E-2</v>
      </c>
      <c r="K757" cm="1">
        <f t="array" ref="K757" xml:space="preserve"> mc(500, -PI()/2,0,-1, 1, "ln(EXP(x * y))")</f>
        <v>-3.3167332127910877E-2</v>
      </c>
      <c r="L757" cm="1">
        <f t="array" ref="L757" xml:space="preserve"> mc(1000, -PI()/2,0,-1, 1, "ln(EXP(x * y))")</f>
        <v>3.8736577044472661E-3</v>
      </c>
      <c r="N757" cm="1">
        <f t="array" ref="N757" xml:space="preserve"> mc(100, -PI()/2,PI()/2, 0, 1, "sin(cos(x + y))")-1.48235</f>
        <v>9.4247151872437929E-2</v>
      </c>
      <c r="O757" cm="1">
        <f t="array" ref="O757" xml:space="preserve"> mc(500, -PI()/2,PI()/2, 0, 1, "sin(cos(x + y))")-1.48235</f>
        <v>5.7203365999010325E-2</v>
      </c>
      <c r="P757" cm="1">
        <f t="array" ref="P757" xml:space="preserve"> mc(1000, -PI()/2,PI()/2, 0, 1, "sin(cos(x + y))")-1.48235</f>
        <v>5.3957494905460202E-2</v>
      </c>
    </row>
    <row r="758" spans="1:16" x14ac:dyDescent="0.3">
      <c r="A758">
        <v>728</v>
      </c>
      <c r="B758" cm="1">
        <f t="array" ref="B758" xml:space="preserve"> mc(100, 0, 4, 1, 2, "x^2+y^2")-92/3</f>
        <v>-3.4892348981235131</v>
      </c>
      <c r="C758" cm="1">
        <f t="array" ref="C758" xml:space="preserve"> mc(500, 0, 4, 1, 2, "x^2+y^2")-92/3</f>
        <v>1.4335150986087264</v>
      </c>
      <c r="D758" cm="1">
        <f t="array" ref="D758" xml:space="preserve"> mc(1000, 0, 4, 1, 2, "x^2+y^2")-92/3</f>
        <v>-0.70350239850161955</v>
      </c>
      <c r="F758" cm="1">
        <f t="array" ref="F758" xml:space="preserve"> ( mc(100, 3, 4, -1, 1, "EXP(x * sin(y))") ) - 7.39981</f>
        <v>-1.4855070671282951</v>
      </c>
      <c r="G758" cm="1">
        <f t="array" ref="G758" xml:space="preserve"> ( mc(500, 3, 4, -1, 1, "EXP(x * sin(y))") ) - 7.39981</f>
        <v>-9.9287913931074279E-2</v>
      </c>
      <c r="H758" cm="1">
        <f t="array" ref="H758" xml:space="preserve"> ( mc(1000, 3, 4, -1, 1, "EXP(x * sin(y))") ) - 7.39981</f>
        <v>8.7767763683470612E-2</v>
      </c>
      <c r="J758" cm="1">
        <f t="array" ref="J758" xml:space="preserve"> mc(100, -PI()/2,0,-1, 1, "ln(EXP(x * y))")</f>
        <v>-2.3010909459469662E-3</v>
      </c>
      <c r="K758" cm="1">
        <f t="array" ref="K758" xml:space="preserve"> mc(500, -PI()/2,0,-1, 1, "ln(EXP(x * y))")</f>
        <v>-1.0180458177410022E-2</v>
      </c>
      <c r="L758" cm="1">
        <f t="array" ref="L758" xml:space="preserve"> mc(1000, -PI()/2,0,-1, 1, "ln(EXP(x * y))")</f>
        <v>-2.8105875831513135E-3</v>
      </c>
      <c r="N758" cm="1">
        <f t="array" ref="N758" xml:space="preserve"> mc(100, -PI()/2,PI()/2, 0, 1, "sin(cos(x + y))")-1.48235</f>
        <v>0.31867289551368683</v>
      </c>
      <c r="O758" cm="1">
        <f t="array" ref="O758" xml:space="preserve"> mc(500, -PI()/2,PI()/2, 0, 1, "sin(cos(x + y))")-1.48235</f>
        <v>-3.8580630201263455E-2</v>
      </c>
      <c r="P758" cm="1">
        <f t="array" ref="P758" xml:space="preserve"> mc(1000, -PI()/2,PI()/2, 0, 1, "sin(cos(x + y))")-1.48235</f>
        <v>3.6176615718819916E-2</v>
      </c>
    </row>
    <row r="759" spans="1:16" x14ac:dyDescent="0.3">
      <c r="A759">
        <v>729</v>
      </c>
      <c r="B759" cm="1">
        <f t="array" ref="B759" xml:space="preserve"> mc(100, 0, 4, 1, 2, "x^2+y^2")-92/3</f>
        <v>-9.0299290418581535E-2</v>
      </c>
      <c r="C759" cm="1">
        <f t="array" ref="C759" xml:space="preserve"> mc(500, 0, 4, 1, 2, "x^2+y^2")-92/3</f>
        <v>-0.2571266189423298</v>
      </c>
      <c r="D759" cm="1">
        <f t="array" ref="D759" xml:space="preserve"> mc(1000, 0, 4, 1, 2, "x^2+y^2")-92/3</f>
        <v>0.36452916741886909</v>
      </c>
      <c r="F759" cm="1">
        <f t="array" ref="F759" xml:space="preserve"> ( mc(100, 3, 4, -1, 1, "EXP(x * sin(y))") ) - 7.39981</f>
        <v>-0.4346711036951536</v>
      </c>
      <c r="G759" cm="1">
        <f t="array" ref="G759" xml:space="preserve"> ( mc(500, 3, 4, -1, 1, "EXP(x * sin(y))") ) - 7.39981</f>
        <v>0.20719717086196354</v>
      </c>
      <c r="H759" cm="1">
        <f t="array" ref="H759" xml:space="preserve"> ( mc(1000, 3, 4, -1, 1, "EXP(x * sin(y))") ) - 7.39981</f>
        <v>0.43313843760012194</v>
      </c>
      <c r="J759" cm="1">
        <f t="array" ref="J759" xml:space="preserve"> mc(100, -PI()/2,0,-1, 1, "ln(EXP(x * y))")</f>
        <v>8.2690064331705948E-2</v>
      </c>
      <c r="K759" cm="1">
        <f t="array" ref="K759" xml:space="preserve"> mc(500, -PI()/2,0,-1, 1, "ln(EXP(x * y))")</f>
        <v>-6.4995663956776223E-2</v>
      </c>
      <c r="L759" cm="1">
        <f t="array" ref="L759" xml:space="preserve"> mc(1000, -PI()/2,0,-1, 1, "ln(EXP(x * y))")</f>
        <v>-3.5369453249711691E-2</v>
      </c>
      <c r="N759" cm="1">
        <f t="array" ref="N759" xml:space="preserve"> mc(100, -PI()/2,PI()/2, 0, 1, "sin(cos(x + y))")-1.48235</f>
        <v>-9.5617032522110845E-2</v>
      </c>
      <c r="O759" cm="1">
        <f t="array" ref="O759" xml:space="preserve"> mc(500, -PI()/2,PI()/2, 0, 1, "sin(cos(x + y))")-1.48235</f>
        <v>4.3645769116014366E-2</v>
      </c>
      <c r="P759" cm="1">
        <f t="array" ref="P759" xml:space="preserve"> mc(1000, -PI()/2,PI()/2, 0, 1, "sin(cos(x + y))")-1.48235</f>
        <v>2.0697229015473884E-3</v>
      </c>
    </row>
    <row r="760" spans="1:16" x14ac:dyDescent="0.3">
      <c r="A760">
        <v>730</v>
      </c>
      <c r="B760" cm="1">
        <f t="array" ref="B760" xml:space="preserve"> mc(100, 0, 4, 1, 2, "x^2+y^2")-92/3</f>
        <v>-0.80160843658149261</v>
      </c>
      <c r="C760" cm="1">
        <f t="array" ref="C760" xml:space="preserve"> mc(500, 0, 4, 1, 2, "x^2+y^2")-92/3</f>
        <v>0.81970367243662068</v>
      </c>
      <c r="D760" cm="1">
        <f t="array" ref="D760" xml:space="preserve"> mc(1000, 0, 4, 1, 2, "x^2+y^2")-92/3</f>
        <v>1.2818969274887309</v>
      </c>
      <c r="F760" cm="1">
        <f t="array" ref="F760" xml:space="preserve"> ( mc(100, 3, 4, -1, 1, "EXP(x * sin(y))") ) - 7.39981</f>
        <v>-1.5423921683250157</v>
      </c>
      <c r="G760" cm="1">
        <f t="array" ref="G760" xml:space="preserve"> ( mc(500, 3, 4, -1, 1, "EXP(x * sin(y))") ) - 7.39981</f>
        <v>-0.14294619720604373</v>
      </c>
      <c r="H760" cm="1">
        <f t="array" ref="H760" xml:space="preserve"> ( mc(1000, 3, 4, -1, 1, "EXP(x * sin(y))") ) - 7.39981</f>
        <v>3.4683096482838849E-2</v>
      </c>
      <c r="J760" cm="1">
        <f t="array" ref="J760" xml:space="preserve"> mc(100, -PI()/2,0,-1, 1, "ln(EXP(x * y))")</f>
        <v>5.6499133603728782E-2</v>
      </c>
      <c r="K760" cm="1">
        <f t="array" ref="K760" xml:space="preserve"> mc(500, -PI()/2,0,-1, 1, "ln(EXP(x * y))")</f>
        <v>2.2435144390172173E-2</v>
      </c>
      <c r="L760" cm="1">
        <f t="array" ref="L760" xml:space="preserve"> mc(1000, -PI()/2,0,-1, 1, "ln(EXP(x * y))")</f>
        <v>-3.2879889769256869E-2</v>
      </c>
      <c r="N760" cm="1">
        <f t="array" ref="N760" xml:space="preserve"> mc(100, -PI()/2,PI()/2, 0, 1, "sin(cos(x + y))")-1.48235</f>
        <v>5.0761994087680451E-2</v>
      </c>
      <c r="O760" cm="1">
        <f t="array" ref="O760" xml:space="preserve"> mc(500, -PI()/2,PI()/2, 0, 1, "sin(cos(x + y))")-1.48235</f>
        <v>3.0207561910182701E-3</v>
      </c>
      <c r="P760" cm="1">
        <f t="array" ref="P760" xml:space="preserve"> mc(1000, -PI()/2,PI()/2, 0, 1, "sin(cos(x + y))")-1.48235</f>
        <v>-1.0902397583676837E-2</v>
      </c>
    </row>
    <row r="761" spans="1:16" x14ac:dyDescent="0.3">
      <c r="A761">
        <v>731</v>
      </c>
      <c r="B761" cm="1">
        <f t="array" ref="B761" xml:space="preserve"> mc(100, 0, 4, 1, 2, "x^2+y^2")-92/3</f>
        <v>-1.3529962806844935</v>
      </c>
      <c r="C761" cm="1">
        <f t="array" ref="C761" xml:space="preserve"> mc(500, 0, 4, 1, 2, "x^2+y^2")-92/3</f>
        <v>0.46716853470132946</v>
      </c>
      <c r="D761" cm="1">
        <f t="array" ref="D761" xml:space="preserve"> mc(1000, 0, 4, 1, 2, "x^2+y^2")-92/3</f>
        <v>-1.0182205904772701E-2</v>
      </c>
      <c r="F761" cm="1">
        <f t="array" ref="F761" xml:space="preserve"> ( mc(100, 3, 4, -1, 1, "EXP(x * sin(y))") ) - 7.39981</f>
        <v>1.5743193609061734E-2</v>
      </c>
      <c r="G761" cm="1">
        <f t="array" ref="G761" xml:space="preserve"> ( mc(500, 3, 4, -1, 1, "EXP(x * sin(y))") ) - 7.39981</f>
        <v>6.3090028817639698E-2</v>
      </c>
      <c r="H761" cm="1">
        <f t="array" ref="H761" xml:space="preserve"> ( mc(1000, 3, 4, -1, 1, "EXP(x * sin(y))") ) - 7.39981</f>
        <v>0.57518379880540671</v>
      </c>
      <c r="J761" cm="1">
        <f t="array" ref="J761" xml:space="preserve"> mc(100, -PI()/2,0,-1, 1, "ln(EXP(x * y))")</f>
        <v>0.19123026330415382</v>
      </c>
      <c r="K761" cm="1">
        <f t="array" ref="K761" xml:space="preserve"> mc(500, -PI()/2,0,-1, 1, "ln(EXP(x * y))")</f>
        <v>-7.271398378987845E-2</v>
      </c>
      <c r="L761" cm="1">
        <f t="array" ref="L761" xml:space="preserve"> mc(1000, -PI()/2,0,-1, 1, "ln(EXP(x * y))")</f>
        <v>-2.2756877316899037E-2</v>
      </c>
      <c r="N761" cm="1">
        <f t="array" ref="N761" xml:space="preserve"> mc(100, -PI()/2,PI()/2, 0, 1, "sin(cos(x + y))")-1.48235</f>
        <v>-2.8911773872287272E-2</v>
      </c>
      <c r="O761" cm="1">
        <f t="array" ref="O761" xml:space="preserve"> mc(500, -PI()/2,PI()/2, 0, 1, "sin(cos(x + y))")-1.48235</f>
        <v>-9.4567206124638314E-3</v>
      </c>
      <c r="P761" cm="1">
        <f t="array" ref="P761" xml:space="preserve"> mc(1000, -PI()/2,PI()/2, 0, 1, "sin(cos(x + y))")-1.48235</f>
        <v>-1.0467137032113438E-2</v>
      </c>
    </row>
    <row r="762" spans="1:16" x14ac:dyDescent="0.3">
      <c r="A762">
        <v>732</v>
      </c>
      <c r="B762" cm="1">
        <f t="array" ref="B762" xml:space="preserve"> mc(100, 0, 4, 1, 2, "x^2+y^2")-92/3</f>
        <v>-2.0488038369373385</v>
      </c>
      <c r="C762" cm="1">
        <f t="array" ref="C762" xml:space="preserve"> mc(500, 0, 4, 1, 2, "x^2+y^2")-92/3</f>
        <v>0.73370989563825262</v>
      </c>
      <c r="D762" cm="1">
        <f t="array" ref="D762" xml:space="preserve"> mc(1000, 0, 4, 1, 2, "x^2+y^2")-92/3</f>
        <v>0.86552794391785781</v>
      </c>
      <c r="F762" cm="1">
        <f t="array" ref="F762" xml:space="preserve"> ( mc(100, 3, 4, -1, 1, "EXP(x * sin(y))") ) - 7.39981</f>
        <v>-6.4755048674737026E-2</v>
      </c>
      <c r="G762" cm="1">
        <f t="array" ref="G762" xml:space="preserve"> ( mc(500, 3, 4, -1, 1, "EXP(x * sin(y))") ) - 7.39981</f>
        <v>0.1829307717580253</v>
      </c>
      <c r="H762" cm="1">
        <f t="array" ref="H762" xml:space="preserve"> ( mc(1000, 3, 4, -1, 1, "EXP(x * sin(y))") ) - 7.39981</f>
        <v>-0.21370017098322691</v>
      </c>
      <c r="J762" cm="1">
        <f t="array" ref="J762" xml:space="preserve"> mc(100, -PI()/2,0,-1, 1, "ln(EXP(x * y))")</f>
        <v>-3.6012655122677054E-2</v>
      </c>
      <c r="K762" cm="1">
        <f t="array" ref="K762" xml:space="preserve"> mc(500, -PI()/2,0,-1, 1, "ln(EXP(x * y))")</f>
        <v>-9.6694656479589233E-2</v>
      </c>
      <c r="L762" cm="1">
        <f t="array" ref="L762" xml:space="preserve"> mc(1000, -PI()/2,0,-1, 1, "ln(EXP(x * y))")</f>
        <v>1.9682614894746087E-2</v>
      </c>
      <c r="N762" cm="1">
        <f t="array" ref="N762" xml:space="preserve"> mc(100, -PI()/2,PI()/2, 0, 1, "sin(cos(x + y))")-1.48235</f>
        <v>-6.8246962391388388E-2</v>
      </c>
      <c r="O762" cm="1">
        <f t="array" ref="O762" xml:space="preserve"> mc(500, -PI()/2,PI()/2, 0, 1, "sin(cos(x + y))")-1.48235</f>
        <v>-3.7862265503559644E-2</v>
      </c>
      <c r="P762" cm="1">
        <f t="array" ref="P762" xml:space="preserve"> mc(1000, -PI()/2,PI()/2, 0, 1, "sin(cos(x + y))")-1.48235</f>
        <v>2.7194174393484927E-2</v>
      </c>
    </row>
    <row r="763" spans="1:16" x14ac:dyDescent="0.3">
      <c r="A763">
        <v>733</v>
      </c>
      <c r="B763" cm="1">
        <f t="array" ref="B763" xml:space="preserve"> mc(100, 0, 4, 1, 2, "x^2+y^2")-92/3</f>
        <v>2.0511240365951977E-2</v>
      </c>
      <c r="C763" cm="1">
        <f t="array" ref="C763" xml:space="preserve"> mc(500, 0, 4, 1, 2, "x^2+y^2")-92/3</f>
        <v>1.3854588822936869</v>
      </c>
      <c r="D763" cm="1">
        <f t="array" ref="D763" xml:space="preserve"> mc(1000, 0, 4, 1, 2, "x^2+y^2")-92/3</f>
        <v>0.24678554804521013</v>
      </c>
      <c r="F763" cm="1">
        <f t="array" ref="F763" xml:space="preserve"> ( mc(100, 3, 4, -1, 1, "EXP(x * sin(y))") ) - 7.39981</f>
        <v>0.22262865146687627</v>
      </c>
      <c r="G763" cm="1">
        <f t="array" ref="G763" xml:space="preserve"> ( mc(500, 3, 4, -1, 1, "EXP(x * sin(y))") ) - 7.39981</f>
        <v>0.18279442361320353</v>
      </c>
      <c r="H763" cm="1">
        <f t="array" ref="H763" xml:space="preserve"> ( mc(1000, 3, 4, -1, 1, "EXP(x * sin(y))") ) - 7.39981</f>
        <v>-2.7301835048650247E-2</v>
      </c>
      <c r="J763" cm="1">
        <f t="array" ref="J763" xml:space="preserve"> mc(100, -PI()/2,0,-1, 1, "ln(EXP(x * y))")</f>
        <v>3.130878067196579E-2</v>
      </c>
      <c r="K763" cm="1">
        <f t="array" ref="K763" xml:space="preserve"> mc(500, -PI()/2,0,-1, 1, "ln(EXP(x * y))")</f>
        <v>-7.0204816535679948E-2</v>
      </c>
      <c r="L763" cm="1">
        <f t="array" ref="L763" xml:space="preserve"> mc(1000, -PI()/2,0,-1, 1, "ln(EXP(x * y))")</f>
        <v>6.0328900378568556E-3</v>
      </c>
      <c r="N763" cm="1">
        <f t="array" ref="N763" xml:space="preserve"> mc(100, -PI()/2,PI()/2, 0, 1, "sin(cos(x + y))")-1.48235</f>
        <v>1.8040248088234234E-2</v>
      </c>
      <c r="O763" cm="1">
        <f t="array" ref="O763" xml:space="preserve"> mc(500, -PI()/2,PI()/2, 0, 1, "sin(cos(x + y))")-1.48235</f>
        <v>4.9745298429750395E-2</v>
      </c>
      <c r="P763" cm="1">
        <f t="array" ref="P763" xml:space="preserve"> mc(1000, -PI()/2,PI()/2, 0, 1, "sin(cos(x + y))")-1.48235</f>
        <v>-2.7465255672796118E-3</v>
      </c>
    </row>
    <row r="764" spans="1:16" x14ac:dyDescent="0.3">
      <c r="A764">
        <v>734</v>
      </c>
      <c r="B764" cm="1">
        <f t="array" ref="B764" xml:space="preserve"> mc(100, 0, 4, 1, 2, "x^2+y^2")-92/3</f>
        <v>-1.0372205214223271</v>
      </c>
      <c r="C764" cm="1">
        <f t="array" ref="C764" xml:space="preserve"> mc(500, 0, 4, 1, 2, "x^2+y^2")-92/3</f>
        <v>-0.77510946298108152</v>
      </c>
      <c r="D764" cm="1">
        <f t="array" ref="D764" xml:space="preserve"> mc(1000, 0, 4, 1, 2, "x^2+y^2")-92/3</f>
        <v>0.47534396112462929</v>
      </c>
      <c r="F764" cm="1">
        <f t="array" ref="F764" xml:space="preserve"> ( mc(100, 3, 4, -1, 1, "EXP(x * sin(y))") ) - 7.39981</f>
        <v>1.1383492185687079</v>
      </c>
      <c r="G764" cm="1">
        <f t="array" ref="G764" xml:space="preserve"> ( mc(500, 3, 4, -1, 1, "EXP(x * sin(y))") ) - 7.39981</f>
        <v>-0.49470655918981432</v>
      </c>
      <c r="H764" cm="1">
        <f t="array" ref="H764" xml:space="preserve"> ( mc(1000, 3, 4, -1, 1, "EXP(x * sin(y))") ) - 7.39981</f>
        <v>0.29805599875809552</v>
      </c>
      <c r="J764" cm="1">
        <f t="array" ref="J764" xml:space="preserve"> mc(100, -PI()/2,0,-1, 1, "ln(EXP(x * y))")</f>
        <v>0.12125190348527851</v>
      </c>
      <c r="K764" cm="1">
        <f t="array" ref="K764" xml:space="preserve"> mc(500, -PI()/2,0,-1, 1, "ln(EXP(x * y))")</f>
        <v>-4.8026560010335742E-2</v>
      </c>
      <c r="L764" cm="1">
        <f t="array" ref="L764" xml:space="preserve"> mc(1000, -PI()/2,0,-1, 1, "ln(EXP(x * y))")</f>
        <v>-2.1426578985369225E-2</v>
      </c>
      <c r="N764" cm="1">
        <f t="array" ref="N764" xml:space="preserve"> mc(100, -PI()/2,PI()/2, 0, 1, "sin(cos(x + y))")-1.48235</f>
        <v>-7.6153442536635696E-2</v>
      </c>
      <c r="O764" cm="1">
        <f t="array" ref="O764" xml:space="preserve"> mc(500, -PI()/2,PI()/2, 0, 1, "sin(cos(x + y))")-1.48235</f>
        <v>8.4101179105688928E-4</v>
      </c>
      <c r="P764" cm="1">
        <f t="array" ref="P764" xml:space="preserve"> mc(1000, -PI()/2,PI()/2, 0, 1, "sin(cos(x + y))")-1.48235</f>
        <v>-3.2194886705444903E-2</v>
      </c>
    </row>
    <row r="765" spans="1:16" x14ac:dyDescent="0.3">
      <c r="A765">
        <v>735</v>
      </c>
      <c r="B765" cm="1">
        <f t="array" ref="B765" xml:space="preserve"> mc(100, 0, 4, 1, 2, "x^2+y^2")-92/3</f>
        <v>0.41732383774798265</v>
      </c>
      <c r="C765" cm="1">
        <f t="array" ref="C765" xml:space="preserve"> mc(500, 0, 4, 1, 2, "x^2+y^2")-92/3</f>
        <v>1.3633802278530531</v>
      </c>
      <c r="D765" cm="1">
        <f t="array" ref="D765" xml:space="preserve"> mc(1000, 0, 4, 1, 2, "x^2+y^2")-92/3</f>
        <v>0.81813285387272572</v>
      </c>
      <c r="F765" cm="1">
        <f t="array" ref="F765" xml:space="preserve"> ( mc(100, 3, 4, -1, 1, "EXP(x * sin(y))") ) - 7.39981</f>
        <v>0.15072882834644297</v>
      </c>
      <c r="G765" cm="1">
        <f t="array" ref="G765" xml:space="preserve"> ( mc(500, 3, 4, -1, 1, "EXP(x * sin(y))") ) - 7.39981</f>
        <v>0.33352026150050484</v>
      </c>
      <c r="H765" cm="1">
        <f t="array" ref="H765" xml:space="preserve"> ( mc(1000, 3, 4, -1, 1, "EXP(x * sin(y))") ) - 7.39981</f>
        <v>0.18383626224191385</v>
      </c>
      <c r="J765" cm="1">
        <f t="array" ref="J765" xml:space="preserve"> mc(100, -PI()/2,0,-1, 1, "ln(EXP(x * y))")</f>
        <v>-0.27813401736697929</v>
      </c>
      <c r="K765" cm="1">
        <f t="array" ref="K765" xml:space="preserve"> mc(500, -PI()/2,0,-1, 1, "ln(EXP(x * y))")</f>
        <v>-0.14138927379898908</v>
      </c>
      <c r="L765" cm="1">
        <f t="array" ref="L765" xml:space="preserve"> mc(1000, -PI()/2,0,-1, 1, "ln(EXP(x * y))")</f>
        <v>-1.1550308996901475E-3</v>
      </c>
      <c r="N765" cm="1">
        <f t="array" ref="N765" xml:space="preserve"> mc(100, -PI()/2,PI()/2, 0, 1, "sin(cos(x + y))")-1.48235</f>
        <v>0.30538004636914629</v>
      </c>
      <c r="O765" cm="1">
        <f t="array" ref="O765" xml:space="preserve"> mc(500, -PI()/2,PI()/2, 0, 1, "sin(cos(x + y))")-1.48235</f>
        <v>7.3570981399383006E-2</v>
      </c>
      <c r="P765" cm="1">
        <f t="array" ref="P765" xml:space="preserve"> mc(1000, -PI()/2,PI()/2, 0, 1, "sin(cos(x + y))")-1.48235</f>
        <v>3.46688058084621E-2</v>
      </c>
    </row>
    <row r="766" spans="1:16" x14ac:dyDescent="0.3">
      <c r="A766">
        <v>736</v>
      </c>
      <c r="B766" cm="1">
        <f t="array" ref="B766" xml:space="preserve"> mc(100, 0, 4, 1, 2, "x^2+y^2")-92/3</f>
        <v>1.309429537566789</v>
      </c>
      <c r="C766" cm="1">
        <f t="array" ref="C766" xml:space="preserve"> mc(500, 0, 4, 1, 2, "x^2+y^2")-92/3</f>
        <v>-4.5145591617412606E-4</v>
      </c>
      <c r="D766" cm="1">
        <f t="array" ref="D766" xml:space="preserve"> mc(1000, 0, 4, 1, 2, "x^2+y^2")-92/3</f>
        <v>0.54928797622038772</v>
      </c>
      <c r="F766" cm="1">
        <f t="array" ref="F766" xml:space="preserve"> ( mc(100, 3, 4, -1, 1, "EXP(x * sin(y))") ) - 7.39981</f>
        <v>0.13726337714918202</v>
      </c>
      <c r="G766" cm="1">
        <f t="array" ref="G766" xml:space="preserve"> ( mc(500, 3, 4, -1, 1, "EXP(x * sin(y))") ) - 7.39981</f>
        <v>-0.14038796682017551</v>
      </c>
      <c r="H766" cm="1">
        <f t="array" ref="H766" xml:space="preserve"> ( mc(1000, 3, 4, -1, 1, "EXP(x * sin(y))") ) - 7.39981</f>
        <v>-0.65856118973205202</v>
      </c>
      <c r="J766" cm="1">
        <f t="array" ref="J766" xml:space="preserve"> mc(100, -PI()/2,0,-1, 1, "ln(EXP(x * y))")</f>
        <v>-2.0530652774088765E-2</v>
      </c>
      <c r="K766" cm="1">
        <f t="array" ref="K766" xml:space="preserve"> mc(500, -PI()/2,0,-1, 1, "ln(EXP(x * y))")</f>
        <v>1.4026881645924902E-2</v>
      </c>
      <c r="L766" cm="1">
        <f t="array" ref="L766" xml:space="preserve"> mc(1000, -PI()/2,0,-1, 1, "ln(EXP(x * y))")</f>
        <v>9.2445029615993643E-2</v>
      </c>
      <c r="N766" cm="1">
        <f t="array" ref="N766" xml:space="preserve"> mc(100, -PI()/2,PI()/2, 0, 1, "sin(cos(x + y))")-1.48235</f>
        <v>0.17407424518631442</v>
      </c>
      <c r="O766" cm="1">
        <f t="array" ref="O766" xml:space="preserve"> mc(500, -PI()/2,PI()/2, 0, 1, "sin(cos(x + y))")-1.48235</f>
        <v>-4.0299740637296466E-2</v>
      </c>
      <c r="P766" cm="1">
        <f t="array" ref="P766" xml:space="preserve"> mc(1000, -PI()/2,PI()/2, 0, 1, "sin(cos(x + y))")-1.48235</f>
        <v>1.2848747250491233E-2</v>
      </c>
    </row>
    <row r="767" spans="1:16" x14ac:dyDescent="0.3">
      <c r="A767">
        <v>737</v>
      </c>
      <c r="B767" cm="1">
        <f t="array" ref="B767" xml:space="preserve"> mc(100, 0, 4, 1, 2, "x^2+y^2")-92/3</f>
        <v>4.3506610311568714</v>
      </c>
      <c r="C767" cm="1">
        <f t="array" ref="C767" xml:space="preserve"> mc(500, 0, 4, 1, 2, "x^2+y^2")-92/3</f>
        <v>1.0135569804585707</v>
      </c>
      <c r="D767" cm="1">
        <f t="array" ref="D767" xml:space="preserve"> mc(1000, 0, 4, 1, 2, "x^2+y^2")-92/3</f>
        <v>-0.25771917367474373</v>
      </c>
      <c r="F767" cm="1">
        <f t="array" ref="F767" xml:space="preserve"> ( mc(100, 3, 4, -1, 1, "EXP(x * sin(y))") ) - 7.39981</f>
        <v>6.8021582509342871E-2</v>
      </c>
      <c r="G767" cm="1">
        <f t="array" ref="G767" xml:space="preserve"> ( mc(500, 3, 4, -1, 1, "EXP(x * sin(y))") ) - 7.39981</f>
        <v>-0.38835837850820631</v>
      </c>
      <c r="H767" cm="1">
        <f t="array" ref="H767" xml:space="preserve"> ( mc(1000, 3, 4, -1, 1, "EXP(x * sin(y))") ) - 7.39981</f>
        <v>-7.0724400447365277E-2</v>
      </c>
      <c r="J767" cm="1">
        <f t="array" ref="J767" xml:space="preserve"> mc(100, -PI()/2,0,-1, 1, "ln(EXP(x * y))")</f>
        <v>-7.8739626022105488E-3</v>
      </c>
      <c r="K767" cm="1">
        <f t="array" ref="K767" xml:space="preserve"> mc(500, -PI()/2,0,-1, 1, "ln(EXP(x * y))")</f>
        <v>0.13935024531980525</v>
      </c>
      <c r="L767" cm="1">
        <f t="array" ref="L767" xml:space="preserve"> mc(1000, -PI()/2,0,-1, 1, "ln(EXP(x * y))")</f>
        <v>7.8533756522686897E-3</v>
      </c>
      <c r="N767" cm="1">
        <f t="array" ref="N767" xml:space="preserve"> mc(100, -PI()/2,PI()/2, 0, 1, "sin(cos(x + y))")-1.48235</f>
        <v>-3.5559366906955603E-2</v>
      </c>
      <c r="O767" cm="1">
        <f t="array" ref="O767" xml:space="preserve"> mc(500, -PI()/2,PI()/2, 0, 1, "sin(cos(x + y))")-1.48235</f>
        <v>6.3963028898724295E-2</v>
      </c>
      <c r="P767" cm="1">
        <f t="array" ref="P767" xml:space="preserve"> mc(1000, -PI()/2,PI()/2, 0, 1, "sin(cos(x + y))")-1.48235</f>
        <v>-3.8164608164475977E-2</v>
      </c>
    </row>
    <row r="768" spans="1:16" x14ac:dyDescent="0.3">
      <c r="A768">
        <v>738</v>
      </c>
      <c r="B768" cm="1">
        <f t="array" ref="B768" xml:space="preserve"> mc(100, 0, 4, 1, 2, "x^2+y^2")-92/3</f>
        <v>1.7731937387341539</v>
      </c>
      <c r="C768" cm="1">
        <f t="array" ref="C768" xml:space="preserve"> mc(500, 0, 4, 1, 2, "x^2+y^2")-92/3</f>
        <v>-3.9395998576530644E-2</v>
      </c>
      <c r="D768" cm="1">
        <f t="array" ref="D768" xml:space="preserve"> mc(1000, 0, 4, 1, 2, "x^2+y^2")-92/3</f>
        <v>0.13128946788548745</v>
      </c>
      <c r="F768" cm="1">
        <f t="array" ref="F768" xml:space="preserve"> ( mc(100, 3, 4, -1, 1, "EXP(x * sin(y))") ) - 7.39981</f>
        <v>1.1863867232862155</v>
      </c>
      <c r="G768" cm="1">
        <f t="array" ref="G768" xml:space="preserve"> ( mc(500, 3, 4, -1, 1, "EXP(x * sin(y))") ) - 7.39981</f>
        <v>0.25234560428283626</v>
      </c>
      <c r="H768" cm="1">
        <f t="array" ref="H768" xml:space="preserve"> ( mc(1000, 3, 4, -1, 1, "EXP(x * sin(y))") ) - 7.39981</f>
        <v>1.0189537179012031</v>
      </c>
      <c r="J768" cm="1">
        <f t="array" ref="J768" xml:space="preserve"> mc(100, -PI()/2,0,-1, 1, "ln(EXP(x * y))")</f>
        <v>-5.4269785722325485E-2</v>
      </c>
      <c r="K768" cm="1">
        <f t="array" ref="K768" xml:space="preserve"> mc(500, -PI()/2,0,-1, 1, "ln(EXP(x * y))")</f>
        <v>1.3640568136495933E-2</v>
      </c>
      <c r="L768" cm="1">
        <f t="array" ref="L768" xml:space="preserve"> mc(1000, -PI()/2,0,-1, 1, "ln(EXP(x * y))")</f>
        <v>-2.5705748229774047E-2</v>
      </c>
      <c r="N768" cm="1">
        <f t="array" ref="N768" xml:space="preserve"> mc(100, -PI()/2,PI()/2, 0, 1, "sin(cos(x + y))")-1.48235</f>
        <v>-0.14110100989520058</v>
      </c>
      <c r="O768" cm="1">
        <f t="array" ref="O768" xml:space="preserve"> mc(500, -PI()/2,PI()/2, 0, 1, "sin(cos(x + y))")-1.48235</f>
        <v>-3.9186324971796971E-2</v>
      </c>
      <c r="P768" cm="1">
        <f t="array" ref="P768" xml:space="preserve"> mc(1000, -PI()/2,PI()/2, 0, 1, "sin(cos(x + y))")-1.48235</f>
        <v>2.0945760818583681E-2</v>
      </c>
    </row>
    <row r="769" spans="1:16" x14ac:dyDescent="0.3">
      <c r="A769">
        <v>739</v>
      </c>
      <c r="B769" cm="1">
        <f t="array" ref="B769" xml:space="preserve"> mc(100, 0, 4, 1, 2, "x^2+y^2")-92/3</f>
        <v>-2.3858113319466518</v>
      </c>
      <c r="C769" cm="1">
        <f t="array" ref="C769" xml:space="preserve"> mc(500, 0, 4, 1, 2, "x^2+y^2")-92/3</f>
        <v>1.2483155896347355</v>
      </c>
      <c r="D769" cm="1">
        <f t="array" ref="D769" xml:space="preserve"> mc(1000, 0, 4, 1, 2, "x^2+y^2")-92/3</f>
        <v>-0.20232195164150468</v>
      </c>
      <c r="F769" cm="1">
        <f t="array" ref="F769" xml:space="preserve"> ( mc(100, 3, 4, -1, 1, "EXP(x * sin(y))") ) - 7.39981</f>
        <v>-0.44087536623488077</v>
      </c>
      <c r="G769" cm="1">
        <f t="array" ref="G769" xml:space="preserve"> ( mc(500, 3, 4, -1, 1, "EXP(x * sin(y))") ) - 7.39981</f>
        <v>9.0125003209451826E-2</v>
      </c>
      <c r="H769" cm="1">
        <f t="array" ref="H769" xml:space="preserve"> ( mc(1000, 3, 4, -1, 1, "EXP(x * sin(y))") ) - 7.39981</f>
        <v>1.8801629288985211E-2</v>
      </c>
      <c r="J769" cm="1">
        <f t="array" ref="J769" xml:space="preserve"> mc(100, -PI()/2,0,-1, 1, "ln(EXP(x * y))")</f>
        <v>0.14106247548971126</v>
      </c>
      <c r="K769" cm="1">
        <f t="array" ref="K769" xml:space="preserve"> mc(500, -PI()/2,0,-1, 1, "ln(EXP(x * y))")</f>
        <v>-5.6736131955704719E-2</v>
      </c>
      <c r="L769" cm="1">
        <f t="array" ref="L769" xml:space="preserve"> mc(1000, -PI()/2,0,-1, 1, "ln(EXP(x * y))")</f>
        <v>-2.1738861226495393E-3</v>
      </c>
      <c r="N769" cm="1">
        <f t="array" ref="N769" xml:space="preserve"> mc(100, -PI()/2,PI()/2, 0, 1, "sin(cos(x + y))")-1.48235</f>
        <v>-4.9813126134818697E-2</v>
      </c>
      <c r="O769" cm="1">
        <f t="array" ref="O769" xml:space="preserve"> mc(500, -PI()/2,PI()/2, 0, 1, "sin(cos(x + y))")-1.48235</f>
        <v>-7.33332871677288E-2</v>
      </c>
      <c r="P769" cm="1">
        <f t="array" ref="P769" xml:space="preserve"> mc(1000, -PI()/2,PI()/2, 0, 1, "sin(cos(x + y))")-1.48235</f>
        <v>4.9912510673287169E-2</v>
      </c>
    </row>
    <row r="770" spans="1:16" x14ac:dyDescent="0.3">
      <c r="A770">
        <v>740</v>
      </c>
      <c r="B770" cm="1">
        <f t="array" ref="B770" xml:space="preserve"> mc(100, 0, 4, 1, 2, "x^2+y^2")-92/3</f>
        <v>-4.052130491443517</v>
      </c>
      <c r="C770" cm="1">
        <f t="array" ref="C770" xml:space="preserve"> mc(500, 0, 4, 1, 2, "x^2+y^2")-92/3</f>
        <v>1.7748220317445025</v>
      </c>
      <c r="D770" cm="1">
        <f t="array" ref="D770" xml:space="preserve"> mc(1000, 0, 4, 1, 2, "x^2+y^2")-92/3</f>
        <v>0.95296011918559387</v>
      </c>
      <c r="F770" cm="1">
        <f t="array" ref="F770" xml:space="preserve"> ( mc(100, 3, 4, -1, 1, "EXP(x * sin(y))") ) - 7.39981</f>
        <v>-0.21567110179048132</v>
      </c>
      <c r="G770" cm="1">
        <f t="array" ref="G770" xml:space="preserve"> ( mc(500, 3, 4, -1, 1, "EXP(x * sin(y))") ) - 7.39981</f>
        <v>-0.5087168018072461</v>
      </c>
      <c r="H770" cm="1">
        <f t="array" ref="H770" xml:space="preserve"> ( mc(1000, 3, 4, -1, 1, "EXP(x * sin(y))") ) - 7.39981</f>
        <v>-0.29035358214311113</v>
      </c>
      <c r="J770" cm="1">
        <f t="array" ref="J770" xml:space="preserve"> mc(100, -PI()/2,0,-1, 1, "ln(EXP(x * y))")</f>
        <v>-4.9702548353661287E-2</v>
      </c>
      <c r="K770" cm="1">
        <f t="array" ref="K770" xml:space="preserve"> mc(500, -PI()/2,0,-1, 1, "ln(EXP(x * y))")</f>
        <v>-8.6146950259950422E-2</v>
      </c>
      <c r="L770" cm="1">
        <f t="array" ref="L770" xml:space="preserve"> mc(1000, -PI()/2,0,-1, 1, "ln(EXP(x * y))")</f>
        <v>-3.1992459347846329E-2</v>
      </c>
      <c r="N770" cm="1">
        <f t="array" ref="N770" xml:space="preserve"> mc(100, -PI()/2,PI()/2, 0, 1, "sin(cos(x + y))")-1.48235</f>
        <v>-1.6692188467994917E-3</v>
      </c>
      <c r="O770" cm="1">
        <f t="array" ref="O770" xml:space="preserve"> mc(500, -PI()/2,PI()/2, 0, 1, "sin(cos(x + y))")-1.48235</f>
        <v>-2.8708885384650218E-2</v>
      </c>
      <c r="P770" cm="1">
        <f t="array" ref="P770" xml:space="preserve"> mc(1000, -PI()/2,PI()/2, 0, 1, "sin(cos(x + y))")-1.48235</f>
        <v>-2.1436954970724287E-2</v>
      </c>
    </row>
    <row r="771" spans="1:16" x14ac:dyDescent="0.3">
      <c r="A771">
        <v>741</v>
      </c>
      <c r="B771" cm="1">
        <f t="array" ref="B771" xml:space="preserve"> mc(100, 0, 4, 1, 2, "x^2+y^2")-92/3</f>
        <v>0.28624557253573357</v>
      </c>
      <c r="C771" cm="1">
        <f t="array" ref="C771" xml:space="preserve"> mc(500, 0, 4, 1, 2, "x^2+y^2")-92/3</f>
        <v>0.85744945414678497</v>
      </c>
      <c r="D771" cm="1">
        <f t="array" ref="D771" xml:space="preserve"> mc(1000, 0, 4, 1, 2, "x^2+y^2")-92/3</f>
        <v>0.14152471718182014</v>
      </c>
      <c r="F771" cm="1">
        <f t="array" ref="F771" xml:space="preserve"> ( mc(100, 3, 4, -1, 1, "EXP(x * sin(y))") ) - 7.39981</f>
        <v>-0.93442580560411681</v>
      </c>
      <c r="G771" cm="1">
        <f t="array" ref="G771" xml:space="preserve"> ( mc(500, 3, 4, -1, 1, "EXP(x * sin(y))") ) - 7.39981</f>
        <v>-0.13407835855198247</v>
      </c>
      <c r="H771" cm="1">
        <f t="array" ref="H771" xml:space="preserve"> ( mc(1000, 3, 4, -1, 1, "EXP(x * sin(y))") ) - 7.39981</f>
        <v>0.24063883299375277</v>
      </c>
      <c r="J771" cm="1">
        <f t="array" ref="J771" xml:space="preserve"> mc(100, -PI()/2,0,-1, 1, "ln(EXP(x * y))")</f>
        <v>0.10184275039604811</v>
      </c>
      <c r="K771" cm="1">
        <f t="array" ref="K771" xml:space="preserve"> mc(500, -PI()/2,0,-1, 1, "ln(EXP(x * y))")</f>
        <v>8.2291424690664375E-2</v>
      </c>
      <c r="L771" cm="1">
        <f t="array" ref="L771" xml:space="preserve"> mc(1000, -PI()/2,0,-1, 1, "ln(EXP(x * y))")</f>
        <v>-2.3824710764083965E-2</v>
      </c>
      <c r="N771" cm="1">
        <f t="array" ref="N771" xml:space="preserve"> mc(100, -PI()/2,PI()/2, 0, 1, "sin(cos(x + y))")-1.48235</f>
        <v>-0.10491264777265918</v>
      </c>
      <c r="O771" cm="1">
        <f t="array" ref="O771" xml:space="preserve"> mc(500, -PI()/2,PI()/2, 0, 1, "sin(cos(x + y))")-1.48235</f>
        <v>-7.0318256451086691E-2</v>
      </c>
      <c r="P771" cm="1">
        <f t="array" ref="P771" xml:space="preserve"> mc(1000, -PI()/2,PI()/2, 0, 1, "sin(cos(x + y))")-1.48235</f>
        <v>6.5857755336092394E-2</v>
      </c>
    </row>
    <row r="772" spans="1:16" x14ac:dyDescent="0.3">
      <c r="A772">
        <v>742</v>
      </c>
      <c r="B772" cm="1">
        <f t="array" ref="B772" xml:space="preserve"> mc(100, 0, 4, 1, 2, "x^2+y^2")-92/3</f>
        <v>-2.7101159300767037</v>
      </c>
      <c r="C772" cm="1">
        <f t="array" ref="C772" xml:space="preserve"> mc(500, 0, 4, 1, 2, "x^2+y^2")-92/3</f>
        <v>-1.4472630487813731</v>
      </c>
      <c r="D772" cm="1">
        <f t="array" ref="D772" xml:space="preserve"> mc(1000, 0, 4, 1, 2, "x^2+y^2")-92/3</f>
        <v>0.21755931951866359</v>
      </c>
      <c r="F772" cm="1">
        <f t="array" ref="F772" xml:space="preserve"> ( mc(100, 3, 4, -1, 1, "EXP(x * sin(y))") ) - 7.39981</f>
        <v>2.7443916456103921</v>
      </c>
      <c r="G772" cm="1">
        <f t="array" ref="G772" xml:space="preserve"> ( mc(500, 3, 4, -1, 1, "EXP(x * sin(y))") ) - 7.39981</f>
        <v>0.50029190910406385</v>
      </c>
      <c r="H772" cm="1">
        <f t="array" ref="H772" xml:space="preserve"> ( mc(1000, 3, 4, -1, 1, "EXP(x * sin(y))") ) - 7.39981</f>
        <v>0.1643184485730993</v>
      </c>
      <c r="J772" cm="1">
        <f t="array" ref="J772" xml:space="preserve"> mc(100, -PI()/2,0,-1, 1, "ln(EXP(x * y))")</f>
        <v>3.1462096855026406E-2</v>
      </c>
      <c r="K772" cm="1">
        <f t="array" ref="K772" xml:space="preserve"> mc(500, -PI()/2,0,-1, 1, "ln(EXP(x * y))")</f>
        <v>-4.74135029734679E-2</v>
      </c>
      <c r="L772" cm="1">
        <f t="array" ref="L772" xml:space="preserve"> mc(1000, -PI()/2,0,-1, 1, "ln(EXP(x * y))")</f>
        <v>2.0685436923700895E-2</v>
      </c>
      <c r="N772" cm="1">
        <f t="array" ref="N772" xml:space="preserve"> mc(100, -PI()/2,PI()/2, 0, 1, "sin(cos(x + y))")-1.48235</f>
        <v>-0.10164679661178178</v>
      </c>
      <c r="O772" cm="1">
        <f t="array" ref="O772" xml:space="preserve"> mc(500, -PI()/2,PI()/2, 0, 1, "sin(cos(x + y))")-1.48235</f>
        <v>-3.1859094711184754E-2</v>
      </c>
      <c r="P772" cm="1">
        <f t="array" ref="P772" xml:space="preserve"> mc(1000, -PI()/2,PI()/2, 0, 1, "sin(cos(x + y))")-1.48235</f>
        <v>-3.6933088597074448E-2</v>
      </c>
    </row>
    <row r="773" spans="1:16" x14ac:dyDescent="0.3">
      <c r="A773">
        <v>743</v>
      </c>
      <c r="B773" cm="1">
        <f t="array" ref="B773" xml:space="preserve"> mc(100, 0, 4, 1, 2, "x^2+y^2")-92/3</f>
        <v>-0.4591639630702673</v>
      </c>
      <c r="C773" cm="1">
        <f t="array" ref="C773" xml:space="preserve"> mc(500, 0, 4, 1, 2, "x^2+y^2")-92/3</f>
        <v>0.31935987498334129</v>
      </c>
      <c r="D773" cm="1">
        <f t="array" ref="D773" xml:space="preserve"> mc(1000, 0, 4, 1, 2, "x^2+y^2")-92/3</f>
        <v>-0.63516966195362201</v>
      </c>
      <c r="F773" cm="1">
        <f t="array" ref="F773" xml:space="preserve"> ( mc(100, 3, 4, -1, 1, "EXP(x * sin(y))") ) - 7.39981</f>
        <v>-0.25847914333187827</v>
      </c>
      <c r="G773" cm="1">
        <f t="array" ref="G773" xml:space="preserve"> ( mc(500, 3, 4, -1, 1, "EXP(x * sin(y))") ) - 7.39981</f>
        <v>-0.6527712302952331</v>
      </c>
      <c r="H773" cm="1">
        <f t="array" ref="H773" xml:space="preserve"> ( mc(1000, 3, 4, -1, 1, "EXP(x * sin(y))") ) - 7.39981</f>
        <v>9.9753673526863373E-2</v>
      </c>
      <c r="J773" cm="1">
        <f t="array" ref="J773" xml:space="preserve"> mc(100, -PI()/2,0,-1, 1, "ln(EXP(x * y))")</f>
        <v>0.18725612443094763</v>
      </c>
      <c r="K773" cm="1">
        <f t="array" ref="K773" xml:space="preserve"> mc(500, -PI()/2,0,-1, 1, "ln(EXP(x * y))")</f>
        <v>7.7136471063914039E-2</v>
      </c>
      <c r="L773" cm="1">
        <f t="array" ref="L773" xml:space="preserve"> mc(1000, -PI()/2,0,-1, 1, "ln(EXP(x * y))")</f>
        <v>-5.2092955659362476E-4</v>
      </c>
      <c r="N773" cm="1">
        <f t="array" ref="N773" xml:space="preserve"> mc(100, -PI()/2,PI()/2, 0, 1, "sin(cos(x + y))")-1.48235</f>
        <v>0.1953918769313816</v>
      </c>
      <c r="O773" cm="1">
        <f t="array" ref="O773" xml:space="preserve"> mc(500, -PI()/2,PI()/2, 0, 1, "sin(cos(x + y))")-1.48235</f>
        <v>8.9456812895308158E-2</v>
      </c>
      <c r="P773" cm="1">
        <f t="array" ref="P773" xml:space="preserve"> mc(1000, -PI()/2,PI()/2, 0, 1, "sin(cos(x + y))")-1.48235</f>
        <v>6.0750050716499304E-2</v>
      </c>
    </row>
    <row r="774" spans="1:16" x14ac:dyDescent="0.3">
      <c r="A774">
        <v>744</v>
      </c>
      <c r="B774" cm="1">
        <f t="array" ref="B774" xml:space="preserve"> mc(100, 0, 4, 1, 2, "x^2+y^2")-92/3</f>
        <v>0.52685935562965724</v>
      </c>
      <c r="C774" cm="1">
        <f t="array" ref="C774" xml:space="preserve"> mc(500, 0, 4, 1, 2, "x^2+y^2")-92/3</f>
        <v>0.80459079250789145</v>
      </c>
      <c r="D774" cm="1">
        <f t="array" ref="D774" xml:space="preserve"> mc(1000, 0, 4, 1, 2, "x^2+y^2")-92/3</f>
        <v>-0.33312537593256408</v>
      </c>
      <c r="F774" cm="1">
        <f t="array" ref="F774" xml:space="preserve"> ( mc(100, 3, 4, -1, 1, "EXP(x * sin(y))") ) - 7.39981</f>
        <v>0.49747631719271279</v>
      </c>
      <c r="G774" cm="1">
        <f t="array" ref="G774" xml:space="preserve"> ( mc(500, 3, 4, -1, 1, "EXP(x * sin(y))") ) - 7.39981</f>
        <v>-0.14125223823785493</v>
      </c>
      <c r="H774" cm="1">
        <f t="array" ref="H774" xml:space="preserve"> ( mc(1000, 3, 4, -1, 1, "EXP(x * sin(y))") ) - 7.39981</f>
        <v>-0.17312866055988607</v>
      </c>
      <c r="J774" cm="1">
        <f t="array" ref="J774" xml:space="preserve"> mc(100, -PI()/2,0,-1, 1, "ln(EXP(x * y))")</f>
        <v>-0.33596961093407779</v>
      </c>
      <c r="K774" cm="1">
        <f t="array" ref="K774" xml:space="preserve"> mc(500, -PI()/2,0,-1, 1, "ln(EXP(x * y))")</f>
        <v>-6.5910584141791642E-2</v>
      </c>
      <c r="L774" cm="1">
        <f t="array" ref="L774" xml:space="preserve"> mc(1000, -PI()/2,0,-1, 1, "ln(EXP(x * y))")</f>
        <v>-4.6847349114247268E-2</v>
      </c>
      <c r="N774" cm="1">
        <f t="array" ref="N774" xml:space="preserve"> mc(100, -PI()/2,PI()/2, 0, 1, "sin(cos(x + y))")-1.48235</f>
        <v>-1.2936260890838991E-3</v>
      </c>
      <c r="O774" cm="1">
        <f t="array" ref="O774" xml:space="preserve"> mc(500, -PI()/2,PI()/2, 0, 1, "sin(cos(x + y))")-1.48235</f>
        <v>-9.6334113440800229E-2</v>
      </c>
      <c r="P774" cm="1">
        <f t="array" ref="P774" xml:space="preserve"> mc(1000, -PI()/2,PI()/2, 0, 1, "sin(cos(x + y))")-1.48235</f>
        <v>-1.215422849443093E-2</v>
      </c>
    </row>
    <row r="775" spans="1:16" x14ac:dyDescent="0.3">
      <c r="A775">
        <v>745</v>
      </c>
      <c r="B775" cm="1">
        <f t="array" ref="B775" xml:space="preserve"> mc(100, 0, 4, 1, 2, "x^2+y^2")-92/3</f>
        <v>-0.64296566102682817</v>
      </c>
      <c r="C775" cm="1">
        <f t="array" ref="C775" xml:space="preserve"> mc(500, 0, 4, 1, 2, "x^2+y^2")-92/3</f>
        <v>1.8793131500654106</v>
      </c>
      <c r="D775" cm="1">
        <f t="array" ref="D775" xml:space="preserve"> mc(1000, 0, 4, 1, 2, "x^2+y^2")-92/3</f>
        <v>0.33719196991575018</v>
      </c>
      <c r="F775" cm="1">
        <f t="array" ref="F775" xml:space="preserve"> ( mc(100, 3, 4, -1, 1, "EXP(x * sin(y))") ) - 7.39981</f>
        <v>0.91747975495050937</v>
      </c>
      <c r="G775" cm="1">
        <f t="array" ref="G775" xml:space="preserve"> ( mc(500, 3, 4, -1, 1, "EXP(x * sin(y))") ) - 7.39981</f>
        <v>0.26210105298728248</v>
      </c>
      <c r="H775" cm="1">
        <f t="array" ref="H775" xml:space="preserve"> ( mc(1000, 3, 4, -1, 1, "EXP(x * sin(y))") ) - 7.39981</f>
        <v>-0.38283528859251881</v>
      </c>
      <c r="J775" cm="1">
        <f t="array" ref="J775" xml:space="preserve"> mc(100, -PI()/2,0,-1, 1, "ln(EXP(x * y))")</f>
        <v>-1.8153222090733508E-2</v>
      </c>
      <c r="K775" cm="1">
        <f t="array" ref="K775" xml:space="preserve"> mc(500, -PI()/2,0,-1, 1, "ln(EXP(x * y))")</f>
        <v>4.3036346259938275E-2</v>
      </c>
      <c r="L775" cm="1">
        <f t="array" ref="L775" xml:space="preserve"> mc(1000, -PI()/2,0,-1, 1, "ln(EXP(x * y))")</f>
        <v>5.814098707405075E-2</v>
      </c>
      <c r="N775" cm="1">
        <f t="array" ref="N775" xml:space="preserve"> mc(100, -PI()/2,PI()/2, 0, 1, "sin(cos(x + y))")-1.48235</f>
        <v>0.15180314731571087</v>
      </c>
      <c r="O775" cm="1">
        <f t="array" ref="O775" xml:space="preserve"> mc(500, -PI()/2,PI()/2, 0, 1, "sin(cos(x + y))")-1.48235</f>
        <v>-7.9542221850448236E-2</v>
      </c>
      <c r="P775" cm="1">
        <f t="array" ref="P775" xml:space="preserve"> mc(1000, -PI()/2,PI()/2, 0, 1, "sin(cos(x + y))")-1.48235</f>
        <v>-2.4646520492570545E-2</v>
      </c>
    </row>
    <row r="776" spans="1:16" x14ac:dyDescent="0.3">
      <c r="A776">
        <v>746</v>
      </c>
      <c r="B776" cm="1">
        <f t="array" ref="B776" xml:space="preserve"> mc(100, 0, 4, 1, 2, "x^2+y^2")-92/3</f>
        <v>5.9931840100691858E-2</v>
      </c>
      <c r="C776" cm="1">
        <f t="array" ref="C776" xml:space="preserve"> mc(500, 0, 4, 1, 2, "x^2+y^2")-92/3</f>
        <v>6.9772409320755457E-2</v>
      </c>
      <c r="D776" cm="1">
        <f t="array" ref="D776" xml:space="preserve"> mc(1000, 0, 4, 1, 2, "x^2+y^2")-92/3</f>
        <v>-0.41319507938706934</v>
      </c>
      <c r="F776" cm="1">
        <f t="array" ref="F776" xml:space="preserve"> ( mc(100, 3, 4, -1, 1, "EXP(x * sin(y))") ) - 7.39981</f>
        <v>-0.15218852131207594</v>
      </c>
      <c r="G776" cm="1">
        <f t="array" ref="G776" xml:space="preserve"> ( mc(500, 3, 4, -1, 1, "EXP(x * sin(y))") ) - 7.39981</f>
        <v>-0.36601375088174226</v>
      </c>
      <c r="H776" cm="1">
        <f t="array" ref="H776" xml:space="preserve"> ( mc(1000, 3, 4, -1, 1, "EXP(x * sin(y))") ) - 7.39981</f>
        <v>0.37713001616587771</v>
      </c>
      <c r="J776" cm="1">
        <f t="array" ref="J776" xml:space="preserve"> mc(100, -PI()/2,0,-1, 1, "ln(EXP(x * y))")</f>
        <v>1.6190987196127649E-2</v>
      </c>
      <c r="K776" cm="1">
        <f t="array" ref="K776" xml:space="preserve"> mc(500, -PI()/2,0,-1, 1, "ln(EXP(x * y))")</f>
        <v>0.20928505641331885</v>
      </c>
      <c r="L776" cm="1">
        <f t="array" ref="L776" xml:space="preserve"> mc(1000, -PI()/2,0,-1, 1, "ln(EXP(x * y))")</f>
        <v>6.7093334824300938E-2</v>
      </c>
      <c r="N776" cm="1">
        <f t="array" ref="N776" xml:space="preserve"> mc(100, -PI()/2,PI()/2, 0, 1, "sin(cos(x + y))")-1.48235</f>
        <v>4.754441443540669E-2</v>
      </c>
      <c r="O776" cm="1">
        <f t="array" ref="O776" xml:space="preserve"> mc(500, -PI()/2,PI()/2, 0, 1, "sin(cos(x + y))")-1.48235</f>
        <v>-3.6051250561600856E-2</v>
      </c>
      <c r="P776" cm="1">
        <f t="array" ref="P776" xml:space="preserve"> mc(1000, -PI()/2,PI()/2, 0, 1, "sin(cos(x + y))")-1.48235</f>
        <v>-6.0324284969481612E-2</v>
      </c>
    </row>
    <row r="777" spans="1:16" x14ac:dyDescent="0.3">
      <c r="A777">
        <v>747</v>
      </c>
      <c r="B777" cm="1">
        <f t="array" ref="B777" xml:space="preserve"> mc(100, 0, 4, 1, 2, "x^2+y^2")-92/3</f>
        <v>-0.89810317766227499</v>
      </c>
      <c r="C777" cm="1">
        <f t="array" ref="C777" xml:space="preserve"> mc(500, 0, 4, 1, 2, "x^2+y^2")-92/3</f>
        <v>-0.50104873200866962</v>
      </c>
      <c r="D777" cm="1">
        <f t="array" ref="D777" xml:space="preserve"> mc(1000, 0, 4, 1, 2, "x^2+y^2")-92/3</f>
        <v>0.21873919883232773</v>
      </c>
      <c r="F777" cm="1">
        <f t="array" ref="F777" xml:space="preserve"> ( mc(100, 3, 4, -1, 1, "EXP(x * sin(y))") ) - 7.39981</f>
        <v>-0.4144830671324522</v>
      </c>
      <c r="G777" cm="1">
        <f t="array" ref="G777" xml:space="preserve"> ( mc(500, 3, 4, -1, 1, "EXP(x * sin(y))") ) - 7.39981</f>
        <v>7.9263722120854752E-3</v>
      </c>
      <c r="H777" cm="1">
        <f t="array" ref="H777" xml:space="preserve"> ( mc(1000, 3, 4, -1, 1, "EXP(x * sin(y))") ) - 7.39981</f>
        <v>-0.15871867734304956</v>
      </c>
      <c r="J777" cm="1">
        <f t="array" ref="J777" xml:space="preserve"> mc(100, -PI()/2,0,-1, 1, "ln(EXP(x * y))")</f>
        <v>0.13896363633348274</v>
      </c>
      <c r="K777" cm="1">
        <f t="array" ref="K777" xml:space="preserve"> mc(500, -PI()/2,0,-1, 1, "ln(EXP(x * y))")</f>
        <v>1.5669897332476111E-2</v>
      </c>
      <c r="L777" cm="1">
        <f t="array" ref="L777" xml:space="preserve"> mc(1000, -PI()/2,0,-1, 1, "ln(EXP(x * y))")</f>
        <v>2.0115734484891949E-2</v>
      </c>
      <c r="N777" cm="1">
        <f t="array" ref="N777" xml:space="preserve"> mc(100, -PI()/2,PI()/2, 0, 1, "sin(cos(x + y))")-1.48235</f>
        <v>-4.4938843041227194E-2</v>
      </c>
      <c r="O777" cm="1">
        <f t="array" ref="O777" xml:space="preserve"> mc(500, -PI()/2,PI()/2, 0, 1, "sin(cos(x + y))")-1.48235</f>
        <v>6.3827469971889483E-2</v>
      </c>
      <c r="P777" cm="1">
        <f t="array" ref="P777" xml:space="preserve"> mc(1000, -PI()/2,PI()/2, 0, 1, "sin(cos(x + y))")-1.48235</f>
        <v>9.7266656002992224E-3</v>
      </c>
    </row>
    <row r="778" spans="1:16" x14ac:dyDescent="0.3">
      <c r="A778">
        <v>748</v>
      </c>
      <c r="B778" cm="1">
        <f t="array" ref="B778" xml:space="preserve"> mc(100, 0, 4, 1, 2, "x^2+y^2")-92/3</f>
        <v>-2.2909745941262543</v>
      </c>
      <c r="C778" cm="1">
        <f t="array" ref="C778" xml:space="preserve"> mc(500, 0, 4, 1, 2, "x^2+y^2")-92/3</f>
        <v>0.88386589964794737</v>
      </c>
      <c r="D778" cm="1">
        <f t="array" ref="D778" xml:space="preserve"> mc(1000, 0, 4, 1, 2, "x^2+y^2")-92/3</f>
        <v>-8.5297836772589619E-2</v>
      </c>
      <c r="F778" cm="1">
        <f t="array" ref="F778" xml:space="preserve"> ( mc(100, 3, 4, -1, 1, "EXP(x * sin(y))") ) - 7.39981</f>
        <v>-5.7313565963705848E-2</v>
      </c>
      <c r="G778" cm="1">
        <f t="array" ref="G778" xml:space="preserve"> ( mc(500, 3, 4, -1, 1, "EXP(x * sin(y))") ) - 7.39981</f>
        <v>-0.50605328638986347</v>
      </c>
      <c r="H778" cm="1">
        <f t="array" ref="H778" xml:space="preserve"> ( mc(1000, 3, 4, -1, 1, "EXP(x * sin(y))") ) - 7.39981</f>
        <v>0.80051425839814172</v>
      </c>
      <c r="J778" cm="1">
        <f t="array" ref="J778" xml:space="preserve"> mc(100, -PI()/2,0,-1, 1, "ln(EXP(x * y))")</f>
        <v>-0.13311623452255916</v>
      </c>
      <c r="K778" cm="1">
        <f t="array" ref="K778" xml:space="preserve"> mc(500, -PI()/2,0,-1, 1, "ln(EXP(x * y))")</f>
        <v>-5.3662985742532046E-2</v>
      </c>
      <c r="L778" cm="1">
        <f t="array" ref="L778" xml:space="preserve"> mc(1000, -PI()/2,0,-1, 1, "ln(EXP(x * y))")</f>
        <v>6.5457625606270831E-2</v>
      </c>
      <c r="N778" cm="1">
        <f t="array" ref="N778" xml:space="preserve"> mc(100, -PI()/2,PI()/2, 0, 1, "sin(cos(x + y))")-1.48235</f>
        <v>0.15285066027768668</v>
      </c>
      <c r="O778" cm="1">
        <f t="array" ref="O778" xml:space="preserve"> mc(500, -PI()/2,PI()/2, 0, 1, "sin(cos(x + y))")-1.48235</f>
        <v>1.6549618022118295E-2</v>
      </c>
      <c r="P778" cm="1">
        <f t="array" ref="P778" xml:space="preserve"> mc(1000, -PI()/2,PI()/2, 0, 1, "sin(cos(x + y))")-1.48235</f>
        <v>-3.3445763215174118E-2</v>
      </c>
    </row>
    <row r="779" spans="1:16" x14ac:dyDescent="0.3">
      <c r="A779">
        <v>749</v>
      </c>
      <c r="B779" cm="1">
        <f t="array" ref="B779" xml:space="preserve"> mc(100, 0, 4, 1, 2, "x^2+y^2")-92/3</f>
        <v>-2.3528762424004022</v>
      </c>
      <c r="C779" cm="1">
        <f t="array" ref="C779" xml:space="preserve"> mc(500, 0, 4, 1, 2, "x^2+y^2")-92/3</f>
        <v>-1.8252723285828232</v>
      </c>
      <c r="D779" cm="1">
        <f t="array" ref="D779" xml:space="preserve"> mc(1000, 0, 4, 1, 2, "x^2+y^2")-92/3</f>
        <v>-0.42851491954291987</v>
      </c>
      <c r="F779" cm="1">
        <f t="array" ref="F779" xml:space="preserve"> ( mc(100, 3, 4, -1, 1, "EXP(x * sin(y))") ) - 7.39981</f>
        <v>0.31293824341685106</v>
      </c>
      <c r="G779" cm="1">
        <f t="array" ref="G779" xml:space="preserve"> ( mc(500, 3, 4, -1, 1, "EXP(x * sin(y))") ) - 7.39981</f>
        <v>0.20582005754961408</v>
      </c>
      <c r="H779" cm="1">
        <f t="array" ref="H779" xml:space="preserve"> ( mc(1000, 3, 4, -1, 1, "EXP(x * sin(y))") ) - 7.39981</f>
        <v>-0.30473724340675545</v>
      </c>
      <c r="J779" cm="1">
        <f t="array" ref="J779" xml:space="preserve"> mc(100, -PI()/2,0,-1, 1, "ln(EXP(x * y))")</f>
        <v>-0.13682253983287168</v>
      </c>
      <c r="K779" cm="1">
        <f t="array" ref="K779" xml:space="preserve"> mc(500, -PI()/2,0,-1, 1, "ln(EXP(x * y))")</f>
        <v>1.8794710574724233E-2</v>
      </c>
      <c r="L779" cm="1">
        <f t="array" ref="L779" xml:space="preserve"> mc(1000, -PI()/2,0,-1, 1, "ln(EXP(x * y))")</f>
        <v>5.9221419406268162E-2</v>
      </c>
      <c r="N779" cm="1">
        <f t="array" ref="N779" xml:space="preserve"> mc(100, -PI()/2,PI()/2, 0, 1, "sin(cos(x + y))")-1.48235</f>
        <v>5.3531315221065023E-2</v>
      </c>
      <c r="O779" cm="1">
        <f t="array" ref="O779" xml:space="preserve"> mc(500, -PI()/2,PI()/2, 0, 1, "sin(cos(x + y))")-1.48235</f>
        <v>8.0660332802500623E-2</v>
      </c>
      <c r="P779" cm="1">
        <f t="array" ref="P779" xml:space="preserve"> mc(1000, -PI()/2,PI()/2, 0, 1, "sin(cos(x + y))")-1.48235</f>
        <v>-2.5991919644832606E-2</v>
      </c>
    </row>
    <row r="780" spans="1:16" x14ac:dyDescent="0.3">
      <c r="A780">
        <v>750</v>
      </c>
      <c r="B780" cm="1">
        <f t="array" ref="B780" xml:space="preserve"> mc(100, 0, 4, 1, 2, "x^2+y^2")-92/3</f>
        <v>-1.4734895989510761</v>
      </c>
      <c r="C780" cm="1">
        <f t="array" ref="C780" xml:space="preserve"> mc(500, 0, 4, 1, 2, "x^2+y^2")-92/3</f>
        <v>5.3576305760319798E-2</v>
      </c>
      <c r="D780" cm="1">
        <f t="array" ref="D780" xml:space="preserve"> mc(1000, 0, 4, 1, 2, "x^2+y^2")-92/3</f>
        <v>-0.57648292267550971</v>
      </c>
      <c r="F780" cm="1">
        <f t="array" ref="F780" xml:space="preserve"> ( mc(100, 3, 4, -1, 1, "EXP(x * sin(y))") ) - 7.39981</f>
        <v>0.63539517515352628</v>
      </c>
      <c r="G780" cm="1">
        <f t="array" ref="G780" xml:space="preserve"> ( mc(500, 3, 4, -1, 1, "EXP(x * sin(y))") ) - 7.39981</f>
        <v>-7.7837022331149974E-2</v>
      </c>
      <c r="H780" cm="1">
        <f t="array" ref="H780" xml:space="preserve"> ( mc(1000, 3, 4, -1, 1, "EXP(x * sin(y))") ) - 7.39981</f>
        <v>0.63233909317505343</v>
      </c>
      <c r="J780" cm="1">
        <f t="array" ref="J780" xml:space="preserve"> mc(100, -PI()/2,0,-1, 1, "ln(EXP(x * y))")</f>
        <v>-0.17938291296681241</v>
      </c>
      <c r="K780" cm="1">
        <f t="array" ref="K780" xml:space="preserve"> mc(500, -PI()/2,0,-1, 1, "ln(EXP(x * y))")</f>
        <v>-3.4282783358661806E-2</v>
      </c>
      <c r="L780" cm="1">
        <f t="array" ref="L780" xml:space="preserve"> mc(1000, -PI()/2,0,-1, 1, "ln(EXP(x * y))")</f>
        <v>8.7987366959161775E-2</v>
      </c>
      <c r="N780" cm="1">
        <f t="array" ref="N780" xml:space="preserve"> mc(100, -PI()/2,PI()/2, 0, 1, "sin(cos(x + y))")-1.48235</f>
        <v>-4.4275216190959199E-2</v>
      </c>
      <c r="O780" cm="1">
        <f t="array" ref="O780" xml:space="preserve"> mc(500, -PI()/2,PI()/2, 0, 1, "sin(cos(x + y))")-1.48235</f>
        <v>-5.8027978398717872E-2</v>
      </c>
      <c r="P780" cm="1">
        <f t="array" ref="P780" xml:space="preserve"> mc(1000, -PI()/2,PI()/2, 0, 1, "sin(cos(x + y))")-1.48235</f>
        <v>4.7765024532193445E-2</v>
      </c>
    </row>
    <row r="781" spans="1:16" x14ac:dyDescent="0.3">
      <c r="A781">
        <v>751</v>
      </c>
      <c r="B781" cm="1">
        <f t="array" ref="B781" xml:space="preserve"> mc(100, 0, 4, 1, 2, "x^2+y^2")-92/3</f>
        <v>0.41459021661376383</v>
      </c>
      <c r="C781" cm="1">
        <f t="array" ref="C781" xml:space="preserve"> mc(500, 0, 4, 1, 2, "x^2+y^2")-92/3</f>
        <v>-0.4514425912892257</v>
      </c>
      <c r="D781" cm="1">
        <f t="array" ref="D781" xml:space="preserve"> mc(1000, 0, 4, 1, 2, "x^2+y^2")-92/3</f>
        <v>1.4012676773301536E-2</v>
      </c>
      <c r="F781" cm="1">
        <f t="array" ref="F781" xml:space="preserve"> ( mc(100, 3, 4, -1, 1, "EXP(x * sin(y))") ) - 7.39981</f>
        <v>0.98692816653258575</v>
      </c>
      <c r="G781" cm="1">
        <f t="array" ref="G781" xml:space="preserve"> ( mc(500, 3, 4, -1, 1, "EXP(x * sin(y))") ) - 7.39981</f>
        <v>-8.6096206972632316E-2</v>
      </c>
      <c r="H781" cm="1">
        <f t="array" ref="H781" xml:space="preserve"> ( mc(1000, 3, 4, -1, 1, "EXP(x * sin(y))") ) - 7.39981</f>
        <v>0.44476096466648229</v>
      </c>
      <c r="J781" cm="1">
        <f t="array" ref="J781" xml:space="preserve"> mc(100, -PI()/2,0,-1, 1, "ln(EXP(x * y))")</f>
        <v>-0.21967538135812573</v>
      </c>
      <c r="K781" cm="1">
        <f t="array" ref="K781" xml:space="preserve"> mc(500, -PI()/2,0,-1, 1, "ln(EXP(x * y))")</f>
        <v>-4.6526422158102342E-2</v>
      </c>
      <c r="L781" cm="1">
        <f t="array" ref="L781" xml:space="preserve"> mc(1000, -PI()/2,0,-1, 1, "ln(EXP(x * y))")</f>
        <v>2.8706167018638658E-2</v>
      </c>
      <c r="N781" cm="1">
        <f t="array" ref="N781" xml:space="preserve"> mc(100, -PI()/2,PI()/2, 0, 1, "sin(cos(x + y))")-1.48235</f>
        <v>0.11052813586155241</v>
      </c>
      <c r="O781" cm="1">
        <f t="array" ref="O781" xml:space="preserve"> mc(500, -PI()/2,PI()/2, 0, 1, "sin(cos(x + y))")-1.48235</f>
        <v>-7.370427251282452E-2</v>
      </c>
      <c r="P781" cm="1">
        <f t="array" ref="P781" xml:space="preserve"> mc(1000, -PI()/2,PI()/2, 0, 1, "sin(cos(x + y))")-1.48235</f>
        <v>-4.2658662544290404E-3</v>
      </c>
    </row>
    <row r="782" spans="1:16" x14ac:dyDescent="0.3">
      <c r="A782">
        <v>752</v>
      </c>
      <c r="B782" cm="1">
        <f t="array" ref="B782" xml:space="preserve"> mc(100, 0, 4, 1, 2, "x^2+y^2")-92/3</f>
        <v>4.0029231785455401</v>
      </c>
      <c r="C782" cm="1">
        <f t="array" ref="C782" xml:space="preserve"> mc(500, 0, 4, 1, 2, "x^2+y^2")-92/3</f>
        <v>0.77652576834133313</v>
      </c>
      <c r="D782" cm="1">
        <f t="array" ref="D782" xml:space="preserve"> mc(1000, 0, 4, 1, 2, "x^2+y^2")-92/3</f>
        <v>-0.90060592015603547</v>
      </c>
      <c r="F782" cm="1">
        <f t="array" ref="F782" xml:space="preserve"> ( mc(100, 3, 4, -1, 1, "EXP(x * sin(y))") ) - 7.39981</f>
        <v>-4.0466366198522508E-2</v>
      </c>
      <c r="G782" cm="1">
        <f t="array" ref="G782" xml:space="preserve"> ( mc(500, 3, 4, -1, 1, "EXP(x * sin(y))") ) - 7.39981</f>
        <v>-7.5669603061437662E-2</v>
      </c>
      <c r="H782" cm="1">
        <f t="array" ref="H782" xml:space="preserve"> ( mc(1000, 3, 4, -1, 1, "EXP(x * sin(y))") ) - 7.39981</f>
        <v>-0.29649817417274438</v>
      </c>
      <c r="J782" cm="1">
        <f t="array" ref="J782" xml:space="preserve"> mc(100, -PI()/2,0,-1, 1, "ln(EXP(x * y))")</f>
        <v>-0.1376192140839857</v>
      </c>
      <c r="K782" cm="1">
        <f t="array" ref="K782" xml:space="preserve"> mc(500, -PI()/2,0,-1, 1, "ln(EXP(x * y))")</f>
        <v>0.15526119268821356</v>
      </c>
      <c r="L782" cm="1">
        <f t="array" ref="L782" xml:space="preserve"> mc(1000, -PI()/2,0,-1, 1, "ln(EXP(x * y))")</f>
        <v>-5.3918978745989006E-2</v>
      </c>
      <c r="N782" cm="1">
        <f t="array" ref="N782" xml:space="preserve"> mc(100, -PI()/2,PI()/2, 0, 1, "sin(cos(x + y))")-1.48235</f>
        <v>0.25859894204656175</v>
      </c>
      <c r="O782" cm="1">
        <f t="array" ref="O782" xml:space="preserve"> mc(500, -PI()/2,PI()/2, 0, 1, "sin(cos(x + y))")-1.48235</f>
        <v>-4.8420975027476665E-3</v>
      </c>
      <c r="P782" cm="1">
        <f t="array" ref="P782" xml:space="preserve"> mc(1000, -PI()/2,PI()/2, 0, 1, "sin(cos(x + y))")-1.48235</f>
        <v>-4.067648479081476E-2</v>
      </c>
    </row>
    <row r="783" spans="1:16" x14ac:dyDescent="0.3">
      <c r="A783">
        <v>753</v>
      </c>
      <c r="B783" cm="1">
        <f t="array" ref="B783" xml:space="preserve"> mc(100, 0, 4, 1, 2, "x^2+y^2")-92/3</f>
        <v>-3.5423260367153375E-3</v>
      </c>
      <c r="C783" cm="1">
        <f t="array" ref="C783" xml:space="preserve"> mc(500, 0, 4, 1, 2, "x^2+y^2")-92/3</f>
        <v>0.88011997558085397</v>
      </c>
      <c r="D783" cm="1">
        <f t="array" ref="D783" xml:space="preserve"> mc(1000, 0, 4, 1, 2, "x^2+y^2")-92/3</f>
        <v>0.49633296222412682</v>
      </c>
      <c r="F783" cm="1">
        <f t="array" ref="F783" xml:space="preserve"> ( mc(100, 3, 4, -1, 1, "EXP(x * sin(y))") ) - 7.39981</f>
        <v>0.10517086661345942</v>
      </c>
      <c r="G783" cm="1">
        <f t="array" ref="G783" xml:space="preserve"> ( mc(500, 3, 4, -1, 1, "EXP(x * sin(y))") ) - 7.39981</f>
        <v>-0.3312619555369638</v>
      </c>
      <c r="H783" cm="1">
        <f t="array" ref="H783" xml:space="preserve"> ( mc(1000, 3, 4, -1, 1, "EXP(x * sin(y))") ) - 7.39981</f>
        <v>0.36927431466379623</v>
      </c>
      <c r="J783" cm="1">
        <f t="array" ref="J783" xml:space="preserve"> mc(100, -PI()/2,0,-1, 1, "ln(EXP(x * y))")</f>
        <v>0.23831103286460414</v>
      </c>
      <c r="K783" cm="1">
        <f t="array" ref="K783" xml:space="preserve"> mc(500, -PI()/2,0,-1, 1, "ln(EXP(x * y))")</f>
        <v>-1.4320062139734477E-2</v>
      </c>
      <c r="L783" cm="1">
        <f t="array" ref="L783" xml:space="preserve"> mc(1000, -PI()/2,0,-1, 1, "ln(EXP(x * y))")</f>
        <v>3.2454033076628072E-2</v>
      </c>
      <c r="N783" cm="1">
        <f t="array" ref="N783" xml:space="preserve"> mc(100, -PI()/2,PI()/2, 0, 1, "sin(cos(x + y))")-1.48235</f>
        <v>0.16444661085172552</v>
      </c>
      <c r="O783" cm="1">
        <f t="array" ref="O783" xml:space="preserve"> mc(500, -PI()/2,PI()/2, 0, 1, "sin(cos(x + y))")-1.48235</f>
        <v>-1.4539890558731727E-2</v>
      </c>
      <c r="P783" cm="1">
        <f t="array" ref="P783" xml:space="preserve"> mc(1000, -PI()/2,PI()/2, 0, 1, "sin(cos(x + y))")-1.48235</f>
        <v>-1.5308595937897351E-2</v>
      </c>
    </row>
    <row r="784" spans="1:16" x14ac:dyDescent="0.3">
      <c r="A784">
        <v>754</v>
      </c>
      <c r="B784" cm="1">
        <f t="array" ref="B784" xml:space="preserve"> mc(100, 0, 4, 1, 2, "x^2+y^2")-92/3</f>
        <v>-0.3116729706906618</v>
      </c>
      <c r="C784" cm="1">
        <f t="array" ref="C784" xml:space="preserve"> mc(500, 0, 4, 1, 2, "x^2+y^2")-92/3</f>
        <v>1.5411101511541183</v>
      </c>
      <c r="D784" cm="1">
        <f t="array" ref="D784" xml:space="preserve"> mc(1000, 0, 4, 1, 2, "x^2+y^2")-92/3</f>
        <v>9.7150512714517134E-2</v>
      </c>
      <c r="F784" cm="1">
        <f t="array" ref="F784" xml:space="preserve"> ( mc(100, 3, 4, -1, 1, "EXP(x * sin(y))") ) - 7.39981</f>
        <v>-0.23257585822976878</v>
      </c>
      <c r="G784" cm="1">
        <f t="array" ref="G784" xml:space="preserve"> ( mc(500, 3, 4, -1, 1, "EXP(x * sin(y))") ) - 7.39981</f>
        <v>-0.49920473883150063</v>
      </c>
      <c r="H784" cm="1">
        <f t="array" ref="H784" xml:space="preserve"> ( mc(1000, 3, 4, -1, 1, "EXP(x * sin(y))") ) - 7.39981</f>
        <v>7.4182428846685688E-2</v>
      </c>
      <c r="J784" cm="1">
        <f t="array" ref="J784" xml:space="preserve"> mc(100, -PI()/2,0,-1, 1, "ln(EXP(x * y))")</f>
        <v>-0.15893961513564805</v>
      </c>
      <c r="K784" cm="1">
        <f t="array" ref="K784" xml:space="preserve"> mc(500, -PI()/2,0,-1, 1, "ln(EXP(x * y))")</f>
        <v>3.5103458838462165E-2</v>
      </c>
      <c r="L784" cm="1">
        <f t="array" ref="L784" xml:space="preserve"> mc(1000, -PI()/2,0,-1, 1, "ln(EXP(x * y))")</f>
        <v>3.8415898417384388E-2</v>
      </c>
      <c r="N784" cm="1">
        <f t="array" ref="N784" xml:space="preserve"> mc(100, -PI()/2,PI()/2, 0, 1, "sin(cos(x + y))")-1.48235</f>
        <v>5.8181209886553731E-2</v>
      </c>
      <c r="O784" cm="1">
        <f t="array" ref="O784" xml:space="preserve"> mc(500, -PI()/2,PI()/2, 0, 1, "sin(cos(x + y))")-1.48235</f>
        <v>4.3499127497308665E-2</v>
      </c>
      <c r="P784" cm="1">
        <f t="array" ref="P784" xml:space="preserve"> mc(1000, -PI()/2,PI()/2, 0, 1, "sin(cos(x + y))")-1.48235</f>
        <v>-5.0942103710411413E-2</v>
      </c>
    </row>
    <row r="785" spans="1:16" x14ac:dyDescent="0.3">
      <c r="A785">
        <v>755</v>
      </c>
      <c r="B785" cm="1">
        <f t="array" ref="B785" xml:space="preserve"> mc(100, 0, 4, 1, 2, "x^2+y^2")-92/3</f>
        <v>1.7451957134728637</v>
      </c>
      <c r="C785" cm="1">
        <f t="array" ref="C785" xml:space="preserve"> mc(500, 0, 4, 1, 2, "x^2+y^2")-92/3</f>
        <v>-0.40811545066161869</v>
      </c>
      <c r="D785" cm="1">
        <f t="array" ref="D785" xml:space="preserve"> mc(1000, 0, 4, 1, 2, "x^2+y^2")-92/3</f>
        <v>-0.15781892766447214</v>
      </c>
      <c r="F785" cm="1">
        <f t="array" ref="F785" xml:space="preserve"> ( mc(100, 3, 4, -1, 1, "EXP(x * sin(y))") ) - 7.39981</f>
        <v>-0.72794242998876069</v>
      </c>
      <c r="G785" cm="1">
        <f t="array" ref="G785" xml:space="preserve"> ( mc(500, 3, 4, -1, 1, "EXP(x * sin(y))") ) - 7.39981</f>
        <v>0.32383506827655584</v>
      </c>
      <c r="H785" cm="1">
        <f t="array" ref="H785" xml:space="preserve"> ( mc(1000, 3, 4, -1, 1, "EXP(x * sin(y))") ) - 7.39981</f>
        <v>-0.64960227390315151</v>
      </c>
      <c r="J785" cm="1">
        <f t="array" ref="J785" xml:space="preserve"> mc(100, -PI()/2,0,-1, 1, "ln(EXP(x * y))")</f>
        <v>0.23608382667155911</v>
      </c>
      <c r="K785" cm="1">
        <f t="array" ref="K785" xml:space="preserve"> mc(500, -PI()/2,0,-1, 1, "ln(EXP(x * y))")</f>
        <v>-8.2808157461844292E-2</v>
      </c>
      <c r="L785" cm="1">
        <f t="array" ref="L785" xml:space="preserve"> mc(1000, -PI()/2,0,-1, 1, "ln(EXP(x * y))")</f>
        <v>-1.1007721444207856E-2</v>
      </c>
      <c r="N785" cm="1">
        <f t="array" ref="N785" xml:space="preserve"> mc(100, -PI()/2,PI()/2, 0, 1, "sin(cos(x + y))")-1.48235</f>
        <v>0.2532098699692269</v>
      </c>
      <c r="O785" cm="1">
        <f t="array" ref="O785" xml:space="preserve"> mc(500, -PI()/2,PI()/2, 0, 1, "sin(cos(x + y))")-1.48235</f>
        <v>-1.9957191022736076E-2</v>
      </c>
      <c r="P785" cm="1">
        <f t="array" ref="P785" xml:space="preserve"> mc(1000, -PI()/2,PI()/2, 0, 1, "sin(cos(x + y))")-1.48235</f>
        <v>-1.8004493875746652E-2</v>
      </c>
    </row>
    <row r="786" spans="1:16" x14ac:dyDescent="0.3">
      <c r="A786">
        <v>756</v>
      </c>
      <c r="B786" cm="1">
        <f t="array" ref="B786" xml:space="preserve"> mc(100, 0, 4, 1, 2, "x^2+y^2")-92/3</f>
        <v>2.1003367690235102</v>
      </c>
      <c r="C786" cm="1">
        <f t="array" ref="C786" xml:space="preserve"> mc(500, 0, 4, 1, 2, "x^2+y^2")-92/3</f>
        <v>0.31463666723144712</v>
      </c>
      <c r="D786" cm="1">
        <f t="array" ref="D786" xml:space="preserve"> mc(1000, 0, 4, 1, 2, "x^2+y^2")-92/3</f>
        <v>0.19148635129520386</v>
      </c>
      <c r="F786" cm="1">
        <f t="array" ref="F786" xml:space="preserve"> ( mc(100, 3, 4, -1, 1, "EXP(x * sin(y))") ) - 7.39981</f>
        <v>-0.64291109142874525</v>
      </c>
      <c r="G786" cm="1">
        <f t="array" ref="G786" xml:space="preserve"> ( mc(500, 3, 4, -1, 1, "EXP(x * sin(y))") ) - 7.39981</f>
        <v>-0.81076251495717067</v>
      </c>
      <c r="H786" cm="1">
        <f t="array" ref="H786" xml:space="preserve"> ( mc(1000, 3, 4, -1, 1, "EXP(x * sin(y))") ) - 7.39981</f>
        <v>-0.13699081453564332</v>
      </c>
      <c r="J786" cm="1">
        <f t="array" ref="J786" xml:space="preserve"> mc(100, -PI()/2,0,-1, 1, "ln(EXP(x * y))")</f>
        <v>7.2331196802470507E-2</v>
      </c>
      <c r="K786" cm="1">
        <f t="array" ref="K786" xml:space="preserve"> mc(500, -PI()/2,0,-1, 1, "ln(EXP(x * y))")</f>
        <v>2.8253516022784766E-2</v>
      </c>
      <c r="L786" cm="1">
        <f t="array" ref="L786" xml:space="preserve"> mc(1000, -PI()/2,0,-1, 1, "ln(EXP(x * y))")</f>
        <v>-1.8200171316983503E-2</v>
      </c>
      <c r="N786" cm="1">
        <f t="array" ref="N786" xml:space="preserve"> mc(100, -PI()/2,PI()/2, 0, 1, "sin(cos(x + y))")-1.48235</f>
        <v>0.10491378557348341</v>
      </c>
      <c r="O786" cm="1">
        <f t="array" ref="O786" xml:space="preserve"> mc(500, -PI()/2,PI()/2, 0, 1, "sin(cos(x + y))")-1.48235</f>
        <v>7.7284882518364739E-2</v>
      </c>
      <c r="P786" cm="1">
        <f t="array" ref="P786" xml:space="preserve"> mc(1000, -PI()/2,PI()/2, 0, 1, "sin(cos(x + y))")-1.48235</f>
        <v>-2.9627470228823505E-3</v>
      </c>
    </row>
    <row r="787" spans="1:16" x14ac:dyDescent="0.3">
      <c r="A787">
        <v>757</v>
      </c>
      <c r="B787" cm="1">
        <f t="array" ref="B787" xml:space="preserve"> mc(100, 0, 4, 1, 2, "x^2+y^2")-92/3</f>
        <v>-2.1238374943833556</v>
      </c>
      <c r="C787" cm="1">
        <f t="array" ref="C787" xml:space="preserve"> mc(500, 0, 4, 1, 2, "x^2+y^2")-92/3</f>
        <v>1.6018442079601662</v>
      </c>
      <c r="D787" cm="1">
        <f t="array" ref="D787" xml:space="preserve"> mc(1000, 0, 4, 1, 2, "x^2+y^2")-92/3</f>
        <v>1.1327420779488229</v>
      </c>
      <c r="F787" cm="1">
        <f t="array" ref="F787" xml:space="preserve"> ( mc(100, 3, 4, -1, 1, "EXP(x * sin(y))") ) - 7.39981</f>
        <v>2.9816115084686068</v>
      </c>
      <c r="G787" cm="1">
        <f t="array" ref="G787" xml:space="preserve"> ( mc(500, 3, 4, -1, 1, "EXP(x * sin(y))") ) - 7.39981</f>
        <v>-2.0065610963149183E-3</v>
      </c>
      <c r="H787" cm="1">
        <f t="array" ref="H787" xml:space="preserve"> ( mc(1000, 3, 4, -1, 1, "EXP(x * sin(y))") ) - 7.39981</f>
        <v>0.20701245421651482</v>
      </c>
      <c r="J787" cm="1">
        <f t="array" ref="J787" xml:space="preserve"> mc(100, -PI()/2,0,-1, 1, "ln(EXP(x * y))")</f>
        <v>0.2839932660405618</v>
      </c>
      <c r="K787" cm="1">
        <f t="array" ref="K787" xml:space="preserve"> mc(500, -PI()/2,0,-1, 1, "ln(EXP(x * y))")</f>
        <v>2.5622586264881592E-2</v>
      </c>
      <c r="L787" cm="1">
        <f t="array" ref="L787" xml:space="preserve"> mc(1000, -PI()/2,0,-1, 1, "ln(EXP(x * y))")</f>
        <v>-3.8978882823116401E-2</v>
      </c>
      <c r="N787" cm="1">
        <f t="array" ref="N787" xml:space="preserve"> mc(100, -PI()/2,PI()/2, 0, 1, "sin(cos(x + y))")-1.48235</f>
        <v>3.6550692205283397E-2</v>
      </c>
      <c r="O787" cm="1">
        <f t="array" ref="O787" xml:space="preserve"> mc(500, -PI()/2,PI()/2, 0, 1, "sin(cos(x + y))")-1.48235</f>
        <v>3.9386985124268969E-2</v>
      </c>
      <c r="P787" cm="1">
        <f t="array" ref="P787" xml:space="preserve"> mc(1000, -PI()/2,PI()/2, 0, 1, "sin(cos(x + y))")-1.48235</f>
        <v>-4.7027222900624999E-2</v>
      </c>
    </row>
    <row r="788" spans="1:16" x14ac:dyDescent="0.3">
      <c r="A788">
        <v>758</v>
      </c>
      <c r="B788" cm="1">
        <f t="array" ref="B788" xml:space="preserve"> mc(100, 0, 4, 1, 2, "x^2+y^2")-92/3</f>
        <v>0.18310302181136251</v>
      </c>
      <c r="C788" cm="1">
        <f t="array" ref="C788" xml:space="preserve"> mc(500, 0, 4, 1, 2, "x^2+y^2")-92/3</f>
        <v>-5.7008573632373327E-2</v>
      </c>
      <c r="D788" cm="1">
        <f t="array" ref="D788" xml:space="preserve"> mc(1000, 0, 4, 1, 2, "x^2+y^2")-92/3</f>
        <v>0.19914876512359214</v>
      </c>
      <c r="F788" cm="1">
        <f t="array" ref="F788" xml:space="preserve"> ( mc(100, 3, 4, -1, 1, "EXP(x * sin(y))") ) - 7.39981</f>
        <v>-2.2147890740147433</v>
      </c>
      <c r="G788" cm="1">
        <f t="array" ref="G788" xml:space="preserve"> ( mc(500, 3, 4, -1, 1, "EXP(x * sin(y))") ) - 7.39981</f>
        <v>0.31954073085026735</v>
      </c>
      <c r="H788" cm="1">
        <f t="array" ref="H788" xml:space="preserve"> ( mc(1000, 3, 4, -1, 1, "EXP(x * sin(y))") ) - 7.39981</f>
        <v>0.42946710312989822</v>
      </c>
      <c r="J788" cm="1">
        <f t="array" ref="J788" xml:space="preserve"> mc(100, -PI()/2,0,-1, 1, "ln(EXP(x * y))")</f>
        <v>0.1172906755673777</v>
      </c>
      <c r="K788" cm="1">
        <f t="array" ref="K788" xml:space="preserve"> mc(500, -PI()/2,0,-1, 1, "ln(EXP(x * y))")</f>
        <v>0.10244656752025275</v>
      </c>
      <c r="L788" cm="1">
        <f t="array" ref="L788" xml:space="preserve"> mc(1000, -PI()/2,0,-1, 1, "ln(EXP(x * y))")</f>
        <v>1.4492724591072974E-2</v>
      </c>
      <c r="N788" cm="1">
        <f t="array" ref="N788" xml:space="preserve"> mc(100, -PI()/2,PI()/2, 0, 1, "sin(cos(x + y))")-1.48235</f>
        <v>0.11426479074473761</v>
      </c>
      <c r="O788" cm="1">
        <f t="array" ref="O788" xml:space="preserve"> mc(500, -PI()/2,PI()/2, 0, 1, "sin(cos(x + y))")-1.48235</f>
        <v>1.3171591736599764E-2</v>
      </c>
      <c r="P788" cm="1">
        <f t="array" ref="P788" xml:space="preserve"> mc(1000, -PI()/2,PI()/2, 0, 1, "sin(cos(x + y))")-1.48235</f>
        <v>3.531821304564553E-2</v>
      </c>
    </row>
    <row r="789" spans="1:16" x14ac:dyDescent="0.3">
      <c r="A789">
        <v>759</v>
      </c>
      <c r="B789" cm="1">
        <f t="array" ref="B789" xml:space="preserve"> mc(100, 0, 4, 1, 2, "x^2+y^2")-92/3</f>
        <v>-2.0178150362583871</v>
      </c>
      <c r="C789" cm="1">
        <f t="array" ref="C789" xml:space="preserve"> mc(500, 0, 4, 1, 2, "x^2+y^2")-92/3</f>
        <v>0.39389663811907027</v>
      </c>
      <c r="D789" cm="1">
        <f t="array" ref="D789" xml:space="preserve"> mc(1000, 0, 4, 1, 2, "x^2+y^2")-92/3</f>
        <v>0.82940263856765739</v>
      </c>
      <c r="F789" cm="1">
        <f t="array" ref="F789" xml:space="preserve"> ( mc(100, 3, 4, -1, 1, "EXP(x * sin(y))") ) - 7.39981</f>
        <v>-1.3154992146676916</v>
      </c>
      <c r="G789" cm="1">
        <f t="array" ref="G789" xml:space="preserve"> ( mc(500, 3, 4, -1, 1, "EXP(x * sin(y))") ) - 7.39981</f>
        <v>-0.14038228984015699</v>
      </c>
      <c r="H789" cm="1">
        <f t="array" ref="H789" xml:space="preserve"> ( mc(1000, 3, 4, -1, 1, "EXP(x * sin(y))") ) - 7.39981</f>
        <v>0.10300399487968637</v>
      </c>
      <c r="J789" cm="1">
        <f t="array" ref="J789" xml:space="preserve"> mc(100, -PI()/2,0,-1, 1, "ln(EXP(x * y))")</f>
        <v>0.35089839479067125</v>
      </c>
      <c r="K789" cm="1">
        <f t="array" ref="K789" xml:space="preserve"> mc(500, -PI()/2,0,-1, 1, "ln(EXP(x * y))")</f>
        <v>-9.9877241467841618E-2</v>
      </c>
      <c r="L789" cm="1">
        <f t="array" ref="L789" xml:space="preserve"> mc(1000, -PI()/2,0,-1, 1, "ln(EXP(x * y))")</f>
        <v>7.6812018363166507E-2</v>
      </c>
      <c r="N789" cm="1">
        <f t="array" ref="N789" xml:space="preserve"> mc(100, -PI()/2,PI()/2, 0, 1, "sin(cos(x + y))")-1.48235</f>
        <v>-0.13843798200332724</v>
      </c>
      <c r="O789" cm="1">
        <f t="array" ref="O789" xml:space="preserve"> mc(500, -PI()/2,PI()/2, 0, 1, "sin(cos(x + y))")-1.48235</f>
        <v>4.8655592828980465E-2</v>
      </c>
      <c r="P789" cm="1">
        <f t="array" ref="P789" xml:space="preserve"> mc(1000, -PI()/2,PI()/2, 0, 1, "sin(cos(x + y))")-1.48235</f>
        <v>2.9499020468748638E-2</v>
      </c>
    </row>
    <row r="790" spans="1:16" x14ac:dyDescent="0.3">
      <c r="A790">
        <v>760</v>
      </c>
      <c r="B790" cm="1">
        <f t="array" ref="B790" xml:space="preserve"> mc(100, 0, 4, 1, 2, "x^2+y^2")-92/3</f>
        <v>0.31186472819978306</v>
      </c>
      <c r="C790" cm="1">
        <f t="array" ref="C790" xml:space="preserve"> mc(500, 0, 4, 1, 2, "x^2+y^2")-92/3</f>
        <v>-0.15903981954447488</v>
      </c>
      <c r="D790" cm="1">
        <f t="array" ref="D790" xml:space="preserve"> mc(1000, 0, 4, 1, 2, "x^2+y^2")-92/3</f>
        <v>-7.9314019147357584E-2</v>
      </c>
      <c r="F790" cm="1">
        <f t="array" ref="F790" xml:space="preserve"> ( mc(100, 3, 4, -1, 1, "EXP(x * sin(y))") ) - 7.39981</f>
        <v>-0.30731391736434155</v>
      </c>
      <c r="G790" cm="1">
        <f t="array" ref="G790" xml:space="preserve"> ( mc(500, 3, 4, -1, 1, "EXP(x * sin(y))") ) - 7.39981</f>
        <v>-0.84593618599495191</v>
      </c>
      <c r="H790" cm="1">
        <f t="array" ref="H790" xml:space="preserve"> ( mc(1000, 3, 4, -1, 1, "EXP(x * sin(y))") ) - 7.39981</f>
        <v>-3.6306636930198088E-2</v>
      </c>
      <c r="J790" cm="1">
        <f t="array" ref="J790" xml:space="preserve"> mc(100, -PI()/2,0,-1, 1, "ln(EXP(x * y))")</f>
        <v>-0.28724629600804713</v>
      </c>
      <c r="K790" cm="1">
        <f t="array" ref="K790" xml:space="preserve"> mc(500, -PI()/2,0,-1, 1, "ln(EXP(x * y))")</f>
        <v>-7.6308020844778113E-2</v>
      </c>
      <c r="L790" cm="1">
        <f t="array" ref="L790" xml:space="preserve"> mc(1000, -PI()/2,0,-1, 1, "ln(EXP(x * y))")</f>
        <v>1.1497648721951206E-2</v>
      </c>
      <c r="N790" cm="1">
        <f t="array" ref="N790" xml:space="preserve"> mc(100, -PI()/2,PI()/2, 0, 1, "sin(cos(x + y))")-1.48235</f>
        <v>-0.15103814547440364</v>
      </c>
      <c r="O790" cm="1">
        <f t="array" ref="O790" xml:space="preserve"> mc(500, -PI()/2,PI()/2, 0, 1, "sin(cos(x + y))")-1.48235</f>
        <v>9.0078478727598776E-2</v>
      </c>
      <c r="P790" cm="1">
        <f t="array" ref="P790" xml:space="preserve"> mc(1000, -PI()/2,PI()/2, 0, 1, "sin(cos(x + y))")-1.48235</f>
        <v>2.2743938880793069E-2</v>
      </c>
    </row>
    <row r="791" spans="1:16" x14ac:dyDescent="0.3">
      <c r="A791">
        <v>761</v>
      </c>
      <c r="B791" cm="1">
        <f t="array" ref="B791" xml:space="preserve"> mc(100, 0, 4, 1, 2, "x^2+y^2")-92/3</f>
        <v>-3.6978008380012888</v>
      </c>
      <c r="C791" cm="1">
        <f t="array" ref="C791" xml:space="preserve"> mc(500, 0, 4, 1, 2, "x^2+y^2")-92/3</f>
        <v>1.3208816987203029</v>
      </c>
      <c r="D791" cm="1">
        <f t="array" ref="D791" xml:space="preserve"> mc(1000, 0, 4, 1, 2, "x^2+y^2")-92/3</f>
        <v>-0.24572735611437224</v>
      </c>
      <c r="F791" cm="1">
        <f t="array" ref="F791" xml:space="preserve"> ( mc(100, 3, 4, -1, 1, "EXP(x * sin(y))") ) - 7.39981</f>
        <v>0.51847792979945506</v>
      </c>
      <c r="G791" cm="1">
        <f t="array" ref="G791" xml:space="preserve"> ( mc(500, 3, 4, -1, 1, "EXP(x * sin(y))") ) - 7.39981</f>
        <v>0.54988263269642079</v>
      </c>
      <c r="H791" cm="1">
        <f t="array" ref="H791" xml:space="preserve"> ( mc(1000, 3, 4, -1, 1, "EXP(x * sin(y))") ) - 7.39981</f>
        <v>-0.49517541412262123</v>
      </c>
      <c r="J791" cm="1">
        <f t="array" ref="J791" xml:space="preserve"> mc(100, -PI()/2,0,-1, 1, "ln(EXP(x * y))")</f>
        <v>0.11817089134613731</v>
      </c>
      <c r="K791" cm="1">
        <f t="array" ref="K791" xml:space="preserve"> mc(500, -PI()/2,0,-1, 1, "ln(EXP(x * y))")</f>
        <v>-2.8919509078308585E-2</v>
      </c>
      <c r="L791" cm="1">
        <f t="array" ref="L791" xml:space="preserve"> mc(1000, -PI()/2,0,-1, 1, "ln(EXP(x * y))")</f>
        <v>1.341562873235539E-2</v>
      </c>
      <c r="N791" cm="1">
        <f t="array" ref="N791" xml:space="preserve"> mc(100, -PI()/2,PI()/2, 0, 1, "sin(cos(x + y))")-1.48235</f>
        <v>-0.19579894278359777</v>
      </c>
      <c r="O791" cm="1">
        <f t="array" ref="O791" xml:space="preserve"> mc(500, -PI()/2,PI()/2, 0, 1, "sin(cos(x + y))")-1.48235</f>
        <v>1.4229603082673403E-2</v>
      </c>
      <c r="P791" cm="1">
        <f t="array" ref="P791" xml:space="preserve"> mc(1000, -PI()/2,PI()/2, 0, 1, "sin(cos(x + y))")-1.48235</f>
        <v>-3.617197662514271E-2</v>
      </c>
    </row>
    <row r="792" spans="1:16" x14ac:dyDescent="0.3">
      <c r="A792">
        <v>762</v>
      </c>
      <c r="B792" cm="1">
        <f t="array" ref="B792" xml:space="preserve"> mc(100, 0, 4, 1, 2, "x^2+y^2")-92/3</f>
        <v>-1.681249815290272</v>
      </c>
      <c r="C792" cm="1">
        <f t="array" ref="C792" xml:space="preserve"> mc(500, 0, 4, 1, 2, "x^2+y^2")-92/3</f>
        <v>-0.57329243875217628</v>
      </c>
      <c r="D792" cm="1">
        <f t="array" ref="D792" xml:space="preserve"> mc(1000, 0, 4, 1, 2, "x^2+y^2")-92/3</f>
        <v>0.49841204095540448</v>
      </c>
      <c r="F792" cm="1">
        <f t="array" ref="F792" xml:space="preserve"> ( mc(100, 3, 4, -1, 1, "EXP(x * sin(y))") ) - 7.39981</f>
        <v>-0.2639913249016077</v>
      </c>
      <c r="G792" cm="1">
        <f t="array" ref="G792" xml:space="preserve"> ( mc(500, 3, 4, -1, 1, "EXP(x * sin(y))") ) - 7.39981</f>
        <v>0.48182795768641018</v>
      </c>
      <c r="H792" cm="1">
        <f t="array" ref="H792" xml:space="preserve"> ( mc(1000, 3, 4, -1, 1, "EXP(x * sin(y))") ) - 7.39981</f>
        <v>0.26318063661170044</v>
      </c>
      <c r="J792" cm="1">
        <f t="array" ref="J792" xml:space="preserve"> mc(100, -PI()/2,0,-1, 1, "ln(EXP(x * y))")</f>
        <v>-6.0334608931273695E-2</v>
      </c>
      <c r="K792" cm="1">
        <f t="array" ref="K792" xml:space="preserve"> mc(500, -PI()/2,0,-1, 1, "ln(EXP(x * y))")</f>
        <v>0.10459833872969612</v>
      </c>
      <c r="L792" cm="1">
        <f t="array" ref="L792" xml:space="preserve"> mc(1000, -PI()/2,0,-1, 1, "ln(EXP(x * y))")</f>
        <v>-2.4471791741460707E-3</v>
      </c>
      <c r="N792" cm="1">
        <f t="array" ref="N792" xml:space="preserve"> mc(100, -PI()/2,PI()/2, 0, 1, "sin(cos(x + y))")-1.48235</f>
        <v>0.28894481371913838</v>
      </c>
      <c r="O792" cm="1">
        <f t="array" ref="O792" xml:space="preserve"> mc(500, -PI()/2,PI()/2, 0, 1, "sin(cos(x + y))")-1.48235</f>
        <v>2.8393393989368132E-2</v>
      </c>
      <c r="P792" cm="1">
        <f t="array" ref="P792" xml:space="preserve"> mc(1000, -PI()/2,PI()/2, 0, 1, "sin(cos(x + y))")-1.48235</f>
        <v>-5.6653842825810319E-2</v>
      </c>
    </row>
    <row r="793" spans="1:16" x14ac:dyDescent="0.3">
      <c r="A793">
        <v>763</v>
      </c>
      <c r="B793" cm="1">
        <f t="array" ref="B793" xml:space="preserve"> mc(100, 0, 4, 1, 2, "x^2+y^2")-92/3</f>
        <v>-0.57305603166472707</v>
      </c>
      <c r="C793" cm="1">
        <f t="array" ref="C793" xml:space="preserve"> mc(500, 0, 4, 1, 2, "x^2+y^2")-92/3</f>
        <v>-0.23244721265925605</v>
      </c>
      <c r="D793" cm="1">
        <f t="array" ref="D793" xml:space="preserve"> mc(1000, 0, 4, 1, 2, "x^2+y^2")-92/3</f>
        <v>-0.31635514785294205</v>
      </c>
      <c r="F793" cm="1">
        <f t="array" ref="F793" xml:space="preserve"> ( mc(100, 3, 4, -1, 1, "EXP(x * sin(y))") ) - 7.39981</f>
        <v>0.33238324597920776</v>
      </c>
      <c r="G793" cm="1">
        <f t="array" ref="G793" xml:space="preserve"> ( mc(500, 3, 4, -1, 1, "EXP(x * sin(y))") ) - 7.39981</f>
        <v>0.40078822032327821</v>
      </c>
      <c r="H793" cm="1">
        <f t="array" ref="H793" xml:space="preserve"> ( mc(1000, 3, 4, -1, 1, "EXP(x * sin(y))") ) - 7.39981</f>
        <v>-6.4436947641204334E-2</v>
      </c>
      <c r="J793" cm="1">
        <f t="array" ref="J793" xml:space="preserve"> mc(100, -PI()/2,0,-1, 1, "ln(EXP(x * y))")</f>
        <v>-1.1399707195503669E-2</v>
      </c>
      <c r="K793" cm="1">
        <f t="array" ref="K793" xml:space="preserve"> mc(500, -PI()/2,0,-1, 1, "ln(EXP(x * y))")</f>
        <v>-1.4566826467047135E-2</v>
      </c>
      <c r="L793" cm="1">
        <f t="array" ref="L793" xml:space="preserve"> mc(1000, -PI()/2,0,-1, 1, "ln(EXP(x * y))")</f>
        <v>-9.1890028895342354E-2</v>
      </c>
      <c r="N793" cm="1">
        <f t="array" ref="N793" xml:space="preserve"> mc(100, -PI()/2,PI()/2, 0, 1, "sin(cos(x + y))")-1.48235</f>
        <v>-8.6470970316521845E-2</v>
      </c>
      <c r="O793" cm="1">
        <f t="array" ref="O793" xml:space="preserve"> mc(500, -PI()/2,PI()/2, 0, 1, "sin(cos(x + y))")-1.48235</f>
        <v>-1.1219017220302385E-2</v>
      </c>
      <c r="P793" cm="1">
        <f t="array" ref="P793" xml:space="preserve"> mc(1000, -PI()/2,PI()/2, 0, 1, "sin(cos(x + y))")-1.48235</f>
        <v>-3.130493691930325E-2</v>
      </c>
    </row>
    <row r="794" spans="1:16" x14ac:dyDescent="0.3">
      <c r="A794">
        <v>764</v>
      </c>
      <c r="B794" cm="1">
        <f t="array" ref="B794" xml:space="preserve"> mc(100, 0, 4, 1, 2, "x^2+y^2")-92/3</f>
        <v>2.0249208226121702</v>
      </c>
      <c r="C794" cm="1">
        <f t="array" ref="C794" xml:space="preserve"> mc(500, 0, 4, 1, 2, "x^2+y^2")-92/3</f>
        <v>-4.6499555786020608E-2</v>
      </c>
      <c r="D794" cm="1">
        <f t="array" ref="D794" xml:space="preserve"> mc(1000, 0, 4, 1, 2, "x^2+y^2")-92/3</f>
        <v>0.37269494877742204</v>
      </c>
      <c r="F794" cm="1">
        <f t="array" ref="F794" xml:space="preserve"> ( mc(100, 3, 4, -1, 1, "EXP(x * sin(y))") ) - 7.39981</f>
        <v>-6.3655306623930485E-2</v>
      </c>
      <c r="G794" cm="1">
        <f t="array" ref="G794" xml:space="preserve"> ( mc(500, 3, 4, -1, 1, "EXP(x * sin(y))") ) - 7.39981</f>
        <v>-5.8076407967443622E-2</v>
      </c>
      <c r="H794" cm="1">
        <f t="array" ref="H794" xml:space="preserve"> ( mc(1000, 3, 4, -1, 1, "EXP(x * sin(y))") ) - 7.39981</f>
        <v>-0.57821950299427627</v>
      </c>
      <c r="J794" cm="1">
        <f t="array" ref="J794" xml:space="preserve"> mc(100, -PI()/2,0,-1, 1, "ln(EXP(x * y))")</f>
        <v>-0.12200699275379792</v>
      </c>
      <c r="K794" cm="1">
        <f t="array" ref="K794" xml:space="preserve"> mc(500, -PI()/2,0,-1, 1, "ln(EXP(x * y))")</f>
        <v>-2.9125847314823573E-2</v>
      </c>
      <c r="L794" cm="1">
        <f t="array" ref="L794" xml:space="preserve"> mc(1000, -PI()/2,0,-1, 1, "ln(EXP(x * y))")</f>
        <v>4.1384684310465571E-3</v>
      </c>
      <c r="N794" cm="1">
        <f t="array" ref="N794" xml:space="preserve"> mc(100, -PI()/2,PI()/2, 0, 1, "sin(cos(x + y))")-1.48235</f>
        <v>-9.0210289324542892E-2</v>
      </c>
      <c r="O794" cm="1">
        <f t="array" ref="O794" xml:space="preserve"> mc(500, -PI()/2,PI()/2, 0, 1, "sin(cos(x + y))")-1.48235</f>
        <v>1.6279140464113828E-2</v>
      </c>
      <c r="P794" cm="1">
        <f t="array" ref="P794" xml:space="preserve"> mc(1000, -PI()/2,PI()/2, 0, 1, "sin(cos(x + y))")-1.48235</f>
        <v>7.8388915166893725E-3</v>
      </c>
    </row>
    <row r="795" spans="1:16" x14ac:dyDescent="0.3">
      <c r="A795">
        <v>765</v>
      </c>
      <c r="B795" cm="1">
        <f t="array" ref="B795" xml:space="preserve"> mc(100, 0, 4, 1, 2, "x^2+y^2")-92/3</f>
        <v>3.7981493469699181</v>
      </c>
      <c r="C795" cm="1">
        <f t="array" ref="C795" xml:space="preserve"> mc(500, 0, 4, 1, 2, "x^2+y^2")-92/3</f>
        <v>0.56100690907507555</v>
      </c>
      <c r="D795" cm="1">
        <f t="array" ref="D795" xml:space="preserve"> mc(1000, 0, 4, 1, 2, "x^2+y^2")-92/3</f>
        <v>-0.21596609768390707</v>
      </c>
      <c r="F795" cm="1">
        <f t="array" ref="F795" xml:space="preserve"> ( mc(100, 3, 4, -1, 1, "EXP(x * sin(y))") ) - 7.39981</f>
        <v>1.9154610441155295</v>
      </c>
      <c r="G795" cm="1">
        <f t="array" ref="G795" xml:space="preserve"> ( mc(500, 3, 4, -1, 1, "EXP(x * sin(y))") ) - 7.39981</f>
        <v>4.7706363150524567E-2</v>
      </c>
      <c r="H795" cm="1">
        <f t="array" ref="H795" xml:space="preserve"> ( mc(1000, 3, 4, -1, 1, "EXP(x * sin(y))") ) - 7.39981</f>
        <v>0.19245145135502373</v>
      </c>
      <c r="J795" cm="1">
        <f t="array" ref="J795" xml:space="preserve"> mc(100, -PI()/2,0,-1, 1, "ln(EXP(x * y))")</f>
        <v>3.3135785124481523E-2</v>
      </c>
      <c r="K795" cm="1">
        <f t="array" ref="K795" xml:space="preserve"> mc(500, -PI()/2,0,-1, 1, "ln(EXP(x * y))")</f>
        <v>-1.4222482220002336E-2</v>
      </c>
      <c r="L795" cm="1">
        <f t="array" ref="L795" xml:space="preserve"> mc(1000, -PI()/2,0,-1, 1, "ln(EXP(x * y))")</f>
        <v>-3.1150407688247499E-2</v>
      </c>
      <c r="N795" cm="1">
        <f t="array" ref="N795" xml:space="preserve"> mc(100, -PI()/2,PI()/2, 0, 1, "sin(cos(x + y))")-1.48235</f>
        <v>3.4041178696248009E-2</v>
      </c>
      <c r="O795" cm="1">
        <f t="array" ref="O795" xml:space="preserve"> mc(500, -PI()/2,PI()/2, 0, 1, "sin(cos(x + y))")-1.48235</f>
        <v>2.2303615244398056E-2</v>
      </c>
      <c r="P795" cm="1">
        <f t="array" ref="P795" xml:space="preserve"> mc(1000, -PI()/2,PI()/2, 0, 1, "sin(cos(x + y))")-1.48235</f>
        <v>5.1942554530684859E-2</v>
      </c>
    </row>
    <row r="796" spans="1:16" x14ac:dyDescent="0.3">
      <c r="A796">
        <v>766</v>
      </c>
      <c r="B796" cm="1">
        <f t="array" ref="B796" xml:space="preserve"> mc(100, 0, 4, 1, 2, "x^2+y^2")-92/3</f>
        <v>-0.93563186957803524</v>
      </c>
      <c r="C796" cm="1">
        <f t="array" ref="C796" xml:space="preserve"> mc(500, 0, 4, 1, 2, "x^2+y^2")-92/3</f>
        <v>0.70047769296644802</v>
      </c>
      <c r="D796" cm="1">
        <f t="array" ref="D796" xml:space="preserve"> mc(1000, 0, 4, 1, 2, "x^2+y^2")-92/3</f>
        <v>0.43936230634941253</v>
      </c>
      <c r="F796" cm="1">
        <f t="array" ref="F796" xml:space="preserve"> ( mc(100, 3, 4, -1, 1, "EXP(x * sin(y))") ) - 7.39981</f>
        <v>0.3533888160830756</v>
      </c>
      <c r="G796" cm="1">
        <f t="array" ref="G796" xml:space="preserve"> ( mc(500, 3, 4, -1, 1, "EXP(x * sin(y))") ) - 7.39981</f>
        <v>-4.0586028962559695E-2</v>
      </c>
      <c r="H796" cm="1">
        <f t="array" ref="H796" xml:space="preserve"> ( mc(1000, 3, 4, -1, 1, "EXP(x * sin(y))") ) - 7.39981</f>
        <v>-0.52178073503827083</v>
      </c>
      <c r="J796" cm="1">
        <f t="array" ref="J796" xml:space="preserve"> mc(100, -PI()/2,0,-1, 1, "ln(EXP(x * y))")</f>
        <v>0.12804362978870709</v>
      </c>
      <c r="K796" cm="1">
        <f t="array" ref="K796" xml:space="preserve"> mc(500, -PI()/2,0,-1, 1, "ln(EXP(x * y))")</f>
        <v>5.7032452041967233E-2</v>
      </c>
      <c r="L796" cm="1">
        <f t="array" ref="L796" xml:space="preserve"> mc(1000, -PI()/2,0,-1, 1, "ln(EXP(x * y))")</f>
        <v>-2.8327669433042189E-2</v>
      </c>
      <c r="N796" cm="1">
        <f t="array" ref="N796" xml:space="preserve"> mc(100, -PI()/2,PI()/2, 0, 1, "sin(cos(x + y))")-1.48235</f>
        <v>0.24635740610936163</v>
      </c>
      <c r="O796" cm="1">
        <f t="array" ref="O796" xml:space="preserve"> mc(500, -PI()/2,PI()/2, 0, 1, "sin(cos(x + y))")-1.48235</f>
        <v>-3.8399088404182047E-2</v>
      </c>
      <c r="P796" cm="1">
        <f t="array" ref="P796" xml:space="preserve"> mc(1000, -PI()/2,PI()/2, 0, 1, "sin(cos(x + y))")-1.48235</f>
        <v>-5.5412585662207414E-2</v>
      </c>
    </row>
    <row r="797" spans="1:16" x14ac:dyDescent="0.3">
      <c r="A797">
        <v>767</v>
      </c>
      <c r="B797" cm="1">
        <f t="array" ref="B797" xml:space="preserve"> mc(100, 0, 4, 1, 2, "x^2+y^2")-92/3</f>
        <v>-0.71748800398824031</v>
      </c>
      <c r="C797" cm="1">
        <f t="array" ref="C797" xml:space="preserve"> mc(500, 0, 4, 1, 2, "x^2+y^2")-92/3</f>
        <v>-0.25499950828372064</v>
      </c>
      <c r="D797" cm="1">
        <f t="array" ref="D797" xml:space="preserve"> mc(1000, 0, 4, 1, 2, "x^2+y^2")-92/3</f>
        <v>0.16023258887691938</v>
      </c>
      <c r="F797" cm="1">
        <f t="array" ref="F797" xml:space="preserve"> ( mc(100, 3, 4, -1, 1, "EXP(x * sin(y))") ) - 7.39981</f>
        <v>2.5147044091788562</v>
      </c>
      <c r="G797" cm="1">
        <f t="array" ref="G797" xml:space="preserve"> ( mc(500, 3, 4, -1, 1, "EXP(x * sin(y))") ) - 7.39981</f>
        <v>0.36573460677375014</v>
      </c>
      <c r="H797" cm="1">
        <f t="array" ref="H797" xml:space="preserve"> ( mc(1000, 3, 4, -1, 1, "EXP(x * sin(y))") ) - 7.39981</f>
        <v>-0.72732722296645225</v>
      </c>
      <c r="J797" cm="1">
        <f t="array" ref="J797" xml:space="preserve"> mc(100, -PI()/2,0,-1, 1, "ln(EXP(x * y))")</f>
        <v>3.5211256392098794E-2</v>
      </c>
      <c r="K797" cm="1">
        <f t="array" ref="K797" xml:space="preserve"> mc(500, -PI()/2,0,-1, 1, "ln(EXP(x * y))")</f>
        <v>2.474232987868983E-2</v>
      </c>
      <c r="L797" cm="1">
        <f t="array" ref="L797" xml:space="preserve"> mc(1000, -PI()/2,0,-1, 1, "ln(EXP(x * y))")</f>
        <v>-5.7491737022490587E-2</v>
      </c>
      <c r="N797" cm="1">
        <f t="array" ref="N797" xml:space="preserve"> mc(100, -PI()/2,PI()/2, 0, 1, "sin(cos(x + y))")-1.48235</f>
        <v>-2.0522775031904139E-2</v>
      </c>
      <c r="O797" cm="1">
        <f t="array" ref="O797" xml:space="preserve"> mc(500, -PI()/2,PI()/2, 0, 1, "sin(cos(x + y))")-1.48235</f>
        <v>-1.2994853969650944E-2</v>
      </c>
      <c r="P797" cm="1">
        <f t="array" ref="P797" xml:space="preserve"> mc(1000, -PI()/2,PI()/2, 0, 1, "sin(cos(x + y))")-1.48235</f>
        <v>2.3329003606418652E-2</v>
      </c>
    </row>
    <row r="798" spans="1:16" x14ac:dyDescent="0.3">
      <c r="A798">
        <v>768</v>
      </c>
      <c r="B798" cm="1">
        <f t="array" ref="B798" xml:space="preserve"> mc(100, 0, 4, 1, 2, "x^2+y^2")-92/3</f>
        <v>0.98846108490525708</v>
      </c>
      <c r="C798" cm="1">
        <f t="array" ref="C798" xml:space="preserve"> mc(500, 0, 4, 1, 2, "x^2+y^2")-92/3</f>
        <v>3.8358513260053684E-2</v>
      </c>
      <c r="D798" cm="1">
        <f t="array" ref="D798" xml:space="preserve"> mc(1000, 0, 4, 1, 2, "x^2+y^2")-92/3</f>
        <v>0.22498581393088912</v>
      </c>
      <c r="F798" cm="1">
        <f t="array" ref="F798" xml:space="preserve"> ( mc(100, 3, 4, -1, 1, "EXP(x * sin(y))") ) - 7.39981</f>
        <v>-0.10980497533451317</v>
      </c>
      <c r="G798" cm="1">
        <f t="array" ref="G798" xml:space="preserve"> ( mc(500, 3, 4, -1, 1, "EXP(x * sin(y))") ) - 7.39981</f>
        <v>-0.5504429304616627</v>
      </c>
      <c r="H798" cm="1">
        <f t="array" ref="H798" xml:space="preserve"> ( mc(1000, 3, 4, -1, 1, "EXP(x * sin(y))") ) - 7.39981</f>
        <v>6.3598920391296332E-2</v>
      </c>
      <c r="J798" cm="1">
        <f t="array" ref="J798" xml:space="preserve"> mc(100, -PI()/2,0,-1, 1, "ln(EXP(x * y))")</f>
        <v>-3.9019689259354985E-2</v>
      </c>
      <c r="K798" cm="1">
        <f t="array" ref="K798" xml:space="preserve"> mc(500, -PI()/2,0,-1, 1, "ln(EXP(x * y))")</f>
        <v>2.7237302575963938E-2</v>
      </c>
      <c r="L798" cm="1">
        <f t="array" ref="L798" xml:space="preserve"> mc(1000, -PI()/2,0,-1, 1, "ln(EXP(x * y))")</f>
        <v>8.6678716309963443E-3</v>
      </c>
      <c r="N798" cm="1">
        <f t="array" ref="N798" xml:space="preserve"> mc(100, -PI()/2,PI()/2, 0, 1, "sin(cos(x + y))")-1.48235</f>
        <v>0.10089739898871697</v>
      </c>
      <c r="O798" cm="1">
        <f t="array" ref="O798" xml:space="preserve"> mc(500, -PI()/2,PI()/2, 0, 1, "sin(cos(x + y))")-1.48235</f>
        <v>-1.7375488231176073E-2</v>
      </c>
      <c r="P798" cm="1">
        <f t="array" ref="P798" xml:space="preserve"> mc(1000, -PI()/2,PI()/2, 0, 1, "sin(cos(x + y))")-1.48235</f>
        <v>-2.4612136679065255E-3</v>
      </c>
    </row>
    <row r="799" spans="1:16" x14ac:dyDescent="0.3">
      <c r="A799">
        <v>769</v>
      </c>
      <c r="B799" cm="1">
        <f t="array" ref="B799" xml:space="preserve"> mc(100, 0, 4, 1, 2, "x^2+y^2")-92/3</f>
        <v>-2.5105262949598242</v>
      </c>
      <c r="C799" cm="1">
        <f t="array" ref="C799" xml:space="preserve"> mc(500, 0, 4, 1, 2, "x^2+y^2")-92/3</f>
        <v>-0.34636876189243893</v>
      </c>
      <c r="D799" cm="1">
        <f t="array" ref="D799" xml:space="preserve"> mc(1000, 0, 4, 1, 2, "x^2+y^2")-92/3</f>
        <v>0.8969333060935476</v>
      </c>
      <c r="F799" cm="1">
        <f t="array" ref="F799" xml:space="preserve"> ( mc(100, 3, 4, -1, 1, "EXP(x * sin(y))") ) - 7.39981</f>
        <v>-0.79341158804532519</v>
      </c>
      <c r="G799" cm="1">
        <f t="array" ref="G799" xml:space="preserve"> ( mc(500, 3, 4, -1, 1, "EXP(x * sin(y))") ) - 7.39981</f>
        <v>0.30800321802668762</v>
      </c>
      <c r="H799" cm="1">
        <f t="array" ref="H799" xml:space="preserve"> ( mc(1000, 3, 4, -1, 1, "EXP(x * sin(y))") ) - 7.39981</f>
        <v>-1.8998843002933086E-2</v>
      </c>
      <c r="J799" cm="1">
        <f t="array" ref="J799" xml:space="preserve"> mc(100, -PI()/2,0,-1, 1, "ln(EXP(x * y))")</f>
        <v>5.3143382619929007E-2</v>
      </c>
      <c r="K799" cm="1">
        <f t="array" ref="K799" xml:space="preserve"> mc(500, -PI()/2,0,-1, 1, "ln(EXP(x * y))")</f>
        <v>-0.18885564743783326</v>
      </c>
      <c r="L799" cm="1">
        <f t="array" ref="L799" xml:space="preserve"> mc(1000, -PI()/2,0,-1, 1, "ln(EXP(x * y))")</f>
        <v>-7.7174726528954726E-2</v>
      </c>
      <c r="N799" cm="1">
        <f t="array" ref="N799" xml:space="preserve"> mc(100, -PI()/2,PI()/2, 0, 1, "sin(cos(x + y))")-1.48235</f>
        <v>0.1035722917423576</v>
      </c>
      <c r="O799" cm="1">
        <f t="array" ref="O799" xml:space="preserve"> mc(500, -PI()/2,PI()/2, 0, 1, "sin(cos(x + y))")-1.48235</f>
        <v>6.1813967542803105E-3</v>
      </c>
      <c r="P799" cm="1">
        <f t="array" ref="P799" xml:space="preserve"> mc(1000, -PI()/2,PI()/2, 0, 1, "sin(cos(x + y))")-1.48235</f>
        <v>2.874480106035171E-2</v>
      </c>
    </row>
    <row r="800" spans="1:16" x14ac:dyDescent="0.3">
      <c r="A800">
        <v>770</v>
      </c>
      <c r="B800" cm="1">
        <f t="array" ref="B800" xml:space="preserve"> mc(100, 0, 4, 1, 2, "x^2+y^2")-92/3</f>
        <v>1.0445447421138176</v>
      </c>
      <c r="C800" cm="1">
        <f t="array" ref="C800" xml:space="preserve"> mc(500, 0, 4, 1, 2, "x^2+y^2")-92/3</f>
        <v>4.9617168980653048E-2</v>
      </c>
      <c r="D800" cm="1">
        <f t="array" ref="D800" xml:space="preserve"> mc(1000, 0, 4, 1, 2, "x^2+y^2")-92/3</f>
        <v>-0.32630218653337906</v>
      </c>
      <c r="F800" cm="1">
        <f t="array" ref="F800" xml:space="preserve"> ( mc(100, 3, 4, -1, 1, "EXP(x * sin(y))") ) - 7.39981</f>
        <v>0.96189513779319924</v>
      </c>
      <c r="G800" cm="1">
        <f t="array" ref="G800" xml:space="preserve"> ( mc(500, 3, 4, -1, 1, "EXP(x * sin(y))") ) - 7.39981</f>
        <v>-0.107329191251889</v>
      </c>
      <c r="H800" cm="1">
        <f t="array" ref="H800" xml:space="preserve"> ( mc(1000, 3, 4, -1, 1, "EXP(x * sin(y))") ) - 7.39981</f>
        <v>9.5845628787065706E-2</v>
      </c>
      <c r="J800" cm="1">
        <f t="array" ref="J800" xml:space="preserve"> mc(100, -PI()/2,0,-1, 1, "ln(EXP(x * y))")</f>
        <v>0.10942583427840367</v>
      </c>
      <c r="K800" cm="1">
        <f t="array" ref="K800" xml:space="preserve"> mc(500, -PI()/2,0,-1, 1, "ln(EXP(x * y))")</f>
        <v>-4.6557860287313055E-2</v>
      </c>
      <c r="L800" cm="1">
        <f t="array" ref="L800" xml:space="preserve"> mc(1000, -PI()/2,0,-1, 1, "ln(EXP(x * y))")</f>
        <v>2.4682556796599999E-2</v>
      </c>
      <c r="N800" cm="1">
        <f t="array" ref="N800" xml:space="preserve"> mc(100, -PI()/2,PI()/2, 0, 1, "sin(cos(x + y))")-1.48235</f>
        <v>-0.29515436035602405</v>
      </c>
      <c r="O800" cm="1">
        <f t="array" ref="O800" xml:space="preserve"> mc(500, -PI()/2,PI()/2, 0, 1, "sin(cos(x + y))")-1.48235</f>
        <v>-9.0604448077133304E-2</v>
      </c>
      <c r="P800" cm="1">
        <f t="array" ref="P800" xml:space="preserve"> mc(1000, -PI()/2,PI()/2, 0, 1, "sin(cos(x + y))")-1.48235</f>
        <v>1.4193139379277797E-2</v>
      </c>
    </row>
    <row r="801" spans="1:16" x14ac:dyDescent="0.3">
      <c r="A801">
        <v>771</v>
      </c>
      <c r="B801" cm="1">
        <f t="array" ref="B801" xml:space="preserve"> mc(100, 0, 4, 1, 2, "x^2+y^2")-92/3</f>
        <v>-3.7503917036037073</v>
      </c>
      <c r="C801" cm="1">
        <f t="array" ref="C801" xml:space="preserve"> mc(500, 0, 4, 1, 2, "x^2+y^2")-92/3</f>
        <v>-1.290464622758396</v>
      </c>
      <c r="D801" cm="1">
        <f t="array" ref="D801" xml:space="preserve"> mc(1000, 0, 4, 1, 2, "x^2+y^2")-92/3</f>
        <v>0.13218052419571436</v>
      </c>
      <c r="F801" cm="1">
        <f t="array" ref="F801" xml:space="preserve"> ( mc(100, 3, 4, -1, 1, "EXP(x * sin(y))") ) - 7.39981</f>
        <v>0.36351013531826482</v>
      </c>
      <c r="G801" cm="1">
        <f t="array" ref="G801" xml:space="preserve"> ( mc(500, 3, 4, -1, 1, "EXP(x * sin(y))") ) - 7.39981</f>
        <v>0.1946118288368881</v>
      </c>
      <c r="H801" cm="1">
        <f t="array" ref="H801" xml:space="preserve"> ( mc(1000, 3, 4, -1, 1, "EXP(x * sin(y))") ) - 7.39981</f>
        <v>-0.37758948085315325</v>
      </c>
      <c r="J801" cm="1">
        <f t="array" ref="J801" xml:space="preserve"> mc(100, -PI()/2,0,-1, 1, "ln(EXP(x * y))")</f>
        <v>-0.33035447099640575</v>
      </c>
      <c r="K801" cm="1">
        <f t="array" ref="K801" xml:space="preserve"> mc(500, -PI()/2,0,-1, 1, "ln(EXP(x * y))")</f>
        <v>5.4711325918660507E-2</v>
      </c>
      <c r="L801" cm="1">
        <f t="array" ref="L801" xml:space="preserve"> mc(1000, -PI()/2,0,-1, 1, "ln(EXP(x * y))")</f>
        <v>-6.7322248579654867E-2</v>
      </c>
      <c r="N801" cm="1">
        <f t="array" ref="N801" xml:space="preserve"> mc(100, -PI()/2,PI()/2, 0, 1, "sin(cos(x + y))")-1.48235</f>
        <v>9.8128005288890652E-2</v>
      </c>
      <c r="O801" cm="1">
        <f t="array" ref="O801" xml:space="preserve"> mc(500, -PI()/2,PI()/2, 0, 1, "sin(cos(x + y))")-1.48235</f>
        <v>3.2162190249043876E-2</v>
      </c>
      <c r="P801" cm="1">
        <f t="array" ref="P801" xml:space="preserve"> mc(1000, -PI()/2,PI()/2, 0, 1, "sin(cos(x + y))")-1.48235</f>
        <v>-6.6650495433389745E-2</v>
      </c>
    </row>
    <row r="802" spans="1:16" x14ac:dyDescent="0.3">
      <c r="A802">
        <v>772</v>
      </c>
      <c r="B802" cm="1">
        <f t="array" ref="B802" xml:space="preserve"> mc(100, 0, 4, 1, 2, "x^2+y^2")-92/3</f>
        <v>-1.8843169415415666</v>
      </c>
      <c r="C802" cm="1">
        <f t="array" ref="C802" xml:space="preserve"> mc(500, 0, 4, 1, 2, "x^2+y^2")-92/3</f>
        <v>0.50206149136434775</v>
      </c>
      <c r="D802" cm="1">
        <f t="array" ref="D802" xml:space="preserve"> mc(1000, 0, 4, 1, 2, "x^2+y^2")-92/3</f>
        <v>-0.27891280561127729</v>
      </c>
      <c r="F802" cm="1">
        <f t="array" ref="F802" xml:space="preserve"> ( mc(100, 3, 4, -1, 1, "EXP(x * sin(y))") ) - 7.39981</f>
        <v>-0.45094936953581133</v>
      </c>
      <c r="G802" cm="1">
        <f t="array" ref="G802" xml:space="preserve"> ( mc(500, 3, 4, -1, 1, "EXP(x * sin(y))") ) - 7.39981</f>
        <v>0.23547479299030893</v>
      </c>
      <c r="H802" cm="1">
        <f t="array" ref="H802" xml:space="preserve"> ( mc(1000, 3, 4, -1, 1, "EXP(x * sin(y))") ) - 7.39981</f>
        <v>-0.56311190680631906</v>
      </c>
      <c r="J802" cm="1">
        <f t="array" ref="J802" xml:space="preserve"> mc(100, -PI()/2,0,-1, 1, "ln(EXP(x * y))")</f>
        <v>-7.4369796942566721E-2</v>
      </c>
      <c r="K802" cm="1">
        <f t="array" ref="K802" xml:space="preserve"> mc(500, -PI()/2,0,-1, 1, "ln(EXP(x * y))")</f>
        <v>8.745899049691794E-4</v>
      </c>
      <c r="L802" cm="1">
        <f t="array" ref="L802" xml:space="preserve"> mc(1000, -PI()/2,0,-1, 1, "ln(EXP(x * y))")</f>
        <v>5.3261104921943263E-3</v>
      </c>
      <c r="N802" cm="1">
        <f t="array" ref="N802" xml:space="preserve"> mc(100, -PI()/2,PI()/2, 0, 1, "sin(cos(x + y))")-1.48235</f>
        <v>0.12324567216273041</v>
      </c>
      <c r="O802" cm="1">
        <f t="array" ref="O802" xml:space="preserve"> mc(500, -PI()/2,PI()/2, 0, 1, "sin(cos(x + y))")-1.48235</f>
        <v>-2.0322710875610772E-2</v>
      </c>
      <c r="P802" cm="1">
        <f t="array" ref="P802" xml:space="preserve"> mc(1000, -PI()/2,PI()/2, 0, 1, "sin(cos(x + y))")-1.48235</f>
        <v>-3.7592729923585866E-2</v>
      </c>
    </row>
    <row r="803" spans="1:16" x14ac:dyDescent="0.3">
      <c r="A803">
        <v>773</v>
      </c>
      <c r="B803" cm="1">
        <f t="array" ref="B803" xml:space="preserve"> mc(100, 0, 4, 1, 2, "x^2+y^2")-92/3</f>
        <v>1.0050419155774222</v>
      </c>
      <c r="C803" cm="1">
        <f t="array" ref="C803" xml:space="preserve"> mc(500, 0, 4, 1, 2, "x^2+y^2")-92/3</f>
        <v>0.36094347121817805</v>
      </c>
      <c r="D803" cm="1">
        <f t="array" ref="D803" xml:space="preserve"> mc(1000, 0, 4, 1, 2, "x^2+y^2")-92/3</f>
        <v>-3.5226934104581886E-2</v>
      </c>
      <c r="F803" cm="1">
        <f t="array" ref="F803" xml:space="preserve"> ( mc(100, 3, 4, -1, 1, "EXP(x * sin(y))") ) - 7.39981</f>
        <v>0.66183914227932306</v>
      </c>
      <c r="G803" cm="1">
        <f t="array" ref="G803" xml:space="preserve"> ( mc(500, 3, 4, -1, 1, "EXP(x * sin(y))") ) - 7.39981</f>
        <v>0.26352854078554078</v>
      </c>
      <c r="H803" cm="1">
        <f t="array" ref="H803" xml:space="preserve"> ( mc(1000, 3, 4, -1, 1, "EXP(x * sin(y))") ) - 7.39981</f>
        <v>0.51815493036565918</v>
      </c>
      <c r="J803" cm="1">
        <f t="array" ref="J803" xml:space="preserve"> mc(100, -PI()/2,0,-1, 1, "ln(EXP(x * y))")</f>
        <v>1.5235462622056224E-2</v>
      </c>
      <c r="K803" cm="1">
        <f t="array" ref="K803" xml:space="preserve"> mc(500, -PI()/2,0,-1, 1, "ln(EXP(x * y))")</f>
        <v>7.5420974157723544E-2</v>
      </c>
      <c r="L803" cm="1">
        <f t="array" ref="L803" xml:space="preserve"> mc(1000, -PI()/2,0,-1, 1, "ln(EXP(x * y))")</f>
        <v>5.1290652504029512E-2</v>
      </c>
      <c r="N803" cm="1">
        <f t="array" ref="N803" xml:space="preserve"> mc(100, -PI()/2,PI()/2, 0, 1, "sin(cos(x + y))")-1.48235</f>
        <v>-1.3388579093245534E-2</v>
      </c>
      <c r="O803" cm="1">
        <f t="array" ref="O803" xml:space="preserve"> mc(500, -PI()/2,PI()/2, 0, 1, "sin(cos(x + y))")-1.48235</f>
        <v>4.625782684662072E-3</v>
      </c>
      <c r="P803" cm="1">
        <f t="array" ref="P803" xml:space="preserve"> mc(1000, -PI()/2,PI()/2, 0, 1, "sin(cos(x + y))")-1.48235</f>
        <v>7.3471906755704364E-3</v>
      </c>
    </row>
    <row r="804" spans="1:16" x14ac:dyDescent="0.3">
      <c r="A804">
        <v>774</v>
      </c>
      <c r="B804" cm="1">
        <f t="array" ref="B804" xml:space="preserve"> mc(100, 0, 4, 1, 2, "x^2+y^2")-92/3</f>
        <v>-1.7603204460820265</v>
      </c>
      <c r="C804" cm="1">
        <f t="array" ref="C804" xml:space="preserve"> mc(500, 0, 4, 1, 2, "x^2+y^2")-92/3</f>
        <v>-2.5914609984075625</v>
      </c>
      <c r="D804" cm="1">
        <f t="array" ref="D804" xml:space="preserve"> mc(1000, 0, 4, 1, 2, "x^2+y^2")-92/3</f>
        <v>-0.40465400914327176</v>
      </c>
      <c r="F804" cm="1">
        <f t="array" ref="F804" xml:space="preserve"> ( mc(100, 3, 4, -1, 1, "EXP(x * sin(y))") ) - 7.39981</f>
        <v>-0.46823509105094008</v>
      </c>
      <c r="G804" cm="1">
        <f t="array" ref="G804" xml:space="preserve"> ( mc(500, 3, 4, -1, 1, "EXP(x * sin(y))") ) - 7.39981</f>
        <v>0.2999215346764128</v>
      </c>
      <c r="H804" cm="1">
        <f t="array" ref="H804" xml:space="preserve"> ( mc(1000, 3, 4, -1, 1, "EXP(x * sin(y))") ) - 7.39981</f>
        <v>0.76269271364750679</v>
      </c>
      <c r="J804" cm="1">
        <f t="array" ref="J804" xml:space="preserve"> mc(100, -PI()/2,0,-1, 1, "ln(EXP(x * y))")</f>
        <v>-0.13708260669641872</v>
      </c>
      <c r="K804" cm="1">
        <f t="array" ref="K804" xml:space="preserve"> mc(500, -PI()/2,0,-1, 1, "ln(EXP(x * y))")</f>
        <v>6.8278236740331568E-3</v>
      </c>
      <c r="L804" cm="1">
        <f t="array" ref="L804" xml:space="preserve"> mc(1000, -PI()/2,0,-1, 1, "ln(EXP(x * y))")</f>
        <v>-7.4486327691568266E-2</v>
      </c>
      <c r="N804" cm="1">
        <f t="array" ref="N804" xml:space="preserve"> mc(100, -PI()/2,PI()/2, 0, 1, "sin(cos(x + y))")-1.48235</f>
        <v>0.2495788943828765</v>
      </c>
      <c r="O804" cm="1">
        <f t="array" ref="O804" xml:space="preserve"> mc(500, -PI()/2,PI()/2, 0, 1, "sin(cos(x + y))")-1.48235</f>
        <v>6.4828902100895203E-3</v>
      </c>
      <c r="P804" cm="1">
        <f t="array" ref="P804" xml:space="preserve"> mc(1000, -PI()/2,PI()/2, 0, 1, "sin(cos(x + y))")-1.48235</f>
        <v>-2.6001413323240463E-2</v>
      </c>
    </row>
    <row r="805" spans="1:16" x14ac:dyDescent="0.3">
      <c r="A805">
        <v>775</v>
      </c>
      <c r="B805" cm="1">
        <f t="array" ref="B805" xml:space="preserve"> mc(100, 0, 4, 1, 2, "x^2+y^2")-92/3</f>
        <v>1.4723056379370512</v>
      </c>
      <c r="C805" cm="1">
        <f t="array" ref="C805" xml:space="preserve"> mc(500, 0, 4, 1, 2, "x^2+y^2")-92/3</f>
        <v>0.1408466787488365</v>
      </c>
      <c r="D805" cm="1">
        <f t="array" ref="D805" xml:space="preserve"> mc(1000, 0, 4, 1, 2, "x^2+y^2")-92/3</f>
        <v>-0.4869583231156227</v>
      </c>
      <c r="F805" cm="1">
        <f t="array" ref="F805" xml:space="preserve"> ( mc(100, 3, 4, -1, 1, "EXP(x * sin(y))") ) - 7.39981</f>
        <v>-0.72288890143804085</v>
      </c>
      <c r="G805" cm="1">
        <f t="array" ref="G805" xml:space="preserve"> ( mc(500, 3, 4, -1, 1, "EXP(x * sin(y))") ) - 7.39981</f>
        <v>0.41580758357254322</v>
      </c>
      <c r="H805" cm="1">
        <f t="array" ref="H805" xml:space="preserve"> ( mc(1000, 3, 4, -1, 1, "EXP(x * sin(y))") ) - 7.39981</f>
        <v>0.11915763462443074</v>
      </c>
      <c r="J805" cm="1">
        <f t="array" ref="J805" xml:space="preserve"> mc(100, -PI()/2,0,-1, 1, "ln(EXP(x * y))")</f>
        <v>0.40083715473333958</v>
      </c>
      <c r="K805" cm="1">
        <f t="array" ref="K805" xml:space="preserve"> mc(500, -PI()/2,0,-1, 1, "ln(EXP(x * y))")</f>
        <v>-5.2986424900136914E-2</v>
      </c>
      <c r="L805" cm="1">
        <f t="array" ref="L805" xml:space="preserve"> mc(1000, -PI()/2,0,-1, 1, "ln(EXP(x * y))")</f>
        <v>-1.1785395194385222E-2</v>
      </c>
      <c r="N805" cm="1">
        <f t="array" ref="N805" xml:space="preserve"> mc(100, -PI()/2,PI()/2, 0, 1, "sin(cos(x + y))")-1.48235</f>
        <v>0.33689799472633841</v>
      </c>
      <c r="O805" cm="1">
        <f t="array" ref="O805" xml:space="preserve"> mc(500, -PI()/2,PI()/2, 0, 1, "sin(cos(x + y))")-1.48235</f>
        <v>9.5628945502606921E-2</v>
      </c>
      <c r="P805" cm="1">
        <f t="array" ref="P805" xml:space="preserve"> mc(1000, -PI()/2,PI()/2, 0, 1, "sin(cos(x + y))")-1.48235</f>
        <v>-2.3990389418380831E-2</v>
      </c>
    </row>
    <row r="806" spans="1:16" x14ac:dyDescent="0.3">
      <c r="A806">
        <v>776</v>
      </c>
      <c r="B806" cm="1">
        <f t="array" ref="B806" xml:space="preserve"> mc(100, 0, 4, 1, 2, "x^2+y^2")-92/3</f>
        <v>-0.10079138066603832</v>
      </c>
      <c r="C806" cm="1">
        <f t="array" ref="C806" xml:space="preserve"> mc(500, 0, 4, 1, 2, "x^2+y^2")-92/3</f>
        <v>0.82556911655291998</v>
      </c>
      <c r="D806" cm="1">
        <f t="array" ref="D806" xml:space="preserve"> mc(1000, 0, 4, 1, 2, "x^2+y^2")-92/3</f>
        <v>-5.3057578302485808E-2</v>
      </c>
      <c r="F806" cm="1">
        <f t="array" ref="F806" xml:space="preserve"> ( mc(100, 3, 4, -1, 1, "EXP(x * sin(y))") ) - 7.39981</f>
        <v>-8.874472438729164E-2</v>
      </c>
      <c r="G806" cm="1">
        <f t="array" ref="G806" xml:space="preserve"> ( mc(500, 3, 4, -1, 1, "EXP(x * sin(y))") ) - 7.39981</f>
        <v>0.18619177494210426</v>
      </c>
      <c r="H806" cm="1">
        <f t="array" ref="H806" xml:space="preserve"> ( mc(1000, 3, 4, -1, 1, "EXP(x * sin(y))") ) - 7.39981</f>
        <v>4.0478346878771276E-2</v>
      </c>
      <c r="J806" cm="1">
        <f t="array" ref="J806" xml:space="preserve"> mc(100, -PI()/2,0,-1, 1, "ln(EXP(x * y))")</f>
        <v>-1.9770971027262635E-2</v>
      </c>
      <c r="K806" cm="1">
        <f t="array" ref="K806" xml:space="preserve"> mc(500, -PI()/2,0,-1, 1, "ln(EXP(x * y))")</f>
        <v>-1.7397674078678038E-2</v>
      </c>
      <c r="L806" cm="1">
        <f t="array" ref="L806" xml:space="preserve"> mc(1000, -PI()/2,0,-1, 1, "ln(EXP(x * y))")</f>
        <v>2.1026073046045448E-2</v>
      </c>
      <c r="N806" cm="1">
        <f t="array" ref="N806" xml:space="preserve"> mc(100, -PI()/2,PI()/2, 0, 1, "sin(cos(x + y))")-1.48235</f>
        <v>-0.30088096975681444</v>
      </c>
      <c r="O806" cm="1">
        <f t="array" ref="O806" xml:space="preserve"> mc(500, -PI()/2,PI()/2, 0, 1, "sin(cos(x + y))")-1.48235</f>
        <v>4.0378610310819019E-2</v>
      </c>
      <c r="P806" cm="1">
        <f t="array" ref="P806" xml:space="preserve"> mc(1000, -PI()/2,PI()/2, 0, 1, "sin(cos(x + y))")-1.48235</f>
        <v>1.2142756461498205E-2</v>
      </c>
    </row>
    <row r="807" spans="1:16" x14ac:dyDescent="0.3">
      <c r="A807">
        <v>777</v>
      </c>
      <c r="B807" cm="1">
        <f t="array" ref="B807" xml:space="preserve"> mc(100, 0, 4, 1, 2, "x^2+y^2")-92/3</f>
        <v>1.9798006499486753</v>
      </c>
      <c r="C807" cm="1">
        <f t="array" ref="C807" xml:space="preserve"> mc(500, 0, 4, 1, 2, "x^2+y^2")-92/3</f>
        <v>-1.1567256880904715</v>
      </c>
      <c r="D807" cm="1">
        <f t="array" ref="D807" xml:space="preserve"> mc(1000, 0, 4, 1, 2, "x^2+y^2")-92/3</f>
        <v>-2.0847267121411051E-2</v>
      </c>
      <c r="F807" cm="1">
        <f t="array" ref="F807" xml:space="preserve"> ( mc(100, 3, 4, -1, 1, "EXP(x * sin(y))") ) - 7.39981</f>
        <v>1.4854028205236567</v>
      </c>
      <c r="G807" cm="1">
        <f t="array" ref="G807" xml:space="preserve"> ( mc(500, 3, 4, -1, 1, "EXP(x * sin(y))") ) - 7.39981</f>
        <v>0.58786565236070132</v>
      </c>
      <c r="H807" cm="1">
        <f t="array" ref="H807" xml:space="preserve"> ( mc(1000, 3, 4, -1, 1, "EXP(x * sin(y))") ) - 7.39981</f>
        <v>-4.8785712647037904E-2</v>
      </c>
      <c r="J807" cm="1">
        <f t="array" ref="J807" xml:space="preserve"> mc(100, -PI()/2,0,-1, 1, "ln(EXP(x * y))")</f>
        <v>-0.13609433050024564</v>
      </c>
      <c r="K807" cm="1">
        <f t="array" ref="K807" xml:space="preserve"> mc(500, -PI()/2,0,-1, 1, "ln(EXP(x * y))")</f>
        <v>-7.5396695100982014E-2</v>
      </c>
      <c r="L807" cm="1">
        <f t="array" ref="L807" xml:space="preserve"> mc(1000, -PI()/2,0,-1, 1, "ln(EXP(x * y))")</f>
        <v>-1.1917308067320945E-3</v>
      </c>
      <c r="N807" cm="1">
        <f t="array" ref="N807" xml:space="preserve"> mc(100, -PI()/2,PI()/2, 0, 1, "sin(cos(x + y))")-1.48235</f>
        <v>-0.2479091101481572</v>
      </c>
      <c r="O807" cm="1">
        <f t="array" ref="O807" xml:space="preserve"> mc(500, -PI()/2,PI()/2, 0, 1, "sin(cos(x + y))")-1.48235</f>
        <v>3.9825466189201908E-2</v>
      </c>
      <c r="P807" cm="1">
        <f t="array" ref="P807" xml:space="preserve"> mc(1000, -PI()/2,PI()/2, 0, 1, "sin(cos(x + y))")-1.48235</f>
        <v>2.6997621722928855E-2</v>
      </c>
    </row>
    <row r="808" spans="1:16" x14ac:dyDescent="0.3">
      <c r="A808">
        <v>778</v>
      </c>
      <c r="B808" cm="1">
        <f t="array" ref="B808" xml:space="preserve"> mc(100, 0, 4, 1, 2, "x^2+y^2")-92/3</f>
        <v>0.41322975935950268</v>
      </c>
      <c r="C808" cm="1">
        <f t="array" ref="C808" xml:space="preserve"> mc(500, 0, 4, 1, 2, "x^2+y^2")-92/3</f>
        <v>-0.97419127715048148</v>
      </c>
      <c r="D808" cm="1">
        <f t="array" ref="D808" xml:space="preserve"> mc(1000, 0, 4, 1, 2, "x^2+y^2")-92/3</f>
        <v>-0.31630757889793415</v>
      </c>
      <c r="F808" cm="1">
        <f t="array" ref="F808" xml:space="preserve"> ( mc(100, 3, 4, -1, 1, "EXP(x * sin(y))") ) - 7.39981</f>
        <v>0.852340399206577</v>
      </c>
      <c r="G808" cm="1">
        <f t="array" ref="G808" xml:space="preserve"> ( mc(500, 3, 4, -1, 1, "EXP(x * sin(y))") ) - 7.39981</f>
        <v>0.78927540641470806</v>
      </c>
      <c r="H808" cm="1">
        <f t="array" ref="H808" xml:space="preserve"> ( mc(1000, 3, 4, -1, 1, "EXP(x * sin(y))") ) - 7.39981</f>
        <v>-0.40979860665877954</v>
      </c>
      <c r="J808" cm="1">
        <f t="array" ref="J808" xml:space="preserve"> mc(100, -PI()/2,0,-1, 1, "ln(EXP(x * y))")</f>
        <v>0.14828929143308636</v>
      </c>
      <c r="K808" cm="1">
        <f t="array" ref="K808" xml:space="preserve"> mc(500, -PI()/2,0,-1, 1, "ln(EXP(x * y))")</f>
        <v>0.11492886592468507</v>
      </c>
      <c r="L808" cm="1">
        <f t="array" ref="L808" xml:space="preserve"> mc(1000, -PI()/2,0,-1, 1, "ln(EXP(x * y))")</f>
        <v>-2.0600686313087244E-2</v>
      </c>
      <c r="N808" cm="1">
        <f t="array" ref="N808" xml:space="preserve"> mc(100, -PI()/2,PI()/2, 0, 1, "sin(cos(x + y))")-1.48235</f>
        <v>-1.1396954069119447E-2</v>
      </c>
      <c r="O808" cm="1">
        <f t="array" ref="O808" xml:space="preserve"> mc(500, -PI()/2,PI()/2, 0, 1, "sin(cos(x + y))")-1.48235</f>
        <v>-4.0851878594665436E-3</v>
      </c>
      <c r="P808" cm="1">
        <f t="array" ref="P808" xml:space="preserve"> mc(1000, -PI()/2,PI()/2, 0, 1, "sin(cos(x + y))")-1.48235</f>
        <v>3.0096958250632966E-2</v>
      </c>
    </row>
    <row r="809" spans="1:16" x14ac:dyDescent="0.3">
      <c r="A809">
        <v>779</v>
      </c>
      <c r="B809" cm="1">
        <f t="array" ref="B809" xml:space="preserve"> mc(100, 0, 4, 1, 2, "x^2+y^2")-92/3</f>
        <v>1.6212392715904578</v>
      </c>
      <c r="C809" cm="1">
        <f t="array" ref="C809" xml:space="preserve"> mc(500, 0, 4, 1, 2, "x^2+y^2")-92/3</f>
        <v>0.24468944231233181</v>
      </c>
      <c r="D809" cm="1">
        <f t="array" ref="D809" xml:space="preserve"> mc(1000, 0, 4, 1, 2, "x^2+y^2")-92/3</f>
        <v>-0.24112777572730337</v>
      </c>
      <c r="F809" cm="1">
        <f t="array" ref="F809" xml:space="preserve"> ( mc(100, 3, 4, -1, 1, "EXP(x * sin(y))") ) - 7.39981</f>
        <v>-1.3524090626575003E-2</v>
      </c>
      <c r="G809" cm="1">
        <f t="array" ref="G809" xml:space="preserve"> ( mc(500, 3, 4, -1, 1, "EXP(x * sin(y))") ) - 7.39981</f>
        <v>0.14597856904511985</v>
      </c>
      <c r="H809" cm="1">
        <f t="array" ref="H809" xml:space="preserve"> ( mc(1000, 3, 4, -1, 1, "EXP(x * sin(y))") ) - 7.39981</f>
        <v>-0.25684005381613595</v>
      </c>
      <c r="J809" cm="1">
        <f t="array" ref="J809" xml:space="preserve"> mc(100, -PI()/2,0,-1, 1, "ln(EXP(x * y))")</f>
        <v>-6.8510564545529824E-3</v>
      </c>
      <c r="K809" cm="1">
        <f t="array" ref="K809" xml:space="preserve"> mc(500, -PI()/2,0,-1, 1, "ln(EXP(x * y))")</f>
        <v>1.6210761183343927E-2</v>
      </c>
      <c r="L809" cm="1">
        <f t="array" ref="L809" xml:space="preserve"> mc(1000, -PI()/2,0,-1, 1, "ln(EXP(x * y))")</f>
        <v>8.5538177684611458E-2</v>
      </c>
      <c r="N809" cm="1">
        <f t="array" ref="N809" xml:space="preserve"> mc(100, -PI()/2,PI()/2, 0, 1, "sin(cos(x + y))")-1.48235</f>
        <v>-1.6880536470220697E-2</v>
      </c>
      <c r="O809" cm="1">
        <f t="array" ref="O809" xml:space="preserve"> mc(500, -PI()/2,PI()/2, 0, 1, "sin(cos(x + y))")-1.48235</f>
        <v>-2.5088588988214866E-2</v>
      </c>
      <c r="P809" cm="1">
        <f t="array" ref="P809" xml:space="preserve"> mc(1000, -PI()/2,PI()/2, 0, 1, "sin(cos(x + y))")-1.48235</f>
        <v>-3.5964625686064622E-3</v>
      </c>
    </row>
    <row r="810" spans="1:16" x14ac:dyDescent="0.3">
      <c r="A810">
        <v>780</v>
      </c>
      <c r="B810" cm="1">
        <f t="array" ref="B810" xml:space="preserve"> mc(100, 0, 4, 1, 2, "x^2+y^2")-92/3</f>
        <v>-4.4794221508884213</v>
      </c>
      <c r="C810" cm="1">
        <f t="array" ref="C810" xml:space="preserve"> mc(500, 0, 4, 1, 2, "x^2+y^2")-92/3</f>
        <v>0.69051342521570547</v>
      </c>
      <c r="D810" cm="1">
        <f t="array" ref="D810" xml:space="preserve"> mc(1000, 0, 4, 1, 2, "x^2+y^2")-92/3</f>
        <v>0.29388936618448014</v>
      </c>
      <c r="F810" cm="1">
        <f t="array" ref="F810" xml:space="preserve"> ( mc(100, 3, 4, -1, 1, "EXP(x * sin(y))") ) - 7.39981</f>
        <v>0.21974122212176983</v>
      </c>
      <c r="G810" cm="1">
        <f t="array" ref="G810" xml:space="preserve"> ( mc(500, 3, 4, -1, 1, "EXP(x * sin(y))") ) - 7.39981</f>
        <v>9.2557079913512474E-2</v>
      </c>
      <c r="H810" cm="1">
        <f t="array" ref="H810" xml:space="preserve"> ( mc(1000, 3, 4, -1, 1, "EXP(x * sin(y))") ) - 7.39981</f>
        <v>-0.20463151591807005</v>
      </c>
      <c r="J810" cm="1">
        <f t="array" ref="J810" xml:space="preserve"> mc(100, -PI()/2,0,-1, 1, "ln(EXP(x * y))")</f>
        <v>-0.15819686160842961</v>
      </c>
      <c r="K810" cm="1">
        <f t="array" ref="K810" xml:space="preserve"> mc(500, -PI()/2,0,-1, 1, "ln(EXP(x * y))")</f>
        <v>-7.9363829582741713E-2</v>
      </c>
      <c r="L810" cm="1">
        <f t="array" ref="L810" xml:space="preserve"> mc(1000, -PI()/2,0,-1, 1, "ln(EXP(x * y))")</f>
        <v>3.2332348124196136E-2</v>
      </c>
      <c r="N810" cm="1">
        <f t="array" ref="N810" xml:space="preserve"> mc(100, -PI()/2,PI()/2, 0, 1, "sin(cos(x + y))")-1.48235</f>
        <v>-0.13986052360078416</v>
      </c>
      <c r="O810" cm="1">
        <f t="array" ref="O810" xml:space="preserve"> mc(500, -PI()/2,PI()/2, 0, 1, "sin(cos(x + y))")-1.48235</f>
        <v>-2.0449837887973832E-2</v>
      </c>
      <c r="P810" cm="1">
        <f t="array" ref="P810" xml:space="preserve"> mc(1000, -PI()/2,PI()/2, 0, 1, "sin(cos(x + y))")-1.48235</f>
        <v>4.0662373837879739E-2</v>
      </c>
    </row>
    <row r="811" spans="1:16" x14ac:dyDescent="0.3">
      <c r="A811">
        <v>781</v>
      </c>
      <c r="B811" cm="1">
        <f t="array" ref="B811" xml:space="preserve"> mc(100, 0, 4, 1, 2, "x^2+y^2")-92/3</f>
        <v>1.1384695333845052</v>
      </c>
      <c r="C811" cm="1">
        <f t="array" ref="C811" xml:space="preserve"> mc(500, 0, 4, 1, 2, "x^2+y^2")-92/3</f>
        <v>-0.72246033646499797</v>
      </c>
      <c r="D811" cm="1">
        <f t="array" ref="D811" xml:space="preserve"> mc(1000, 0, 4, 1, 2, "x^2+y^2")-92/3</f>
        <v>-5.5203203941083245E-3</v>
      </c>
      <c r="F811" cm="1">
        <f t="array" ref="F811" xml:space="preserve"> ( mc(100, 3, 4, -1, 1, "EXP(x * sin(y))") ) - 7.39981</f>
        <v>6.4098324488655045E-2</v>
      </c>
      <c r="G811" cm="1">
        <f t="array" ref="G811" xml:space="preserve"> ( mc(500, 3, 4, -1, 1, "EXP(x * sin(y))") ) - 7.39981</f>
        <v>-0.2055975542359807</v>
      </c>
      <c r="H811" cm="1">
        <f t="array" ref="H811" xml:space="preserve"> ( mc(1000, 3, 4, -1, 1, "EXP(x * sin(y))") ) - 7.39981</f>
        <v>0.12970603650246737</v>
      </c>
      <c r="J811" cm="1">
        <f t="array" ref="J811" xml:space="preserve"> mc(100, -PI()/2,0,-1, 1, "ln(EXP(x * y))")</f>
        <v>6.2357534064330297E-2</v>
      </c>
      <c r="K811" cm="1">
        <f t="array" ref="K811" xml:space="preserve"> mc(500, -PI()/2,0,-1, 1, "ln(EXP(x * y))")</f>
        <v>-5.9271177668306294E-2</v>
      </c>
      <c r="L811" cm="1">
        <f t="array" ref="L811" xml:space="preserve"> mc(1000, -PI()/2,0,-1, 1, "ln(EXP(x * y))")</f>
        <v>-2.6526735048992898E-3</v>
      </c>
      <c r="N811" cm="1">
        <f t="array" ref="N811" xml:space="preserve"> mc(100, -PI()/2,PI()/2, 0, 1, "sin(cos(x + y))")-1.48235</f>
        <v>-7.1435823169438972E-3</v>
      </c>
      <c r="O811" cm="1">
        <f t="array" ref="O811" xml:space="preserve"> mc(500, -PI()/2,PI()/2, 0, 1, "sin(cos(x + y))")-1.48235</f>
        <v>9.3143781497700751E-2</v>
      </c>
      <c r="P811" cm="1">
        <f t="array" ref="P811" xml:space="preserve"> mc(1000, -PI()/2,PI()/2, 0, 1, "sin(cos(x + y))")-1.48235</f>
        <v>-1.5128417601000255E-3</v>
      </c>
    </row>
    <row r="812" spans="1:16" x14ac:dyDescent="0.3">
      <c r="A812">
        <v>782</v>
      </c>
      <c r="B812" cm="1">
        <f t="array" ref="B812" xml:space="preserve"> mc(100, 0, 4, 1, 2, "x^2+y^2")-92/3</f>
        <v>6.5904361400672684E-2</v>
      </c>
      <c r="C812" cm="1">
        <f t="array" ref="C812" xml:space="preserve"> mc(500, 0, 4, 1, 2, "x^2+y^2")-92/3</f>
        <v>-0.96112116303833872</v>
      </c>
      <c r="D812" cm="1">
        <f t="array" ref="D812" xml:space="preserve"> mc(1000, 0, 4, 1, 2, "x^2+y^2")-92/3</f>
        <v>1.1611406094410732</v>
      </c>
      <c r="F812" cm="1">
        <f t="array" ref="F812" xml:space="preserve"> ( mc(100, 3, 4, -1, 1, "EXP(x * sin(y))") ) - 7.39981</f>
        <v>-0.72684979947722894</v>
      </c>
      <c r="G812" cm="1">
        <f t="array" ref="G812" xml:space="preserve"> ( mc(500, 3, 4, -1, 1, "EXP(x * sin(y))") ) - 7.39981</f>
        <v>-3.1681311117643496E-2</v>
      </c>
      <c r="H812" cm="1">
        <f t="array" ref="H812" xml:space="preserve"> ( mc(1000, 3, 4, -1, 1, "EXP(x * sin(y))") ) - 7.39981</f>
        <v>-5.7856701282456235E-2</v>
      </c>
      <c r="J812" cm="1">
        <f t="array" ref="J812" xml:space="preserve"> mc(100, -PI()/2,0,-1, 1, "ln(EXP(x * y))")</f>
        <v>0.16543074951557529</v>
      </c>
      <c r="K812" cm="1">
        <f t="array" ref="K812" xml:space="preserve"> mc(500, -PI()/2,0,-1, 1, "ln(EXP(x * y))")</f>
        <v>3.58287710570234E-3</v>
      </c>
      <c r="L812" cm="1">
        <f t="array" ref="L812" xml:space="preserve"> mc(1000, -PI()/2,0,-1, 1, "ln(EXP(x * y))")</f>
        <v>-4.6625100175607226E-2</v>
      </c>
      <c r="N812" cm="1">
        <f t="array" ref="N812" xml:space="preserve"> mc(100, -PI()/2,PI()/2, 0, 1, "sin(cos(x + y))")-1.48235</f>
        <v>-2.0871766160932115E-2</v>
      </c>
      <c r="O812" cm="1">
        <f t="array" ref="O812" xml:space="preserve"> mc(500, -PI()/2,PI()/2, 0, 1, "sin(cos(x + y))")-1.48235</f>
        <v>6.9456213966253566E-2</v>
      </c>
      <c r="P812" cm="1">
        <f t="array" ref="P812" xml:space="preserve"> mc(1000, -PI()/2,PI()/2, 0, 1, "sin(cos(x + y))")-1.48235</f>
        <v>-1.506919285477526E-3</v>
      </c>
    </row>
    <row r="813" spans="1:16" x14ac:dyDescent="0.3">
      <c r="A813">
        <v>783</v>
      </c>
      <c r="B813" cm="1">
        <f t="array" ref="B813" xml:space="preserve"> mc(100, 0, 4, 1, 2, "x^2+y^2")-92/3</f>
        <v>0.17028570072600147</v>
      </c>
      <c r="C813" cm="1">
        <f t="array" ref="C813" xml:space="preserve"> mc(500, 0, 4, 1, 2, "x^2+y^2")-92/3</f>
        <v>-1.451067713165525</v>
      </c>
      <c r="D813" cm="1">
        <f t="array" ref="D813" xml:space="preserve"> mc(1000, 0, 4, 1, 2, "x^2+y^2")-92/3</f>
        <v>-0.65505025951782159</v>
      </c>
      <c r="F813" cm="1">
        <f t="array" ref="F813" xml:space="preserve"> ( mc(100, 3, 4, -1, 1, "EXP(x * sin(y))") ) - 7.39981</f>
        <v>0.74486964386950483</v>
      </c>
      <c r="G813" cm="1">
        <f t="array" ref="G813" xml:space="preserve"> ( mc(500, 3, 4, -1, 1, "EXP(x * sin(y))") ) - 7.39981</f>
        <v>0.11604738109008217</v>
      </c>
      <c r="H813" cm="1">
        <f t="array" ref="H813" xml:space="preserve"> ( mc(1000, 3, 4, -1, 1, "EXP(x * sin(y))") ) - 7.39981</f>
        <v>-3.8878697741488999E-2</v>
      </c>
      <c r="J813" cm="1">
        <f t="array" ref="J813" xml:space="preserve"> mc(100, -PI()/2,0,-1, 1, "ln(EXP(x * y))")</f>
        <v>-0.17429296040718539</v>
      </c>
      <c r="K813" cm="1">
        <f t="array" ref="K813" xml:space="preserve"> mc(500, -PI()/2,0,-1, 1, "ln(EXP(x * y))")</f>
        <v>-4.8767195139802155E-2</v>
      </c>
      <c r="L813" cm="1">
        <f t="array" ref="L813" xml:space="preserve"> mc(1000, -PI()/2,0,-1, 1, "ln(EXP(x * y))")</f>
        <v>-9.1246767559073818E-3</v>
      </c>
      <c r="N813" cm="1">
        <f t="array" ref="N813" xml:space="preserve"> mc(100, -PI()/2,PI()/2, 0, 1, "sin(cos(x + y))")-1.48235</f>
        <v>-0.20148570308491043</v>
      </c>
      <c r="O813" cm="1">
        <f t="array" ref="O813" xml:space="preserve"> mc(500, -PI()/2,PI()/2, 0, 1, "sin(cos(x + y))")-1.48235</f>
        <v>3.2569993568823064E-2</v>
      </c>
      <c r="P813" cm="1">
        <f t="array" ref="P813" xml:space="preserve"> mc(1000, -PI()/2,PI()/2, 0, 1, "sin(cos(x + y))")-1.48235</f>
        <v>-3.636182066264082E-2</v>
      </c>
    </row>
    <row r="814" spans="1:16" x14ac:dyDescent="0.3">
      <c r="A814">
        <v>784</v>
      </c>
      <c r="B814" cm="1">
        <f t="array" ref="B814" xml:space="preserve"> mc(100, 0, 4, 1, 2, "x^2+y^2")-92/3</f>
        <v>0.27696107743062726</v>
      </c>
      <c r="C814" cm="1">
        <f t="array" ref="C814" xml:space="preserve"> mc(500, 0, 4, 1, 2, "x^2+y^2")-92/3</f>
        <v>-0.98177459511592957</v>
      </c>
      <c r="D814" cm="1">
        <f t="array" ref="D814" xml:space="preserve"> mc(1000, 0, 4, 1, 2, "x^2+y^2")-92/3</f>
        <v>0.11553045248200178</v>
      </c>
      <c r="F814" cm="1">
        <f t="array" ref="F814" xml:space="preserve"> ( mc(100, 3, 4, -1, 1, "EXP(x * sin(y))") ) - 7.39981</f>
        <v>1.1257232388587912</v>
      </c>
      <c r="G814" cm="1">
        <f t="array" ref="G814" xml:space="preserve"> ( mc(500, 3, 4, -1, 1, "EXP(x * sin(y))") ) - 7.39981</f>
        <v>-0.22643790970118349</v>
      </c>
      <c r="H814" cm="1">
        <f t="array" ref="H814" xml:space="preserve"> ( mc(1000, 3, 4, -1, 1, "EXP(x * sin(y))") ) - 7.39981</f>
        <v>-0.31498292538704842</v>
      </c>
      <c r="J814" cm="1">
        <f t="array" ref="J814" xml:space="preserve"> mc(100, -PI()/2,0,-1, 1, "ln(EXP(x * y))")</f>
        <v>0.29644990912189745</v>
      </c>
      <c r="K814" cm="1">
        <f t="array" ref="K814" xml:space="preserve"> mc(500, -PI()/2,0,-1, 1, "ln(EXP(x * y))")</f>
        <v>7.8466410901829094E-3</v>
      </c>
      <c r="L814" cm="1">
        <f t="array" ref="L814" xml:space="preserve"> mc(1000, -PI()/2,0,-1, 1, "ln(EXP(x * y))")</f>
        <v>8.1025778222202749E-2</v>
      </c>
      <c r="N814" cm="1">
        <f t="array" ref="N814" xml:space="preserve"> mc(100, -PI()/2,PI()/2, 0, 1, "sin(cos(x + y))")-1.48235</f>
        <v>0.19903159655045877</v>
      </c>
      <c r="O814" cm="1">
        <f t="array" ref="O814" xml:space="preserve"> mc(500, -PI()/2,PI()/2, 0, 1, "sin(cos(x + y))")-1.48235</f>
        <v>-6.6371037454495463E-2</v>
      </c>
      <c r="P814" cm="1">
        <f t="array" ref="P814" xml:space="preserve"> mc(1000, -PI()/2,PI()/2, 0, 1, "sin(cos(x + y))")-1.48235</f>
        <v>7.0614702521901274E-2</v>
      </c>
    </row>
    <row r="815" spans="1:16" x14ac:dyDescent="0.3">
      <c r="A815">
        <v>785</v>
      </c>
      <c r="B815" cm="1">
        <f t="array" ref="B815" xml:space="preserve"> mc(100, 0, 4, 1, 2, "x^2+y^2")-92/3</f>
        <v>-2.7577168704942956</v>
      </c>
      <c r="C815" cm="1">
        <f t="array" ref="C815" xml:space="preserve"> mc(500, 0, 4, 1, 2, "x^2+y^2")-92/3</f>
        <v>-0.16134981026516826</v>
      </c>
      <c r="D815" cm="1">
        <f t="array" ref="D815" xml:space="preserve"> mc(1000, 0, 4, 1, 2, "x^2+y^2")-92/3</f>
        <v>-0.6250158139630031</v>
      </c>
      <c r="F815" cm="1">
        <f t="array" ref="F815" xml:space="preserve"> ( mc(100, 3, 4, -1, 1, "EXP(x * sin(y))") ) - 7.39981</f>
        <v>-1.0976761213954758</v>
      </c>
      <c r="G815" cm="1">
        <f t="array" ref="G815" xml:space="preserve"> ( mc(500, 3, 4, -1, 1, "EXP(x * sin(y))") ) - 7.39981</f>
        <v>-0.72969657022964096</v>
      </c>
      <c r="H815" cm="1">
        <f t="array" ref="H815" xml:space="preserve"> ( mc(1000, 3, 4, -1, 1, "EXP(x * sin(y))") ) - 7.39981</f>
        <v>-0.25518933028393054</v>
      </c>
      <c r="J815" cm="1">
        <f t="array" ref="J815" xml:space="preserve"> mc(100, -PI()/2,0,-1, 1, "ln(EXP(x * y))")</f>
        <v>5.9415094590329412E-2</v>
      </c>
      <c r="K815" cm="1">
        <f t="array" ref="K815" xml:space="preserve"> mc(500, -PI()/2,0,-1, 1, "ln(EXP(x * y))")</f>
        <v>-3.4669703152752258E-2</v>
      </c>
      <c r="L815" cm="1">
        <f t="array" ref="L815" xml:space="preserve"> mc(1000, -PI()/2,0,-1, 1, "ln(EXP(x * y))")</f>
        <v>0.11379262052313552</v>
      </c>
      <c r="N815" cm="1">
        <f t="array" ref="N815" xml:space="preserve"> mc(100, -PI()/2,PI()/2, 0, 1, "sin(cos(x + y))")-1.48235</f>
        <v>0.15068063226850215</v>
      </c>
      <c r="O815" cm="1">
        <f t="array" ref="O815" xml:space="preserve"> mc(500, -PI()/2,PI()/2, 0, 1, "sin(cos(x + y))")-1.48235</f>
        <v>4.9125147940132008E-2</v>
      </c>
      <c r="P815" cm="1">
        <f t="array" ref="P815" xml:space="preserve"> mc(1000, -PI()/2,PI()/2, 0, 1, "sin(cos(x + y))")-1.48235</f>
        <v>-2.0461493813066722E-2</v>
      </c>
    </row>
    <row r="816" spans="1:16" x14ac:dyDescent="0.3">
      <c r="A816">
        <v>786</v>
      </c>
      <c r="B816" cm="1">
        <f t="array" ref="B816" xml:space="preserve"> mc(100, 0, 4, 1, 2, "x^2+y^2")-92/3</f>
        <v>-0.28700201638777756</v>
      </c>
      <c r="C816" cm="1">
        <f t="array" ref="C816" xml:space="preserve"> mc(500, 0, 4, 1, 2, "x^2+y^2")-92/3</f>
        <v>-1.6499750821740129</v>
      </c>
      <c r="D816" cm="1">
        <f t="array" ref="D816" xml:space="preserve"> mc(1000, 0, 4, 1, 2, "x^2+y^2")-92/3</f>
        <v>-0.97952955661568097</v>
      </c>
      <c r="F816" cm="1">
        <f t="array" ref="F816" xml:space="preserve"> ( mc(100, 3, 4, -1, 1, "EXP(x * sin(y))") ) - 7.39981</f>
        <v>0.82631084929909449</v>
      </c>
      <c r="G816" cm="1">
        <f t="array" ref="G816" xml:space="preserve"> ( mc(500, 3, 4, -1, 1, "EXP(x * sin(y))") ) - 7.39981</f>
        <v>0.15048276402371297</v>
      </c>
      <c r="H816" cm="1">
        <f t="array" ref="H816" xml:space="preserve"> ( mc(1000, 3, 4, -1, 1, "EXP(x * sin(y))") ) - 7.39981</f>
        <v>-0.34890167044958886</v>
      </c>
      <c r="J816" cm="1">
        <f t="array" ref="J816" xml:space="preserve"> mc(100, -PI()/2,0,-1, 1, "ln(EXP(x * y))")</f>
        <v>0.11591781174415976</v>
      </c>
      <c r="K816" cm="1">
        <f t="array" ref="K816" xml:space="preserve"> mc(500, -PI()/2,0,-1, 1, "ln(EXP(x * y))")</f>
        <v>4.7611503767655125E-3</v>
      </c>
      <c r="L816" cm="1">
        <f t="array" ref="L816" xml:space="preserve"> mc(1000, -PI()/2,0,-1, 1, "ln(EXP(x * y))")</f>
        <v>3.1484011427077754E-2</v>
      </c>
      <c r="N816" cm="1">
        <f t="array" ref="N816" xml:space="preserve"> mc(100, -PI()/2,PI()/2, 0, 1, "sin(cos(x + y))")-1.48235</f>
        <v>9.7964728542443424E-2</v>
      </c>
      <c r="O816" cm="1">
        <f t="array" ref="O816" xml:space="preserve"> mc(500, -PI()/2,PI()/2, 0, 1, "sin(cos(x + y))")-1.48235</f>
        <v>-2.4386367765490302E-2</v>
      </c>
      <c r="P816" cm="1">
        <f t="array" ref="P816" xml:space="preserve"> mc(1000, -PI()/2,PI()/2, 0, 1, "sin(cos(x + y))")-1.48235</f>
        <v>-7.0737449463484925E-3</v>
      </c>
    </row>
    <row r="817" spans="1:16" x14ac:dyDescent="0.3">
      <c r="A817">
        <v>787</v>
      </c>
      <c r="B817" cm="1">
        <f t="array" ref="B817" xml:space="preserve"> mc(100, 0, 4, 1, 2, "x^2+y^2")-92/3</f>
        <v>-1.8397650108910071</v>
      </c>
      <c r="C817" cm="1">
        <f t="array" ref="C817" xml:space="preserve"> mc(500, 0, 4, 1, 2, "x^2+y^2")-92/3</f>
        <v>0.12761487179511022</v>
      </c>
      <c r="D817" cm="1">
        <f t="array" ref="D817" xml:space="preserve"> mc(1000, 0, 4, 1, 2, "x^2+y^2")-92/3</f>
        <v>0.82304693137762897</v>
      </c>
      <c r="F817" cm="1">
        <f t="array" ref="F817" xml:space="preserve"> ( mc(100, 3, 4, -1, 1, "EXP(x * sin(y))") ) - 7.39981</f>
        <v>2.1006343884615468</v>
      </c>
      <c r="G817" cm="1">
        <f t="array" ref="G817" xml:space="preserve"> ( mc(500, 3, 4, -1, 1, "EXP(x * sin(y))") ) - 7.39981</f>
        <v>0.46114642432434305</v>
      </c>
      <c r="H817" cm="1">
        <f t="array" ref="H817" xml:space="preserve"> ( mc(1000, 3, 4, -1, 1, "EXP(x * sin(y))") ) - 7.39981</f>
        <v>-0.23694676259040381</v>
      </c>
      <c r="J817" cm="1">
        <f t="array" ref="J817" xml:space="preserve"> mc(100, -PI()/2,0,-1, 1, "ln(EXP(x * y))")</f>
        <v>9.7389933266830611E-2</v>
      </c>
      <c r="K817" cm="1">
        <f t="array" ref="K817" xml:space="preserve"> mc(500, -PI()/2,0,-1, 1, "ln(EXP(x * y))")</f>
        <v>0.11850566121475611</v>
      </c>
      <c r="L817" cm="1">
        <f t="array" ref="L817" xml:space="preserve"> mc(1000, -PI()/2,0,-1, 1, "ln(EXP(x * y))")</f>
        <v>-2.0436560312165255E-2</v>
      </c>
      <c r="N817" cm="1">
        <f t="array" ref="N817" xml:space="preserve"> mc(100, -PI()/2,PI()/2, 0, 1, "sin(cos(x + y))")-1.48235</f>
        <v>0.11588240205514611</v>
      </c>
      <c r="O817" cm="1">
        <f t="array" ref="O817" xml:space="preserve"> mc(500, -PI()/2,PI()/2, 0, 1, "sin(cos(x + y))")-1.48235</f>
        <v>-8.9936584218703208E-2</v>
      </c>
      <c r="P817" cm="1">
        <f t="array" ref="P817" xml:space="preserve"> mc(1000, -PI()/2,PI()/2, 0, 1, "sin(cos(x + y))")-1.48235</f>
        <v>4.023422708544766E-2</v>
      </c>
    </row>
    <row r="818" spans="1:16" x14ac:dyDescent="0.3">
      <c r="A818">
        <v>788</v>
      </c>
      <c r="B818" cm="1">
        <f t="array" ref="B818" xml:space="preserve"> mc(100, 0, 4, 1, 2, "x^2+y^2")-92/3</f>
        <v>-0.94261506135339346</v>
      </c>
      <c r="C818" cm="1">
        <f t="array" ref="C818" xml:space="preserve"> mc(500, 0, 4, 1, 2, "x^2+y^2")-92/3</f>
        <v>0.73278588734785544</v>
      </c>
      <c r="D818" cm="1">
        <f t="array" ref="D818" xml:space="preserve"> mc(1000, 0, 4, 1, 2, "x^2+y^2")-92/3</f>
        <v>1.1257423283680552</v>
      </c>
      <c r="F818" cm="1">
        <f t="array" ref="F818" xml:space="preserve"> ( mc(100, 3, 4, -1, 1, "EXP(x * sin(y))") ) - 7.39981</f>
        <v>0.20273791324401103</v>
      </c>
      <c r="G818" cm="1">
        <f t="array" ref="G818" xml:space="preserve"> ( mc(500, 3, 4, -1, 1, "EXP(x * sin(y))") ) - 7.39981</f>
        <v>2.1056475903102445E-2</v>
      </c>
      <c r="H818" cm="1">
        <f t="array" ref="H818" xml:space="preserve"> ( mc(1000, 3, 4, -1, 1, "EXP(x * sin(y))") ) - 7.39981</f>
        <v>0.25644956074529546</v>
      </c>
      <c r="J818" cm="1">
        <f t="array" ref="J818" xml:space="preserve"> mc(100, -PI()/2,0,-1, 1, "ln(EXP(x * y))")</f>
        <v>0.1074053592276536</v>
      </c>
      <c r="K818" cm="1">
        <f t="array" ref="K818" xml:space="preserve"> mc(500, -PI()/2,0,-1, 1, "ln(EXP(x * y))")</f>
        <v>-4.5326814399267695E-2</v>
      </c>
      <c r="L818" cm="1">
        <f t="array" ref="L818" xml:space="preserve"> mc(1000, -PI()/2,0,-1, 1, "ln(EXP(x * y))")</f>
        <v>8.003338189759425E-2</v>
      </c>
      <c r="N818" cm="1">
        <f t="array" ref="N818" xml:space="preserve"> mc(100, -PI()/2,PI()/2, 0, 1, "sin(cos(x + y))")-1.48235</f>
        <v>0.22877440154249218</v>
      </c>
      <c r="O818" cm="1">
        <f t="array" ref="O818" xml:space="preserve"> mc(500, -PI()/2,PI()/2, 0, 1, "sin(cos(x + y))")-1.48235</f>
        <v>-4.1073993236569573E-2</v>
      </c>
      <c r="P818" cm="1">
        <f t="array" ref="P818" xml:space="preserve"> mc(1000, -PI()/2,PI()/2, 0, 1, "sin(cos(x + y))")-1.48235</f>
        <v>3.5511343809258022E-4</v>
      </c>
    </row>
    <row r="819" spans="1:16" x14ac:dyDescent="0.3">
      <c r="A819">
        <v>789</v>
      </c>
      <c r="B819" cm="1">
        <f t="array" ref="B819" xml:space="preserve"> mc(100, 0, 4, 1, 2, "x^2+y^2")-92/3</f>
        <v>1.9982498940298363</v>
      </c>
      <c r="C819" cm="1">
        <f t="array" ref="C819" xml:space="preserve"> mc(500, 0, 4, 1, 2, "x^2+y^2")-92/3</f>
        <v>-0.56483279406510434</v>
      </c>
      <c r="D819" cm="1">
        <f t="array" ref="D819" xml:space="preserve"> mc(1000, 0, 4, 1, 2, "x^2+y^2")-92/3</f>
        <v>-0.5478442609890557</v>
      </c>
      <c r="F819" cm="1">
        <f t="array" ref="F819" xml:space="preserve"> ( mc(100, 3, 4, -1, 1, "EXP(x * sin(y))") ) - 7.39981</f>
        <v>1.0382716533613134</v>
      </c>
      <c r="G819" cm="1">
        <f t="array" ref="G819" xml:space="preserve"> ( mc(500, 3, 4, -1, 1, "EXP(x * sin(y))") ) - 7.39981</f>
        <v>-0.41917400381102166</v>
      </c>
      <c r="H819" cm="1">
        <f t="array" ref="H819" xml:space="preserve"> ( mc(1000, 3, 4, -1, 1, "EXP(x * sin(y))") ) - 7.39981</f>
        <v>-9.1493074165812871E-2</v>
      </c>
      <c r="J819" cm="1">
        <f t="array" ref="J819" xml:space="preserve"> mc(100, -PI()/2,0,-1, 1, "ln(EXP(x * y))")</f>
        <v>-4.4589583520452197E-2</v>
      </c>
      <c r="K819" cm="1">
        <f t="array" ref="K819" xml:space="preserve"> mc(500, -PI()/2,0,-1, 1, "ln(EXP(x * y))")</f>
        <v>-6.5873103324451371E-2</v>
      </c>
      <c r="L819" cm="1">
        <f t="array" ref="L819" xml:space="preserve"> mc(1000, -PI()/2,0,-1, 1, "ln(EXP(x * y))")</f>
        <v>-2.2167467982850429E-2</v>
      </c>
      <c r="N819" cm="1">
        <f t="array" ref="N819" xml:space="preserve"> mc(100, -PI()/2,PI()/2, 0, 1, "sin(cos(x + y))")-1.48235</f>
        <v>0.21068430051178177</v>
      </c>
      <c r="O819" cm="1">
        <f t="array" ref="O819" xml:space="preserve"> mc(500, -PI()/2,PI()/2, 0, 1, "sin(cos(x + y))")-1.48235</f>
        <v>5.9434528026534705E-2</v>
      </c>
      <c r="P819" cm="1">
        <f t="array" ref="P819" xml:space="preserve"> mc(1000, -PI()/2,PI()/2, 0, 1, "sin(cos(x + y))")-1.48235</f>
        <v>-3.4223246816950326E-2</v>
      </c>
    </row>
    <row r="820" spans="1:16" x14ac:dyDescent="0.3">
      <c r="A820">
        <v>790</v>
      </c>
      <c r="B820" cm="1">
        <f t="array" ref="B820" xml:space="preserve"> mc(100, 0, 4, 1, 2, "x^2+y^2")-92/3</f>
        <v>-0.26509275485154049</v>
      </c>
      <c r="C820" cm="1">
        <f t="array" ref="C820" xml:space="preserve"> mc(500, 0, 4, 1, 2, "x^2+y^2")-92/3</f>
        <v>-0.54983136405980559</v>
      </c>
      <c r="D820" cm="1">
        <f t="array" ref="D820" xml:space="preserve"> mc(1000, 0, 4, 1, 2, "x^2+y^2")-92/3</f>
        <v>0.95073318834139187</v>
      </c>
      <c r="F820" cm="1">
        <f t="array" ref="F820" xml:space="preserve"> ( mc(100, 3, 4, -1, 1, "EXP(x * sin(y))") ) - 7.39981</f>
        <v>-2.0488604383696307</v>
      </c>
      <c r="G820" cm="1">
        <f t="array" ref="G820" xml:space="preserve"> ( mc(500, 3, 4, -1, 1, "EXP(x * sin(y))") ) - 7.39981</f>
        <v>-0.54683791174401541</v>
      </c>
      <c r="H820" cm="1">
        <f t="array" ref="H820" xml:space="preserve"> ( mc(1000, 3, 4, -1, 1, "EXP(x * sin(y))") ) - 7.39981</f>
        <v>0.46148488650567021</v>
      </c>
      <c r="J820" cm="1">
        <f t="array" ref="J820" xml:space="preserve"> mc(100, -PI()/2,0,-1, 1, "ln(EXP(x * y))")</f>
        <v>-8.9781516545744677E-2</v>
      </c>
      <c r="K820" cm="1">
        <f t="array" ref="K820" xml:space="preserve"> mc(500, -PI()/2,0,-1, 1, "ln(EXP(x * y))")</f>
        <v>2.8125913558070821E-2</v>
      </c>
      <c r="L820" cm="1">
        <f t="array" ref="L820" xml:space="preserve"> mc(1000, -PI()/2,0,-1, 1, "ln(EXP(x * y))")</f>
        <v>4.7639237378677916E-2</v>
      </c>
      <c r="N820" cm="1">
        <f t="array" ref="N820" xml:space="preserve"> mc(100, -PI()/2,PI()/2, 0, 1, "sin(cos(x + y))")-1.48235</f>
        <v>1.3949184483550425E-2</v>
      </c>
      <c r="O820" cm="1">
        <f t="array" ref="O820" xml:space="preserve"> mc(500, -PI()/2,PI()/2, 0, 1, "sin(cos(x + y))")-1.48235</f>
        <v>-5.348001822892634E-3</v>
      </c>
      <c r="P820" cm="1">
        <f t="array" ref="P820" xml:space="preserve"> mc(1000, -PI()/2,PI()/2, 0, 1, "sin(cos(x + y))")-1.48235</f>
        <v>2.6311122235567197E-4</v>
      </c>
    </row>
    <row r="821" spans="1:16" x14ac:dyDescent="0.3">
      <c r="A821">
        <v>791</v>
      </c>
      <c r="B821" cm="1">
        <f t="array" ref="B821" xml:space="preserve"> mc(100, 0, 4, 1, 2, "x^2+y^2")-92/3</f>
        <v>2.3446681666740687E-2</v>
      </c>
      <c r="C821" cm="1">
        <f t="array" ref="C821" xml:space="preserve"> mc(500, 0, 4, 1, 2, "x^2+y^2")-92/3</f>
        <v>0.61949504606250727</v>
      </c>
      <c r="D821" cm="1">
        <f t="array" ref="D821" xml:space="preserve"> mc(1000, 0, 4, 1, 2, "x^2+y^2")-92/3</f>
        <v>0.49607281108153956</v>
      </c>
      <c r="F821" cm="1">
        <f t="array" ref="F821" xml:space="preserve"> ( mc(100, 3, 4, -1, 1, "EXP(x * sin(y))") ) - 7.39981</f>
        <v>-1.8309240461106064</v>
      </c>
      <c r="G821" cm="1">
        <f t="array" ref="G821" xml:space="preserve"> ( mc(500, 3, 4, -1, 1, "EXP(x * sin(y))") ) - 7.39981</f>
        <v>0.31623995609999245</v>
      </c>
      <c r="H821" cm="1">
        <f t="array" ref="H821" xml:space="preserve"> ( mc(1000, 3, 4, -1, 1, "EXP(x * sin(y))") ) - 7.39981</f>
        <v>-0.37277755385448064</v>
      </c>
      <c r="J821" cm="1">
        <f t="array" ref="J821" xml:space="preserve"> mc(100, -PI()/2,0,-1, 1, "ln(EXP(x * y))")</f>
        <v>0.1345431910288197</v>
      </c>
      <c r="K821" cm="1">
        <f t="array" ref="K821" xml:space="preserve"> mc(500, -PI()/2,0,-1, 1, "ln(EXP(x * y))")</f>
        <v>1.9136387256236342E-2</v>
      </c>
      <c r="L821" cm="1">
        <f t="array" ref="L821" xml:space="preserve"> mc(1000, -PI()/2,0,-1, 1, "ln(EXP(x * y))")</f>
        <v>-1.3937666287254818E-2</v>
      </c>
      <c r="N821" cm="1">
        <f t="array" ref="N821" xml:space="preserve"> mc(100, -PI()/2,PI()/2, 0, 1, "sin(cos(x + y))")-1.48235</f>
        <v>0.21349376965401201</v>
      </c>
      <c r="O821" cm="1">
        <f t="array" ref="O821" xml:space="preserve"> mc(500, -PI()/2,PI()/2, 0, 1, "sin(cos(x + y))")-1.48235</f>
        <v>-4.9872888925609704E-2</v>
      </c>
      <c r="P821" cm="1">
        <f t="array" ref="P821" xml:space="preserve"> mc(1000, -PI()/2,PI()/2, 0, 1, "sin(cos(x + y))")-1.48235</f>
        <v>-5.9692106871662709E-3</v>
      </c>
    </row>
    <row r="822" spans="1:16" x14ac:dyDescent="0.3">
      <c r="A822">
        <v>792</v>
      </c>
      <c r="B822" cm="1">
        <f t="array" ref="B822" xml:space="preserve"> mc(100, 0, 4, 1, 2, "x^2+y^2")-92/3</f>
        <v>-1.6950211311295185</v>
      </c>
      <c r="C822" cm="1">
        <f t="array" ref="C822" xml:space="preserve"> mc(500, 0, 4, 1, 2, "x^2+y^2")-92/3</f>
        <v>0.27342768947844576</v>
      </c>
      <c r="D822" cm="1">
        <f t="array" ref="D822" xml:space="preserve"> mc(1000, 0, 4, 1, 2, "x^2+y^2")-92/3</f>
        <v>0.24326933024726216</v>
      </c>
      <c r="F822" cm="1">
        <f t="array" ref="F822" xml:space="preserve"> ( mc(100, 3, 4, -1, 1, "EXP(x * sin(y))") ) - 7.39981</f>
        <v>1.8285188773038001</v>
      </c>
      <c r="G822" cm="1">
        <f t="array" ref="G822" xml:space="preserve"> ( mc(500, 3, 4, -1, 1, "EXP(x * sin(y))") ) - 7.39981</f>
        <v>-0.20190572046556188</v>
      </c>
      <c r="H822" cm="1">
        <f t="array" ref="H822" xml:space="preserve"> ( mc(1000, 3, 4, -1, 1, "EXP(x * sin(y))") ) - 7.39981</f>
        <v>8.556987286433948E-2</v>
      </c>
      <c r="J822" cm="1">
        <f t="array" ref="J822" xml:space="preserve"> mc(100, -PI()/2,0,-1, 1, "ln(EXP(x * y))")</f>
        <v>0.12377369343907318</v>
      </c>
      <c r="K822" cm="1">
        <f t="array" ref="K822" xml:space="preserve"> mc(500, -PI()/2,0,-1, 1, "ln(EXP(x * y))")</f>
        <v>7.8529316595430276E-2</v>
      </c>
      <c r="L822" cm="1">
        <f t="array" ref="L822" xml:space="preserve"> mc(1000, -PI()/2,0,-1, 1, "ln(EXP(x * y))")</f>
        <v>1.8520963905931668E-2</v>
      </c>
      <c r="N822" cm="1">
        <f t="array" ref="N822" xml:space="preserve"> mc(100, -PI()/2,PI()/2, 0, 1, "sin(cos(x + y))")-1.48235</f>
        <v>-6.6354083272707198E-2</v>
      </c>
      <c r="O822" cm="1">
        <f t="array" ref="O822" xml:space="preserve"> mc(500, -PI()/2,PI()/2, 0, 1, "sin(cos(x + y))")-1.48235</f>
        <v>3.0626359072035259E-2</v>
      </c>
      <c r="P822" cm="1">
        <f t="array" ref="P822" xml:space="preserve"> mc(1000, -PI()/2,PI()/2, 0, 1, "sin(cos(x + y))")-1.48235</f>
        <v>5.9610457283674423E-2</v>
      </c>
    </row>
    <row r="823" spans="1:16" x14ac:dyDescent="0.3">
      <c r="A823">
        <v>793</v>
      </c>
      <c r="B823" cm="1">
        <f t="array" ref="B823" xml:space="preserve"> mc(100, 0, 4, 1, 2, "x^2+y^2")-92/3</f>
        <v>-2.2056686229906148</v>
      </c>
      <c r="C823" cm="1">
        <f t="array" ref="C823" xml:space="preserve"> mc(500, 0, 4, 1, 2, "x^2+y^2")-92/3</f>
        <v>0.16520372034234754</v>
      </c>
      <c r="D823" cm="1">
        <f t="array" ref="D823" xml:space="preserve"> mc(1000, 0, 4, 1, 2, "x^2+y^2")-92/3</f>
        <v>-0.56331935524348964</v>
      </c>
      <c r="F823" cm="1">
        <f t="array" ref="F823" xml:space="preserve"> ( mc(100, 3, 4, -1, 1, "EXP(x * sin(y))") ) - 7.39981</f>
        <v>0.77904834289533298</v>
      </c>
      <c r="G823" cm="1">
        <f t="array" ref="G823" xml:space="preserve"> ( mc(500, 3, 4, -1, 1, "EXP(x * sin(y))") ) - 7.39981</f>
        <v>0.31332573983938339</v>
      </c>
      <c r="H823" cm="1">
        <f t="array" ref="H823" xml:space="preserve"> ( mc(1000, 3, 4, -1, 1, "EXP(x * sin(y))") ) - 7.39981</f>
        <v>7.4021450498610974E-2</v>
      </c>
      <c r="J823" cm="1">
        <f t="array" ref="J823" xml:space="preserve"> mc(100, -PI()/2,0,-1, 1, "ln(EXP(x * y))")</f>
        <v>3.916030668453413E-2</v>
      </c>
      <c r="K823" cm="1">
        <f t="array" ref="K823" xml:space="preserve"> mc(500, -PI()/2,0,-1, 1, "ln(EXP(x * y))")</f>
        <v>0.15427133577103205</v>
      </c>
      <c r="L823" cm="1">
        <f t="array" ref="L823" xml:space="preserve"> mc(1000, -PI()/2,0,-1, 1, "ln(EXP(x * y))")</f>
        <v>8.9677440224294858E-2</v>
      </c>
      <c r="N823" cm="1">
        <f t="array" ref="N823" xml:space="preserve"> mc(100, -PI()/2,PI()/2, 0, 1, "sin(cos(x + y))")-1.48235</f>
        <v>-5.8206848081293616E-2</v>
      </c>
      <c r="O823" cm="1">
        <f t="array" ref="O823" xml:space="preserve"> mc(500, -PI()/2,PI()/2, 0, 1, "sin(cos(x + y))")-1.48235</f>
        <v>-6.8689090153682297E-2</v>
      </c>
      <c r="P823" cm="1">
        <f t="array" ref="P823" xml:space="preserve"> mc(1000, -PI()/2,PI()/2, 0, 1, "sin(cos(x + y))")-1.48235</f>
        <v>2.710331611586958E-2</v>
      </c>
    </row>
    <row r="824" spans="1:16" x14ac:dyDescent="0.3">
      <c r="A824">
        <v>794</v>
      </c>
      <c r="B824" cm="1">
        <f t="array" ref="B824" xml:space="preserve"> mc(100, 0, 4, 1, 2, "x^2+y^2")-92/3</f>
        <v>5.5212074169381644</v>
      </c>
      <c r="C824" cm="1">
        <f t="array" ref="C824" xml:space="preserve"> mc(500, 0, 4, 1, 2, "x^2+y^2")-92/3</f>
        <v>-0.86420083257243618</v>
      </c>
      <c r="D824" cm="1">
        <f t="array" ref="D824" xml:space="preserve"> mc(1000, 0, 4, 1, 2, "x^2+y^2")-92/3</f>
        <v>0.29417096301871126</v>
      </c>
      <c r="F824" cm="1">
        <f t="array" ref="F824" xml:space="preserve"> ( mc(100, 3, 4, -1, 1, "EXP(x * sin(y))") ) - 7.39981</f>
        <v>0.68212759262121381</v>
      </c>
      <c r="G824" cm="1">
        <f t="array" ref="G824" xml:space="preserve"> ( mc(500, 3, 4, -1, 1, "EXP(x * sin(y))") ) - 7.39981</f>
        <v>-1.1722904366663123E-2</v>
      </c>
      <c r="H824" cm="1">
        <f t="array" ref="H824" xml:space="preserve"> ( mc(1000, 3, 4, -1, 1, "EXP(x * sin(y))") ) - 7.39981</f>
        <v>-0.64440778854865943</v>
      </c>
      <c r="J824" cm="1">
        <f t="array" ref="J824" xml:space="preserve"> mc(100, -PI()/2,0,-1, 1, "ln(EXP(x * y))")</f>
        <v>-0.15021815788519943</v>
      </c>
      <c r="K824" cm="1">
        <f t="array" ref="K824" xml:space="preserve"> mc(500, -PI()/2,0,-1, 1, "ln(EXP(x * y))")</f>
        <v>-3.7671441473859126E-2</v>
      </c>
      <c r="L824" cm="1">
        <f t="array" ref="L824" xml:space="preserve"> mc(1000, -PI()/2,0,-1, 1, "ln(EXP(x * y))")</f>
        <v>-3.0976929538048376E-3</v>
      </c>
      <c r="N824" cm="1">
        <f t="array" ref="N824" xml:space="preserve"> mc(100, -PI()/2,PI()/2, 0, 1, "sin(cos(x + y))")-1.48235</f>
        <v>-0.12477730224132966</v>
      </c>
      <c r="O824" cm="1">
        <f t="array" ref="O824" xml:space="preserve"> mc(500, -PI()/2,PI()/2, 0, 1, "sin(cos(x + y))")-1.48235</f>
        <v>-1.1051636966163958E-3</v>
      </c>
      <c r="P824" cm="1">
        <f t="array" ref="P824" xml:space="preserve"> mc(1000, -PI()/2,PI()/2, 0, 1, "sin(cos(x + y))")-1.48235</f>
        <v>-6.6854820091037714E-2</v>
      </c>
    </row>
    <row r="825" spans="1:16" x14ac:dyDescent="0.3">
      <c r="A825">
        <v>795</v>
      </c>
      <c r="B825" cm="1">
        <f t="array" ref="B825" xml:space="preserve"> mc(100, 0, 4, 1, 2, "x^2+y^2")-92/3</f>
        <v>-3.3235793312510182</v>
      </c>
      <c r="C825" cm="1">
        <f t="array" ref="C825" xml:space="preserve"> mc(500, 0, 4, 1, 2, "x^2+y^2")-92/3</f>
        <v>1.1819701035834136</v>
      </c>
      <c r="D825" cm="1">
        <f t="array" ref="D825" xml:space="preserve"> mc(1000, 0, 4, 1, 2, "x^2+y^2")-92/3</f>
        <v>-0.23250991257004827</v>
      </c>
      <c r="F825" cm="1">
        <f t="array" ref="F825" xml:space="preserve"> ( mc(100, 3, 4, -1, 1, "EXP(x * sin(y))") ) - 7.39981</f>
        <v>-1.0217086471990617</v>
      </c>
      <c r="G825" cm="1">
        <f t="array" ref="G825" xml:space="preserve"> ( mc(500, 3, 4, -1, 1, "EXP(x * sin(y))") ) - 7.39981</f>
        <v>0.10113402646474956</v>
      </c>
      <c r="H825" cm="1">
        <f t="array" ref="H825" xml:space="preserve"> ( mc(1000, 3, 4, -1, 1, "EXP(x * sin(y))") ) - 7.39981</f>
        <v>0.45876003455750247</v>
      </c>
      <c r="J825" cm="1">
        <f t="array" ref="J825" xml:space="preserve"> mc(100, -PI()/2,0,-1, 1, "ln(EXP(x * y))")</f>
        <v>0.18450218912227886</v>
      </c>
      <c r="K825" cm="1">
        <f t="array" ref="K825" xml:space="preserve"> mc(500, -PI()/2,0,-1, 1, "ln(EXP(x * y))")</f>
        <v>-2.2783943681376679E-3</v>
      </c>
      <c r="L825" cm="1">
        <f t="array" ref="L825" xml:space="preserve"> mc(1000, -PI()/2,0,-1, 1, "ln(EXP(x * y))")</f>
        <v>8.2659058818121037E-2</v>
      </c>
      <c r="N825" cm="1">
        <f t="array" ref="N825" xml:space="preserve"> mc(100, -PI()/2,PI()/2, 0, 1, "sin(cos(x + y))")-1.48235</f>
        <v>0.15139752968033826</v>
      </c>
      <c r="O825" cm="1">
        <f t="array" ref="O825" xml:space="preserve"> mc(500, -PI()/2,PI()/2, 0, 1, "sin(cos(x + y))")-1.48235</f>
        <v>8.1032658397316881E-2</v>
      </c>
      <c r="P825" cm="1">
        <f t="array" ref="P825" xml:space="preserve"> mc(1000, -PI()/2,PI()/2, 0, 1, "sin(cos(x + y))")-1.48235</f>
        <v>4.9464483492418942E-2</v>
      </c>
    </row>
    <row r="826" spans="1:16" x14ac:dyDescent="0.3">
      <c r="A826">
        <v>796</v>
      </c>
      <c r="B826" cm="1">
        <f t="array" ref="B826" xml:space="preserve"> mc(100, 0, 4, 1, 2, "x^2+y^2")-92/3</f>
        <v>1.1684146960283819</v>
      </c>
      <c r="C826" cm="1">
        <f t="array" ref="C826" xml:space="preserve"> mc(500, 0, 4, 1, 2, "x^2+y^2")-92/3</f>
        <v>-0.70177640176167699</v>
      </c>
      <c r="D826" cm="1">
        <f t="array" ref="D826" xml:space="preserve"> mc(1000, 0, 4, 1, 2, "x^2+y^2")-92/3</f>
        <v>-0.93967915685778181</v>
      </c>
      <c r="F826" cm="1">
        <f t="array" ref="F826" xml:space="preserve"> ( mc(100, 3, 4, -1, 1, "EXP(x * sin(y))") ) - 7.39981</f>
        <v>-0.13685768318619651</v>
      </c>
      <c r="G826" cm="1">
        <f t="array" ref="G826" xml:space="preserve"> ( mc(500, 3, 4, -1, 1, "EXP(x * sin(y))") ) - 7.39981</f>
        <v>0.75968427593410581</v>
      </c>
      <c r="H826" cm="1">
        <f t="array" ref="H826" xml:space="preserve"> ( mc(1000, 3, 4, -1, 1, "EXP(x * sin(y))") ) - 7.39981</f>
        <v>0.5606483405629854</v>
      </c>
      <c r="J826" cm="1">
        <f t="array" ref="J826" xml:space="preserve"> mc(100, -PI()/2,0,-1, 1, "ln(EXP(x * y))")</f>
        <v>-0.42497368683394643</v>
      </c>
      <c r="K826" cm="1">
        <f t="array" ref="K826" xml:space="preserve"> mc(500, -PI()/2,0,-1, 1, "ln(EXP(x * y))")</f>
        <v>6.1656577370279714E-2</v>
      </c>
      <c r="L826" cm="1">
        <f t="array" ref="L826" xml:space="preserve"> mc(1000, -PI()/2,0,-1, 1, "ln(EXP(x * y))")</f>
        <v>-0.1408099214707268</v>
      </c>
      <c r="N826" cm="1">
        <f t="array" ref="N826" xml:space="preserve"> mc(100, -PI()/2,PI()/2, 0, 1, "sin(cos(x + y))")-1.48235</f>
        <v>-4.9563538320534395E-2</v>
      </c>
      <c r="O826" cm="1">
        <f t="array" ref="O826" xml:space="preserve"> mc(500, -PI()/2,PI()/2, 0, 1, "sin(cos(x + y))")-1.48235</f>
        <v>-1.7298455871538776E-2</v>
      </c>
      <c r="P826" cm="1">
        <f t="array" ref="P826" xml:space="preserve"> mc(1000, -PI()/2,PI()/2, 0, 1, "sin(cos(x + y))")-1.48235</f>
        <v>1.1147615644707232E-2</v>
      </c>
    </row>
    <row r="827" spans="1:16" x14ac:dyDescent="0.3">
      <c r="A827">
        <v>797</v>
      </c>
      <c r="B827" cm="1">
        <f t="array" ref="B827" xml:space="preserve"> mc(100, 0, 4, 1, 2, "x^2+y^2")-92/3</f>
        <v>0.60629655646597769</v>
      </c>
      <c r="C827" cm="1">
        <f t="array" ref="C827" xml:space="preserve"> mc(500, 0, 4, 1, 2, "x^2+y^2")-92/3</f>
        <v>1.4649733211956537</v>
      </c>
      <c r="D827" cm="1">
        <f t="array" ref="D827" xml:space="preserve"> mc(1000, 0, 4, 1, 2, "x^2+y^2")-92/3</f>
        <v>0.66255529106983957</v>
      </c>
      <c r="F827" cm="1">
        <f t="array" ref="F827" xml:space="preserve"> ( mc(100, 3, 4, -1, 1, "EXP(x * sin(y))") ) - 7.39981</f>
        <v>4.8989247065327923E-2</v>
      </c>
      <c r="G827" cm="1">
        <f t="array" ref="G827" xml:space="preserve"> ( mc(500, 3, 4, -1, 1, "EXP(x * sin(y))") ) - 7.39981</f>
        <v>-0.32911085136780738</v>
      </c>
      <c r="H827" cm="1">
        <f t="array" ref="H827" xml:space="preserve"> ( mc(1000, 3, 4, -1, 1, "EXP(x * sin(y))") ) - 7.39981</f>
        <v>0.57670596887640446</v>
      </c>
      <c r="J827" cm="1">
        <f t="array" ref="J827" xml:space="preserve"> mc(100, -PI()/2,0,-1, 1, "ln(EXP(x * y))")</f>
        <v>-0.24038715029299057</v>
      </c>
      <c r="K827" cm="1">
        <f t="array" ref="K827" xml:space="preserve"> mc(500, -PI()/2,0,-1, 1, "ln(EXP(x * y))")</f>
        <v>-0.11944482164271507</v>
      </c>
      <c r="L827" cm="1">
        <f t="array" ref="L827" xml:space="preserve"> mc(1000, -PI()/2,0,-1, 1, "ln(EXP(x * y))")</f>
        <v>1.54389258517187E-2</v>
      </c>
      <c r="N827" cm="1">
        <f t="array" ref="N827" xml:space="preserve"> mc(100, -PI()/2,PI()/2, 0, 1, "sin(cos(x + y))")-1.48235</f>
        <v>0.10629661122078082</v>
      </c>
      <c r="O827" cm="1">
        <f t="array" ref="O827" xml:space="preserve"> mc(500, -PI()/2,PI()/2, 0, 1, "sin(cos(x + y))")-1.48235</f>
        <v>-1.7228956063804368E-2</v>
      </c>
      <c r="P827" cm="1">
        <f t="array" ref="P827" xml:space="preserve"> mc(1000, -PI()/2,PI()/2, 0, 1, "sin(cos(x + y))")-1.48235</f>
        <v>-7.4691196433486429E-2</v>
      </c>
    </row>
    <row r="828" spans="1:16" x14ac:dyDescent="0.3">
      <c r="A828">
        <v>798</v>
      </c>
      <c r="B828" cm="1">
        <f t="array" ref="B828" xml:space="preserve"> mc(100, 0, 4, 1, 2, "x^2+y^2")-92/3</f>
        <v>2.9294000706496526</v>
      </c>
      <c r="C828" cm="1">
        <f t="array" ref="C828" xml:space="preserve"> mc(500, 0, 4, 1, 2, "x^2+y^2")-92/3</f>
        <v>0.42115877461471385</v>
      </c>
      <c r="D828" cm="1">
        <f t="array" ref="D828" xml:space="preserve"> mc(1000, 0, 4, 1, 2, "x^2+y^2")-92/3</f>
        <v>1.5619203153833787</v>
      </c>
      <c r="F828" cm="1">
        <f t="array" ref="F828" xml:space="preserve"> ( mc(100, 3, 4, -1, 1, "EXP(x * sin(y))") ) - 7.39981</f>
        <v>-2.0709341709813831</v>
      </c>
      <c r="G828" cm="1">
        <f t="array" ref="G828" xml:space="preserve"> ( mc(500, 3, 4, -1, 1, "EXP(x * sin(y))") ) - 7.39981</f>
        <v>-0.46624043266795745</v>
      </c>
      <c r="H828" cm="1">
        <f t="array" ref="H828" xml:space="preserve"> ( mc(1000, 3, 4, -1, 1, "EXP(x * sin(y))") ) - 7.39981</f>
        <v>-0.13318194685074847</v>
      </c>
      <c r="J828" cm="1">
        <f t="array" ref="J828" xml:space="preserve"> mc(100, -PI()/2,0,-1, 1, "ln(EXP(x * y))")</f>
        <v>0.32857329512992001</v>
      </c>
      <c r="K828" cm="1">
        <f t="array" ref="K828" xml:space="preserve"> mc(500, -PI()/2,0,-1, 1, "ln(EXP(x * y))")</f>
        <v>7.7281997384032478E-2</v>
      </c>
      <c r="L828" cm="1">
        <f t="array" ref="L828" xml:space="preserve"> mc(1000, -PI()/2,0,-1, 1, "ln(EXP(x * y))")</f>
        <v>-4.2595558213342717E-2</v>
      </c>
      <c r="N828" cm="1">
        <f t="array" ref="N828" xml:space="preserve"> mc(100, -PI()/2,PI()/2, 0, 1, "sin(cos(x + y))")-1.48235</f>
        <v>0.16882058492162511</v>
      </c>
      <c r="O828" cm="1">
        <f t="array" ref="O828" xml:space="preserve"> mc(500, -PI()/2,PI()/2, 0, 1, "sin(cos(x + y))")-1.48235</f>
        <v>-3.5336732320016884E-2</v>
      </c>
      <c r="P828" cm="1">
        <f t="array" ref="P828" xml:space="preserve"> mc(1000, -PI()/2,PI()/2, 0, 1, "sin(cos(x + y))")-1.48235</f>
        <v>-1.8811672979186511E-2</v>
      </c>
    </row>
    <row r="829" spans="1:16" x14ac:dyDescent="0.3">
      <c r="A829">
        <v>799</v>
      </c>
      <c r="B829" cm="1">
        <f t="array" ref="B829" xml:space="preserve"> mc(100, 0, 4, 1, 2, "x^2+y^2")-92/3</f>
        <v>-0.18823641759296095</v>
      </c>
      <c r="C829" cm="1">
        <f t="array" ref="C829" xml:space="preserve"> mc(500, 0, 4, 1, 2, "x^2+y^2")-92/3</f>
        <v>1.8903530448135903</v>
      </c>
      <c r="D829" cm="1">
        <f t="array" ref="D829" xml:space="preserve"> mc(1000, 0, 4, 1, 2, "x^2+y^2")-92/3</f>
        <v>-0.97084161856323448</v>
      </c>
      <c r="F829" cm="1">
        <f t="array" ref="F829" xml:space="preserve"> ( mc(100, 3, 4, -1, 1, "EXP(x * sin(y))") ) - 7.39981</f>
        <v>1.4497852318719104</v>
      </c>
      <c r="G829" cm="1">
        <f t="array" ref="G829" xml:space="preserve"> ( mc(500, 3, 4, -1, 1, "EXP(x * sin(y))") ) - 7.39981</f>
        <v>-0.29612054727409021</v>
      </c>
      <c r="H829" cm="1">
        <f t="array" ref="H829" xml:space="preserve"> ( mc(1000, 3, 4, -1, 1, "EXP(x * sin(y))") ) - 7.39981</f>
        <v>0.23276071285699018</v>
      </c>
      <c r="J829" cm="1">
        <f t="array" ref="J829" xml:space="preserve"> mc(100, -PI()/2,0,-1, 1, "ln(EXP(x * y))")</f>
        <v>-0.19947323972766387</v>
      </c>
      <c r="K829" cm="1">
        <f t="array" ref="K829" xml:space="preserve"> mc(500, -PI()/2,0,-1, 1, "ln(EXP(x * y))")</f>
        <v>-1.6934449424918556E-2</v>
      </c>
      <c r="L829" cm="1">
        <f t="array" ref="L829" xml:space="preserve"> mc(1000, -PI()/2,0,-1, 1, "ln(EXP(x * y))")</f>
        <v>0.11217796794832816</v>
      </c>
      <c r="N829" cm="1">
        <f t="array" ref="N829" xml:space="preserve"> mc(100, -PI()/2,PI()/2, 0, 1, "sin(cos(x + y))")-1.48235</f>
        <v>0.10720560490090825</v>
      </c>
      <c r="O829" cm="1">
        <f t="array" ref="O829" xml:space="preserve"> mc(500, -PI()/2,PI()/2, 0, 1, "sin(cos(x + y))")-1.48235</f>
        <v>-9.796770758884632E-3</v>
      </c>
      <c r="P829" cm="1">
        <f t="array" ref="P829" xml:space="preserve"> mc(1000, -PI()/2,PI()/2, 0, 1, "sin(cos(x + y))")-1.48235</f>
        <v>3.0564835548524627E-2</v>
      </c>
    </row>
    <row r="830" spans="1:16" x14ac:dyDescent="0.3">
      <c r="A830">
        <v>800</v>
      </c>
      <c r="B830" cm="1">
        <f t="array" ref="B830" xml:space="preserve"> mc(100, 0, 4, 1, 2, "x^2+y^2")-92/3</f>
        <v>-1.5789604622418381</v>
      </c>
      <c r="C830" cm="1">
        <f t="array" ref="C830" xml:space="preserve"> mc(500, 0, 4, 1, 2, "x^2+y^2")-92/3</f>
        <v>-0.12866516102019077</v>
      </c>
      <c r="D830" cm="1">
        <f t="array" ref="D830" xml:space="preserve"> mc(1000, 0, 4, 1, 2, "x^2+y^2")-92/3</f>
        <v>-0.65316190506794669</v>
      </c>
      <c r="F830" cm="1">
        <f t="array" ref="F830" xml:space="preserve"> ( mc(100, 3, 4, -1, 1, "EXP(x * sin(y))") ) - 7.39981</f>
        <v>1.4316747574846858</v>
      </c>
      <c r="G830" cm="1">
        <f t="array" ref="G830" xml:space="preserve"> ( mc(500, 3, 4, -1, 1, "EXP(x * sin(y))") ) - 7.39981</f>
        <v>-8.228848030818714E-2</v>
      </c>
      <c r="H830" cm="1">
        <f t="array" ref="H830" xml:space="preserve"> ( mc(1000, 3, 4, -1, 1, "EXP(x * sin(y))") ) - 7.39981</f>
        <v>-6.1175142060093002E-2</v>
      </c>
      <c r="J830" cm="1">
        <f t="array" ref="J830" xml:space="preserve"> mc(100, -PI()/2,0,-1, 1, "ln(EXP(x * y))")</f>
        <v>0.14193059904952504</v>
      </c>
      <c r="K830" cm="1">
        <f t="array" ref="K830" xml:space="preserve"> mc(500, -PI()/2,0,-1, 1, "ln(EXP(x * y))")</f>
        <v>8.6800781092032611E-2</v>
      </c>
      <c r="L830" cm="1">
        <f t="array" ref="L830" xml:space="preserve"> mc(1000, -PI()/2,0,-1, 1, "ln(EXP(x * y))")</f>
        <v>1.9205873656095111E-2</v>
      </c>
      <c r="N830" cm="1">
        <f t="array" ref="N830" xml:space="preserve"> mc(100, -PI()/2,PI()/2, 0, 1, "sin(cos(x + y))")-1.48235</f>
        <v>0.10954367292739375</v>
      </c>
      <c r="O830" cm="1">
        <f t="array" ref="O830" xml:space="preserve"> mc(500, -PI()/2,PI()/2, 0, 1, "sin(cos(x + y))")-1.48235</f>
        <v>8.3464383836683531E-2</v>
      </c>
      <c r="P830" cm="1">
        <f t="array" ref="P830" xml:space="preserve"> mc(1000, -PI()/2,PI()/2, 0, 1, "sin(cos(x + y))")-1.48235</f>
        <v>-9.4757060924450798E-3</v>
      </c>
    </row>
    <row r="831" spans="1:16" x14ac:dyDescent="0.3">
      <c r="A831">
        <v>801</v>
      </c>
      <c r="B831" cm="1">
        <f t="array" ref="B831" xml:space="preserve"> mc(100, 0, 4, 1, 2, "x^2+y^2")-92/3</f>
        <v>1.0790644921640009</v>
      </c>
      <c r="C831" cm="1">
        <f t="array" ref="C831" xml:space="preserve"> mc(500, 0, 4, 1, 2, "x^2+y^2")-92/3</f>
        <v>0.44726153105702338</v>
      </c>
      <c r="D831" cm="1">
        <f t="array" ref="D831" xml:space="preserve"> mc(1000, 0, 4, 1, 2, "x^2+y^2")-92/3</f>
        <v>-0.4240448024887371</v>
      </c>
      <c r="F831" cm="1">
        <f t="array" ref="F831" xml:space="preserve"> ( mc(100, 3, 4, -1, 1, "EXP(x * sin(y))") ) - 7.39981</f>
        <v>1.0826754657111852</v>
      </c>
      <c r="G831" cm="1">
        <f t="array" ref="G831" xml:space="preserve"> ( mc(500, 3, 4, -1, 1, "EXP(x * sin(y))") ) - 7.39981</f>
        <v>0.40672012374580291</v>
      </c>
      <c r="H831" cm="1">
        <f t="array" ref="H831" xml:space="preserve"> ( mc(1000, 3, 4, -1, 1, "EXP(x * sin(y))") ) - 7.39981</f>
        <v>-0.27565991656273248</v>
      </c>
      <c r="J831" cm="1">
        <f t="array" ref="J831" xml:space="preserve"> mc(100, -PI()/2,0,-1, 1, "ln(EXP(x * y))")</f>
        <v>-0.14611944476067565</v>
      </c>
      <c r="K831" cm="1">
        <f t="array" ref="K831" xml:space="preserve"> mc(500, -PI()/2,0,-1, 1, "ln(EXP(x * y))")</f>
        <v>4.1733759895631245E-2</v>
      </c>
      <c r="L831" cm="1">
        <f t="array" ref="L831" xml:space="preserve"> mc(1000, -PI()/2,0,-1, 1, "ln(EXP(x * y))")</f>
        <v>2.8993306839576436E-2</v>
      </c>
      <c r="N831" cm="1">
        <f t="array" ref="N831" xml:space="preserve"> mc(100, -PI()/2,PI()/2, 0, 1, "sin(cos(x + y))")-1.48235</f>
        <v>7.5039970218930829E-3</v>
      </c>
      <c r="O831" cm="1">
        <f t="array" ref="O831" xml:space="preserve"> mc(500, -PI()/2,PI()/2, 0, 1, "sin(cos(x + y))")-1.48235</f>
        <v>-1.437255705941598E-2</v>
      </c>
      <c r="P831" cm="1">
        <f t="array" ref="P831" xml:space="preserve"> mc(1000, -PI()/2,PI()/2, 0, 1, "sin(cos(x + y))")-1.48235</f>
        <v>7.651326880342868E-2</v>
      </c>
    </row>
    <row r="832" spans="1:16" x14ac:dyDescent="0.3">
      <c r="A832">
        <v>802</v>
      </c>
      <c r="B832" cm="1">
        <f t="array" ref="B832" xml:space="preserve"> mc(100, 0, 4, 1, 2, "x^2+y^2")-92/3</f>
        <v>-1.0464325189454016</v>
      </c>
      <c r="C832" cm="1">
        <f t="array" ref="C832" xml:space="preserve"> mc(500, 0, 4, 1, 2, "x^2+y^2")-92/3</f>
        <v>0.72981995812287437</v>
      </c>
      <c r="D832" cm="1">
        <f t="array" ref="D832" xml:space="preserve"> mc(1000, 0, 4, 1, 2, "x^2+y^2")-92/3</f>
        <v>0.78542008204568603</v>
      </c>
      <c r="F832" cm="1">
        <f t="array" ref="F832" xml:space="preserve"> ( mc(100, 3, 4, -1, 1, "EXP(x * sin(y))") ) - 7.39981</f>
        <v>-0.42143215760870056</v>
      </c>
      <c r="G832" cm="1">
        <f t="array" ref="G832" xml:space="preserve"> ( mc(500, 3, 4, -1, 1, "EXP(x * sin(y))") ) - 7.39981</f>
        <v>-0.54594229966403329</v>
      </c>
      <c r="H832" cm="1">
        <f t="array" ref="H832" xml:space="preserve"> ( mc(1000, 3, 4, -1, 1, "EXP(x * sin(y))") ) - 7.39981</f>
        <v>-0.43102260472862408</v>
      </c>
      <c r="J832" cm="1">
        <f t="array" ref="J832" xml:space="preserve"> mc(100, -PI()/2,0,-1, 1, "ln(EXP(x * y))")</f>
        <v>-9.7209068013278162E-3</v>
      </c>
      <c r="K832" cm="1">
        <f t="array" ref="K832" xml:space="preserve"> mc(500, -PI()/2,0,-1, 1, "ln(EXP(x * y))")</f>
        <v>8.0657519985099981E-3</v>
      </c>
      <c r="L832" cm="1">
        <f t="array" ref="L832" xml:space="preserve"> mc(1000, -PI()/2,0,-1, 1, "ln(EXP(x * y))")</f>
        <v>6.7302733001481929E-2</v>
      </c>
      <c r="N832" cm="1">
        <f t="array" ref="N832" xml:space="preserve"> mc(100, -PI()/2,PI()/2, 0, 1, "sin(cos(x + y))")-1.48235</f>
        <v>-5.0137091951118595E-2</v>
      </c>
      <c r="O832" cm="1">
        <f t="array" ref="O832" xml:space="preserve"> mc(500, -PI()/2,PI()/2, 0, 1, "sin(cos(x + y))")-1.48235</f>
        <v>-5.7575533937505918E-2</v>
      </c>
      <c r="P832" cm="1">
        <f t="array" ref="P832" xml:space="preserve"> mc(1000, -PI()/2,PI()/2, 0, 1, "sin(cos(x + y))")-1.48235</f>
        <v>3.0893627291313841E-2</v>
      </c>
    </row>
    <row r="833" spans="1:16" x14ac:dyDescent="0.3">
      <c r="A833">
        <v>803</v>
      </c>
      <c r="B833" cm="1">
        <f t="array" ref="B833" xml:space="preserve"> mc(100, 0, 4, 1, 2, "x^2+y^2")-92/3</f>
        <v>-3.3611090245831683</v>
      </c>
      <c r="C833" cm="1">
        <f t="array" ref="C833" xml:space="preserve"> mc(500, 0, 4, 1, 2, "x^2+y^2")-92/3</f>
        <v>-0.95953538169996477</v>
      </c>
      <c r="D833" cm="1">
        <f t="array" ref="D833" xml:space="preserve"> mc(1000, 0, 4, 1, 2, "x^2+y^2")-92/3</f>
        <v>-0.20329087544691049</v>
      </c>
      <c r="F833" cm="1">
        <f t="array" ref="F833" xml:space="preserve"> ( mc(100, 3, 4, -1, 1, "EXP(x * sin(y))") ) - 7.39981</f>
        <v>1.2455699131714795</v>
      </c>
      <c r="G833" cm="1">
        <f t="array" ref="G833" xml:space="preserve"> ( mc(500, 3, 4, -1, 1, "EXP(x * sin(y))") ) - 7.39981</f>
        <v>0.54452932285880618</v>
      </c>
      <c r="H833" cm="1">
        <f t="array" ref="H833" xml:space="preserve"> ( mc(1000, 3, 4, -1, 1, "EXP(x * sin(y))") ) - 7.39981</f>
        <v>-0.12176997214529983</v>
      </c>
      <c r="J833" cm="1">
        <f t="array" ref="J833" xml:space="preserve"> mc(100, -PI()/2,0,-1, 1, "ln(EXP(x * y))")</f>
        <v>0.32284289383443393</v>
      </c>
      <c r="K833" cm="1">
        <f t="array" ref="K833" xml:space="preserve"> mc(500, -PI()/2,0,-1, 1, "ln(EXP(x * y))")</f>
        <v>8.517972282153799E-2</v>
      </c>
      <c r="L833" cm="1">
        <f t="array" ref="L833" xml:space="preserve"> mc(1000, -PI()/2,0,-1, 1, "ln(EXP(x * y))")</f>
        <v>-4.444128403825412E-2</v>
      </c>
      <c r="N833" cm="1">
        <f t="array" ref="N833" xml:space="preserve"> mc(100, -PI()/2,PI()/2, 0, 1, "sin(cos(x + y))")-1.48235</f>
        <v>4.5604696155852054E-3</v>
      </c>
      <c r="O833" cm="1">
        <f t="array" ref="O833" xml:space="preserve"> mc(500, -PI()/2,PI()/2, 0, 1, "sin(cos(x + y))")-1.48235</f>
        <v>-7.8554465809459462E-3</v>
      </c>
      <c r="P833" cm="1">
        <f t="array" ref="P833" xml:space="preserve"> mc(1000, -PI()/2,PI()/2, 0, 1, "sin(cos(x + y))")-1.48235</f>
        <v>-4.1202875571769937E-2</v>
      </c>
    </row>
    <row r="834" spans="1:16" x14ac:dyDescent="0.3">
      <c r="A834">
        <v>804</v>
      </c>
      <c r="B834" cm="1">
        <f t="array" ref="B834" xml:space="preserve"> mc(100, 0, 4, 1, 2, "x^2+y^2")-92/3</f>
        <v>-0.51555694241986316</v>
      </c>
      <c r="C834" cm="1">
        <f t="array" ref="C834" xml:space="preserve"> mc(500, 0, 4, 1, 2, "x^2+y^2")-92/3</f>
        <v>0.51295110642123731</v>
      </c>
      <c r="D834" cm="1">
        <f t="array" ref="D834" xml:space="preserve"> mc(1000, 0, 4, 1, 2, "x^2+y^2")-92/3</f>
        <v>9.5868654549526866E-3</v>
      </c>
      <c r="F834" cm="1">
        <f t="array" ref="F834" xml:space="preserve"> ( mc(100, 3, 4, -1, 1, "EXP(x * sin(y))") ) - 7.39981</f>
        <v>0.3912362925038515</v>
      </c>
      <c r="G834" cm="1">
        <f t="array" ref="G834" xml:space="preserve"> ( mc(500, 3, 4, -1, 1, "EXP(x * sin(y))") ) - 7.39981</f>
        <v>0.10949375673543837</v>
      </c>
      <c r="H834" cm="1">
        <f t="array" ref="H834" xml:space="preserve"> ( mc(1000, 3, 4, -1, 1, "EXP(x * sin(y))") ) - 7.39981</f>
        <v>-0.31038947728239563</v>
      </c>
      <c r="J834" cm="1">
        <f t="array" ref="J834" xml:space="preserve"> mc(100, -PI()/2,0,-1, 1, "ln(EXP(x * y))")</f>
        <v>0.16818807742734615</v>
      </c>
      <c r="K834" cm="1">
        <f t="array" ref="K834" xml:space="preserve"> mc(500, -PI()/2,0,-1, 1, "ln(EXP(x * y))")</f>
        <v>9.1726372016511376E-2</v>
      </c>
      <c r="L834" cm="1">
        <f t="array" ref="L834" xml:space="preserve"> mc(1000, -PI()/2,0,-1, 1, "ln(EXP(x * y))")</f>
        <v>7.9332057756458553E-3</v>
      </c>
      <c r="N834" cm="1">
        <f t="array" ref="N834" xml:space="preserve"> mc(100, -PI()/2,PI()/2, 0, 1, "sin(cos(x + y))")-1.48235</f>
        <v>5.7285301289141888E-2</v>
      </c>
      <c r="O834" cm="1">
        <f t="array" ref="O834" xml:space="preserve"> mc(500, -PI()/2,PI()/2, 0, 1, "sin(cos(x + y))")-1.48235</f>
        <v>-4.7290117190079695E-3</v>
      </c>
      <c r="P834" cm="1">
        <f t="array" ref="P834" xml:space="preserve"> mc(1000, -PI()/2,PI()/2, 0, 1, "sin(cos(x + y))")-1.48235</f>
        <v>-0.10570190586820383</v>
      </c>
    </row>
    <row r="835" spans="1:16" x14ac:dyDescent="0.3">
      <c r="A835">
        <v>805</v>
      </c>
      <c r="B835" cm="1">
        <f t="array" ref="B835" xml:space="preserve"> mc(100, 0, 4, 1, 2, "x^2+y^2")-92/3</f>
        <v>2.7837121279815555</v>
      </c>
      <c r="C835" cm="1">
        <f t="array" ref="C835" xml:space="preserve"> mc(500, 0, 4, 1, 2, "x^2+y^2")-92/3</f>
        <v>0.41152068632822392</v>
      </c>
      <c r="D835" cm="1">
        <f t="array" ref="D835" xml:space="preserve"> mc(1000, 0, 4, 1, 2, "x^2+y^2")-92/3</f>
        <v>-0.27987482878475589</v>
      </c>
      <c r="F835" cm="1">
        <f t="array" ref="F835" xml:space="preserve"> ( mc(100, 3, 4, -1, 1, "EXP(x * sin(y))") ) - 7.39981</f>
        <v>-0.15675207330014729</v>
      </c>
      <c r="G835" cm="1">
        <f t="array" ref="G835" xml:space="preserve"> ( mc(500, 3, 4, -1, 1, "EXP(x * sin(y))") ) - 7.39981</f>
        <v>0.56311968377971677</v>
      </c>
      <c r="H835" cm="1">
        <f t="array" ref="H835" xml:space="preserve"> ( mc(1000, 3, 4, -1, 1, "EXP(x * sin(y))") ) - 7.39981</f>
        <v>0.13806777514497526</v>
      </c>
      <c r="J835" cm="1">
        <f t="array" ref="J835" xml:space="preserve"> mc(100, -PI()/2,0,-1, 1, "ln(EXP(x * y))")</f>
        <v>-9.7971318319676301E-2</v>
      </c>
      <c r="K835" cm="1">
        <f t="array" ref="K835" xml:space="preserve"> mc(500, -PI()/2,0,-1, 1, "ln(EXP(x * y))")</f>
        <v>-0.16153609696824234</v>
      </c>
      <c r="L835" cm="1">
        <f t="array" ref="L835" xml:space="preserve"> mc(1000, -PI()/2,0,-1, 1, "ln(EXP(x * y))")</f>
        <v>-8.4746470059541779E-2</v>
      </c>
      <c r="N835" cm="1">
        <f t="array" ref="N835" xml:space="preserve"> mc(100, -PI()/2,PI()/2, 0, 1, "sin(cos(x + y))")-1.48235</f>
        <v>0.1436313715273152</v>
      </c>
      <c r="O835" cm="1">
        <f t="array" ref="O835" xml:space="preserve"> mc(500, -PI()/2,PI()/2, 0, 1, "sin(cos(x + y))")-1.48235</f>
        <v>6.8810742012298753E-2</v>
      </c>
      <c r="P835" cm="1">
        <f t="array" ref="P835" xml:space="preserve"> mc(1000, -PI()/2,PI()/2, 0, 1, "sin(cos(x + y))")-1.48235</f>
        <v>5.1494483690931236E-2</v>
      </c>
    </row>
    <row r="836" spans="1:16" x14ac:dyDescent="0.3">
      <c r="A836">
        <v>806</v>
      </c>
      <c r="B836" cm="1">
        <f t="array" ref="B836" xml:space="preserve"> mc(100, 0, 4, 1, 2, "x^2+y^2")-92/3</f>
        <v>-2.9702498362133731</v>
      </c>
      <c r="C836" cm="1">
        <f t="array" ref="C836" xml:space="preserve"> mc(500, 0, 4, 1, 2, "x^2+y^2")-92/3</f>
        <v>-0.18166716661754378</v>
      </c>
      <c r="D836" cm="1">
        <f t="array" ref="D836" xml:space="preserve"> mc(1000, 0, 4, 1, 2, "x^2+y^2")-92/3</f>
        <v>0.43432987239510723</v>
      </c>
      <c r="F836" cm="1">
        <f t="array" ref="F836" xml:space="preserve"> ( mc(100, 3, 4, -1, 1, "EXP(x * sin(y))") ) - 7.39981</f>
        <v>0.47605653957140071</v>
      </c>
      <c r="G836" cm="1">
        <f t="array" ref="G836" xml:space="preserve"> ( mc(500, 3, 4, -1, 1, "EXP(x * sin(y))") ) - 7.39981</f>
        <v>4.2670668694625213E-2</v>
      </c>
      <c r="H836" cm="1">
        <f t="array" ref="H836" xml:space="preserve"> ( mc(1000, 3, 4, -1, 1, "EXP(x * sin(y))") ) - 7.39981</f>
        <v>-0.26597606455874878</v>
      </c>
      <c r="J836" cm="1">
        <f t="array" ref="J836" xml:space="preserve"> mc(100, -PI()/2,0,-1, 1, "ln(EXP(x * y))")</f>
        <v>-0.16200250809768935</v>
      </c>
      <c r="K836" cm="1">
        <f t="array" ref="K836" xml:space="preserve"> mc(500, -PI()/2,0,-1, 1, "ln(EXP(x * y))")</f>
        <v>-2.8423903298063356E-2</v>
      </c>
      <c r="L836" cm="1">
        <f t="array" ref="L836" xml:space="preserve"> mc(1000, -PI()/2,0,-1, 1, "ln(EXP(x * y))")</f>
        <v>3.7466806195615723E-2</v>
      </c>
      <c r="N836" cm="1">
        <f t="array" ref="N836" xml:space="preserve"> mc(100, -PI()/2,PI()/2, 0, 1, "sin(cos(x + y))")-1.48235</f>
        <v>0.10269950082318791</v>
      </c>
      <c r="O836" cm="1">
        <f t="array" ref="O836" xml:space="preserve"> mc(500, -PI()/2,PI()/2, 0, 1, "sin(cos(x + y))")-1.48235</f>
        <v>1.4019458456485889E-2</v>
      </c>
      <c r="P836" cm="1">
        <f t="array" ref="P836" xml:space="preserve"> mc(1000, -PI()/2,PI()/2, 0, 1, "sin(cos(x + y))")-1.48235</f>
        <v>4.752587449153145E-2</v>
      </c>
    </row>
    <row r="837" spans="1:16" x14ac:dyDescent="0.3">
      <c r="A837">
        <v>807</v>
      </c>
      <c r="B837" cm="1">
        <f t="array" ref="B837" xml:space="preserve"> mc(100, 0, 4, 1, 2, "x^2+y^2")-92/3</f>
        <v>-0.63634164441131702</v>
      </c>
      <c r="C837" cm="1">
        <f t="array" ref="C837" xml:space="preserve"> mc(500, 0, 4, 1, 2, "x^2+y^2")-92/3</f>
        <v>0.97602098259581638</v>
      </c>
      <c r="D837" cm="1">
        <f t="array" ref="D837" xml:space="preserve"> mc(1000, 0, 4, 1, 2, "x^2+y^2")-92/3</f>
        <v>0.16345817422500986</v>
      </c>
      <c r="F837" cm="1">
        <f t="array" ref="F837" xml:space="preserve"> ( mc(100, 3, 4, -1, 1, "EXP(x * sin(y))") ) - 7.39981</f>
        <v>0.15590451396826932</v>
      </c>
      <c r="G837" cm="1">
        <f t="array" ref="G837" xml:space="preserve"> ( mc(500, 3, 4, -1, 1, "EXP(x * sin(y))") ) - 7.39981</f>
        <v>-0.35285028022383091</v>
      </c>
      <c r="H837" cm="1">
        <f t="array" ref="H837" xml:space="preserve"> ( mc(1000, 3, 4, -1, 1, "EXP(x * sin(y))") ) - 7.39981</f>
        <v>-0.10347452153688863</v>
      </c>
      <c r="J837" cm="1">
        <f t="array" ref="J837" xml:space="preserve"> mc(100, -PI()/2,0,-1, 1, "ln(EXP(x * y))")</f>
        <v>-1.6748620505749014E-2</v>
      </c>
      <c r="K837" cm="1">
        <f t="array" ref="K837" xml:space="preserve"> mc(500, -PI()/2,0,-1, 1, "ln(EXP(x * y))")</f>
        <v>-6.8994923971790476E-3</v>
      </c>
      <c r="L837" cm="1">
        <f t="array" ref="L837" xml:space="preserve"> mc(1000, -PI()/2,0,-1, 1, "ln(EXP(x * y))")</f>
        <v>1.143807503384929E-2</v>
      </c>
      <c r="N837" cm="1">
        <f t="array" ref="N837" xml:space="preserve"> mc(100, -PI()/2,PI()/2, 0, 1, "sin(cos(x + y))")-1.48235</f>
        <v>0.12332305644691921</v>
      </c>
      <c r="O837" cm="1">
        <f t="array" ref="O837" xml:space="preserve"> mc(500, -PI()/2,PI()/2, 0, 1, "sin(cos(x + y))")-1.48235</f>
        <v>2.586134701268894E-2</v>
      </c>
      <c r="P837" cm="1">
        <f t="array" ref="P837" xml:space="preserve"> mc(1000, -PI()/2,PI()/2, 0, 1, "sin(cos(x + y))")-1.48235</f>
        <v>5.3053420525335016E-2</v>
      </c>
    </row>
    <row r="838" spans="1:16" x14ac:dyDescent="0.3">
      <c r="A838">
        <v>808</v>
      </c>
      <c r="B838" cm="1">
        <f t="array" ref="B838" xml:space="preserve"> mc(100, 0, 4, 1, 2, "x^2+y^2")-92/3</f>
        <v>-1.2599261339464718</v>
      </c>
      <c r="C838" cm="1">
        <f t="array" ref="C838" xml:space="preserve"> mc(500, 0, 4, 1, 2, "x^2+y^2")-92/3</f>
        <v>-0.79743160781697142</v>
      </c>
      <c r="D838" cm="1">
        <f t="array" ref="D838" xml:space="preserve"> mc(1000, 0, 4, 1, 2, "x^2+y^2")-92/3</f>
        <v>-0.12620638834778575</v>
      </c>
      <c r="F838" cm="1">
        <f t="array" ref="F838" xml:space="preserve"> ( mc(100, 3, 4, -1, 1, "EXP(x * sin(y))") ) - 7.39981</f>
        <v>1.5877747850092216</v>
      </c>
      <c r="G838" cm="1">
        <f t="array" ref="G838" xml:space="preserve"> ( mc(500, 3, 4, -1, 1, "EXP(x * sin(y))") ) - 7.39981</f>
        <v>-0.49460154696851166</v>
      </c>
      <c r="H838" cm="1">
        <f t="array" ref="H838" xml:space="preserve"> ( mc(1000, 3, 4, -1, 1, "EXP(x * sin(y))") ) - 7.39981</f>
        <v>-0.16917896539453103</v>
      </c>
      <c r="J838" cm="1">
        <f t="array" ref="J838" xml:space="preserve"> mc(100, -PI()/2,0,-1, 1, "ln(EXP(x * y))")</f>
        <v>9.639416757737539E-3</v>
      </c>
      <c r="K838" cm="1">
        <f t="array" ref="K838" xml:space="preserve"> mc(500, -PI()/2,0,-1, 1, "ln(EXP(x * y))")</f>
        <v>9.876551089540446E-2</v>
      </c>
      <c r="L838" cm="1">
        <f t="array" ref="L838" xml:space="preserve"> mc(1000, -PI()/2,0,-1, 1, "ln(EXP(x * y))")</f>
        <v>7.7485675376107496E-2</v>
      </c>
      <c r="N838" cm="1">
        <f t="array" ref="N838" xml:space="preserve"> mc(100, -PI()/2,PI()/2, 0, 1, "sin(cos(x + y))")-1.48235</f>
        <v>7.8131792038653725E-3</v>
      </c>
      <c r="O838" cm="1">
        <f t="array" ref="O838" xml:space="preserve"> mc(500, -PI()/2,PI()/2, 0, 1, "sin(cos(x + y))")-1.48235</f>
        <v>-0.1186875871551849</v>
      </c>
      <c r="P838" cm="1">
        <f t="array" ref="P838" xml:space="preserve"> mc(1000, -PI()/2,PI()/2, 0, 1, "sin(cos(x + y))")-1.48235</f>
        <v>-1.9964981154200423E-2</v>
      </c>
    </row>
    <row r="839" spans="1:16" x14ac:dyDescent="0.3">
      <c r="A839">
        <v>809</v>
      </c>
      <c r="B839" cm="1">
        <f t="array" ref="B839" xml:space="preserve"> mc(100, 0, 4, 1, 2, "x^2+y^2")-92/3</f>
        <v>5.8072159119763711E-2</v>
      </c>
      <c r="C839" cm="1">
        <f t="array" ref="C839" xml:space="preserve"> mc(500, 0, 4, 1, 2, "x^2+y^2")-92/3</f>
        <v>1.2169135906368105</v>
      </c>
      <c r="D839" cm="1">
        <f t="array" ref="D839" xml:space="preserve"> mc(1000, 0, 4, 1, 2, "x^2+y^2")-92/3</f>
        <v>-0.39302501902259124</v>
      </c>
      <c r="F839" cm="1">
        <f t="array" ref="F839" xml:space="preserve"> ( mc(100, 3, 4, -1, 1, "EXP(x * sin(y))") ) - 7.39981</f>
        <v>1.0396812403790889</v>
      </c>
      <c r="G839" cm="1">
        <f t="array" ref="G839" xml:space="preserve"> ( mc(500, 3, 4, -1, 1, "EXP(x * sin(y))") ) - 7.39981</f>
        <v>-0.73113046912057911</v>
      </c>
      <c r="H839" cm="1">
        <f t="array" ref="H839" xml:space="preserve"> ( mc(1000, 3, 4, -1, 1, "EXP(x * sin(y))") ) - 7.39981</f>
        <v>-0.36252953169457225</v>
      </c>
      <c r="J839" cm="1">
        <f t="array" ref="J839" xml:space="preserve"> mc(100, -PI()/2,0,-1, 1, "ln(EXP(x * y))")</f>
        <v>0.24739950059564919</v>
      </c>
      <c r="K839" cm="1">
        <f t="array" ref="K839" xml:space="preserve"> mc(500, -PI()/2,0,-1, 1, "ln(EXP(x * y))")</f>
        <v>0.12002898990797958</v>
      </c>
      <c r="L839" cm="1">
        <f t="array" ref="L839" xml:space="preserve"> mc(1000, -PI()/2,0,-1, 1, "ln(EXP(x * y))")</f>
        <v>-7.4300068016600274E-2</v>
      </c>
      <c r="N839" cm="1">
        <f t="array" ref="N839" xml:space="preserve"> mc(100, -PI()/2,PI()/2, 0, 1, "sin(cos(x + y))")-1.48235</f>
        <v>-9.6785077857966195E-2</v>
      </c>
      <c r="O839" cm="1">
        <f t="array" ref="O839" xml:space="preserve"> mc(500, -PI()/2,PI()/2, 0, 1, "sin(cos(x + y))")-1.48235</f>
        <v>6.1740672427001986E-2</v>
      </c>
      <c r="P839" cm="1">
        <f t="array" ref="P839" xml:space="preserve"> mc(1000, -PI()/2,PI()/2, 0, 1, "sin(cos(x + y))")-1.48235</f>
        <v>-5.8355112023889877E-2</v>
      </c>
    </row>
    <row r="840" spans="1:16" x14ac:dyDescent="0.3">
      <c r="A840">
        <v>810</v>
      </c>
      <c r="B840" cm="1">
        <f t="array" ref="B840" xml:space="preserve"> mc(100, 0, 4, 1, 2, "x^2+y^2")-92/3</f>
        <v>-1.2209765253394949</v>
      </c>
      <c r="C840" cm="1">
        <f t="array" ref="C840" xml:space="preserve"> mc(500, 0, 4, 1, 2, "x^2+y^2")-92/3</f>
        <v>0.45878727784577578</v>
      </c>
      <c r="D840" cm="1">
        <f t="array" ref="D840" xml:space="preserve"> mc(1000, 0, 4, 1, 2, "x^2+y^2")-92/3</f>
        <v>0.69237650603305667</v>
      </c>
      <c r="F840" cm="1">
        <f t="array" ref="F840" xml:space="preserve"> ( mc(100, 3, 4, -1, 1, "EXP(x * sin(y))") ) - 7.39981</f>
        <v>-1.0766445015179151</v>
      </c>
      <c r="G840" cm="1">
        <f t="array" ref="G840" xml:space="preserve"> ( mc(500, 3, 4, -1, 1, "EXP(x * sin(y))") ) - 7.39981</f>
        <v>-0.18082484314237224</v>
      </c>
      <c r="H840" cm="1">
        <f t="array" ref="H840" xml:space="preserve"> ( mc(1000, 3, 4, -1, 1, "EXP(x * sin(y))") ) - 7.39981</f>
        <v>0.218972513263747</v>
      </c>
      <c r="J840" cm="1">
        <f t="array" ref="J840" xml:space="preserve"> mc(100, -PI()/2,0,-1, 1, "ln(EXP(x * y))")</f>
        <v>-0.14728068699406194</v>
      </c>
      <c r="K840" cm="1">
        <f t="array" ref="K840" xml:space="preserve"> mc(500, -PI()/2,0,-1, 1, "ln(EXP(x * y))")</f>
        <v>3.9435656956811607E-3</v>
      </c>
      <c r="L840" cm="1">
        <f t="array" ref="L840" xml:space="preserve"> mc(1000, -PI()/2,0,-1, 1, "ln(EXP(x * y))")</f>
        <v>1.7796328836020163E-2</v>
      </c>
      <c r="N840" cm="1">
        <f t="array" ref="N840" xml:space="preserve"> mc(100, -PI()/2,PI()/2, 0, 1, "sin(cos(x + y))")-1.48235</f>
        <v>0.10925654084523906</v>
      </c>
      <c r="O840" cm="1">
        <f t="array" ref="O840" xml:space="preserve"> mc(500, -PI()/2,PI()/2, 0, 1, "sin(cos(x + y))")-1.48235</f>
        <v>9.9561508735181992E-3</v>
      </c>
      <c r="P840" cm="1">
        <f t="array" ref="P840" xml:space="preserve"> mc(1000, -PI()/2,PI()/2, 0, 1, "sin(cos(x + y))")-1.48235</f>
        <v>5.7445887895948289E-2</v>
      </c>
    </row>
    <row r="841" spans="1:16" x14ac:dyDescent="0.3">
      <c r="A841">
        <v>811</v>
      </c>
      <c r="B841" cm="1">
        <f t="array" ref="B841" xml:space="preserve"> mc(100, 0, 4, 1, 2, "x^2+y^2")-92/3</f>
        <v>-0.79948738164599931</v>
      </c>
      <c r="C841" cm="1">
        <f t="array" ref="C841" xml:space="preserve"> mc(500, 0, 4, 1, 2, "x^2+y^2")-92/3</f>
        <v>0.94612946886258698</v>
      </c>
      <c r="D841" cm="1">
        <f t="array" ref="D841" xml:space="preserve"> mc(1000, 0, 4, 1, 2, "x^2+y^2")-92/3</f>
        <v>0.18801953610016398</v>
      </c>
      <c r="F841" cm="1">
        <f t="array" ref="F841" xml:space="preserve"> ( mc(100, 3, 4, -1, 1, "EXP(x * sin(y))") ) - 7.39981</f>
        <v>-0.59145567830565771</v>
      </c>
      <c r="G841" cm="1">
        <f t="array" ref="G841" xml:space="preserve"> ( mc(500, 3, 4, -1, 1, "EXP(x * sin(y))") ) - 7.39981</f>
        <v>0.15393200012258301</v>
      </c>
      <c r="H841" cm="1">
        <f t="array" ref="H841" xml:space="preserve"> ( mc(1000, 3, 4, -1, 1, "EXP(x * sin(y))") ) - 7.39981</f>
        <v>0.30470530464741774</v>
      </c>
      <c r="J841" cm="1">
        <f t="array" ref="J841" xml:space="preserve"> mc(100, -PI()/2,0,-1, 1, "ln(EXP(x * y))")</f>
        <v>4.2801966035465593E-2</v>
      </c>
      <c r="K841" cm="1">
        <f t="array" ref="K841" xml:space="preserve"> mc(500, -PI()/2,0,-1, 1, "ln(EXP(x * y))")</f>
        <v>2.9610409002790907E-2</v>
      </c>
      <c r="L841" cm="1">
        <f t="array" ref="L841" xml:space="preserve"> mc(1000, -PI()/2,0,-1, 1, "ln(EXP(x * y))")</f>
        <v>-2.2424616316105442E-2</v>
      </c>
      <c r="N841" cm="1">
        <f t="array" ref="N841" xml:space="preserve"> mc(100, -PI()/2,PI()/2, 0, 1, "sin(cos(x + y))")-1.48235</f>
        <v>0.18254678353667475</v>
      </c>
      <c r="O841" cm="1">
        <f t="array" ref="O841" xml:space="preserve"> mc(500, -PI()/2,PI()/2, 0, 1, "sin(cos(x + y))")-1.48235</f>
        <v>-0.11368906126874889</v>
      </c>
      <c r="P841" cm="1">
        <f t="array" ref="P841" xml:space="preserve"> mc(1000, -PI()/2,PI()/2, 0, 1, "sin(cos(x + y))")-1.48235</f>
        <v>4.0343998009766846E-2</v>
      </c>
    </row>
    <row r="842" spans="1:16" x14ac:dyDescent="0.3">
      <c r="A842">
        <v>812</v>
      </c>
      <c r="B842" cm="1">
        <f t="array" ref="B842" xml:space="preserve"> mc(100, 0, 4, 1, 2, "x^2+y^2")-92/3</f>
        <v>1.4926182435913908</v>
      </c>
      <c r="C842" cm="1">
        <f t="array" ref="C842" xml:space="preserve"> mc(500, 0, 4, 1, 2, "x^2+y^2")-92/3</f>
        <v>0.52085976852812621</v>
      </c>
      <c r="D842" cm="1">
        <f t="array" ref="D842" xml:space="preserve"> mc(1000, 0, 4, 1, 2, "x^2+y^2")-92/3</f>
        <v>-0.6613907757196138</v>
      </c>
      <c r="F842" cm="1">
        <f t="array" ref="F842" xml:space="preserve"> ( mc(100, 3, 4, -1, 1, "EXP(x * sin(y))") ) - 7.39981</f>
        <v>-1.8179178183417015</v>
      </c>
      <c r="G842" cm="1">
        <f t="array" ref="G842" xml:space="preserve"> ( mc(500, 3, 4, -1, 1, "EXP(x * sin(y))") ) - 7.39981</f>
        <v>-0.37143525274215694</v>
      </c>
      <c r="H842" cm="1">
        <f t="array" ref="H842" xml:space="preserve"> ( mc(1000, 3, 4, -1, 1, "EXP(x * sin(y))") ) - 7.39981</f>
        <v>-0.25516372030215617</v>
      </c>
      <c r="J842" cm="1">
        <f t="array" ref="J842" xml:space="preserve"> mc(100, -PI()/2,0,-1, 1, "ln(EXP(x * y))")</f>
        <v>-0.15884143788343519</v>
      </c>
      <c r="K842" cm="1">
        <f t="array" ref="K842" xml:space="preserve"> mc(500, -PI()/2,0,-1, 1, "ln(EXP(x * y))")</f>
        <v>2.2188651106868724E-3</v>
      </c>
      <c r="L842" cm="1">
        <f t="array" ref="L842" xml:space="preserve"> mc(1000, -PI()/2,0,-1, 1, "ln(EXP(x * y))")</f>
        <v>-9.3191039795751524E-2</v>
      </c>
      <c r="N842" cm="1">
        <f t="array" ref="N842" xml:space="preserve"> mc(100, -PI()/2,PI()/2, 0, 1, "sin(cos(x + y))")-1.48235</f>
        <v>3.6487980347276627E-2</v>
      </c>
      <c r="O842" cm="1">
        <f t="array" ref="O842" xml:space="preserve"> mc(500, -PI()/2,PI()/2, 0, 1, "sin(cos(x + y))")-1.48235</f>
        <v>-0.11268823769253045</v>
      </c>
      <c r="P842" cm="1">
        <f t="array" ref="P842" xml:space="preserve"> mc(1000, -PI()/2,PI()/2, 0, 1, "sin(cos(x + y))")-1.48235</f>
        <v>0.11339602206811206</v>
      </c>
    </row>
    <row r="843" spans="1:16" x14ac:dyDescent="0.3">
      <c r="A843">
        <v>813</v>
      </c>
      <c r="B843" cm="1">
        <f t="array" ref="B843" xml:space="preserve"> mc(100, 0, 4, 1, 2, "x^2+y^2")-92/3</f>
        <v>2.7912232779764174</v>
      </c>
      <c r="C843" cm="1">
        <f t="array" ref="C843" xml:space="preserve"> mc(500, 0, 4, 1, 2, "x^2+y^2")-92/3</f>
        <v>0.15541640748785213</v>
      </c>
      <c r="D843" cm="1">
        <f t="array" ref="D843" xml:space="preserve"> mc(1000, 0, 4, 1, 2, "x^2+y^2")-92/3</f>
        <v>-0.42127971083532856</v>
      </c>
      <c r="F843" cm="1">
        <f t="array" ref="F843" xml:space="preserve"> ( mc(100, 3, 4, -1, 1, "EXP(x * sin(y))") ) - 7.39981</f>
        <v>-1.1380220980219864</v>
      </c>
      <c r="G843" cm="1">
        <f t="array" ref="G843" xml:space="preserve"> ( mc(500, 3, 4, -1, 1, "EXP(x * sin(y))") ) - 7.39981</f>
        <v>0.25583193990564101</v>
      </c>
      <c r="H843" cm="1">
        <f t="array" ref="H843" xml:space="preserve"> ( mc(1000, 3, 4, -1, 1, "EXP(x * sin(y))") ) - 7.39981</f>
        <v>-0.42828443696923824</v>
      </c>
      <c r="J843" cm="1">
        <f t="array" ref="J843" xml:space="preserve"> mc(100, -PI()/2,0,-1, 1, "ln(EXP(x * y))")</f>
        <v>-0.15070501380721141</v>
      </c>
      <c r="K843" cm="1">
        <f t="array" ref="K843" xml:space="preserve"> mc(500, -PI()/2,0,-1, 1, "ln(EXP(x * y))")</f>
        <v>6.1289817715991735E-2</v>
      </c>
      <c r="L843" cm="1">
        <f t="array" ref="L843" xml:space="preserve"> mc(1000, -PI()/2,0,-1, 1, "ln(EXP(x * y))")</f>
        <v>-7.7703603181180456E-2</v>
      </c>
      <c r="N843" cm="1">
        <f t="array" ref="N843" xml:space="preserve"> mc(100, -PI()/2,PI()/2, 0, 1, "sin(cos(x + y))")-1.48235</f>
        <v>6.1605834019943906E-2</v>
      </c>
      <c r="O843" cm="1">
        <f t="array" ref="O843" xml:space="preserve"> mc(500, -PI()/2,PI()/2, 0, 1, "sin(cos(x + y))")-1.48235</f>
        <v>-4.7600660563331232E-2</v>
      </c>
      <c r="P843" cm="1">
        <f t="array" ref="P843" xml:space="preserve"> mc(1000, -PI()/2,PI()/2, 0, 1, "sin(cos(x + y))")-1.48235</f>
        <v>5.7876552857603736E-2</v>
      </c>
    </row>
    <row r="844" spans="1:16" x14ac:dyDescent="0.3">
      <c r="A844">
        <v>814</v>
      </c>
      <c r="B844" cm="1">
        <f t="array" ref="B844" xml:space="preserve"> mc(100, 0, 4, 1, 2, "x^2+y^2")-92/3</f>
        <v>0.30342285733420127</v>
      </c>
      <c r="C844" cm="1">
        <f t="array" ref="C844" xml:space="preserve"> mc(500, 0, 4, 1, 2, "x^2+y^2")-92/3</f>
        <v>0.62211372578071789</v>
      </c>
      <c r="D844" cm="1">
        <f t="array" ref="D844" xml:space="preserve"> mc(1000, 0, 4, 1, 2, "x^2+y^2")-92/3</f>
        <v>-0.18711506377280074</v>
      </c>
      <c r="F844" cm="1">
        <f t="array" ref="F844" xml:space="preserve"> ( mc(100, 3, 4, -1, 1, "EXP(x * sin(y))") ) - 7.39981</f>
        <v>-1.1617686064717354</v>
      </c>
      <c r="G844" cm="1">
        <f t="array" ref="G844" xml:space="preserve"> ( mc(500, 3, 4, -1, 1, "EXP(x * sin(y))") ) - 7.39981</f>
        <v>-8.5466425033402516E-2</v>
      </c>
      <c r="H844" cm="1">
        <f t="array" ref="H844" xml:space="preserve"> ( mc(1000, 3, 4, -1, 1, "EXP(x * sin(y))") ) - 7.39981</f>
        <v>-0.13534900980854125</v>
      </c>
      <c r="J844" cm="1">
        <f t="array" ref="J844" xml:space="preserve"> mc(100, -PI()/2,0,-1, 1, "ln(EXP(x * y))")</f>
        <v>0.10070806407238621</v>
      </c>
      <c r="K844" cm="1">
        <f t="array" ref="K844" xml:space="preserve"> mc(500, -PI()/2,0,-1, 1, "ln(EXP(x * y))")</f>
        <v>-4.4076333545413314E-2</v>
      </c>
      <c r="L844" cm="1">
        <f t="array" ref="L844" xml:space="preserve"> mc(1000, -PI()/2,0,-1, 1, "ln(EXP(x * y))")</f>
        <v>0.13323296857029621</v>
      </c>
      <c r="N844" cm="1">
        <f t="array" ref="N844" xml:space="preserve"> mc(100, -PI()/2,PI()/2, 0, 1, "sin(cos(x + y))")-1.48235</f>
        <v>-0.18504533308812143</v>
      </c>
      <c r="O844" cm="1">
        <f t="array" ref="O844" xml:space="preserve"> mc(500, -PI()/2,PI()/2, 0, 1, "sin(cos(x + y))")-1.48235</f>
        <v>7.385444174300515E-2</v>
      </c>
      <c r="P844" cm="1">
        <f t="array" ref="P844" xml:space="preserve"> mc(1000, -PI()/2,PI()/2, 0, 1, "sin(cos(x + y))")-1.48235</f>
        <v>1.6449258711501713E-2</v>
      </c>
    </row>
    <row r="845" spans="1:16" x14ac:dyDescent="0.3">
      <c r="A845">
        <v>815</v>
      </c>
      <c r="B845" cm="1">
        <f t="array" ref="B845" xml:space="preserve"> mc(100, 0, 4, 1, 2, "x^2+y^2")-92/3</f>
        <v>0.69403927716546931</v>
      </c>
      <c r="C845" cm="1">
        <f t="array" ref="C845" xml:space="preserve"> mc(500, 0, 4, 1, 2, "x^2+y^2")-92/3</f>
        <v>0.21461726280469762</v>
      </c>
      <c r="D845" cm="1">
        <f t="array" ref="D845" xml:space="preserve"> mc(1000, 0, 4, 1, 2, "x^2+y^2")-92/3</f>
        <v>-0.50512213957520302</v>
      </c>
      <c r="F845" cm="1">
        <f t="array" ref="F845" xml:space="preserve"> ( mc(100, 3, 4, -1, 1, "EXP(x * sin(y))") ) - 7.39981</f>
        <v>-0.93019456808103484</v>
      </c>
      <c r="G845" cm="1">
        <f t="array" ref="G845" xml:space="preserve"> ( mc(500, 3, 4, -1, 1, "EXP(x * sin(y))") ) - 7.39981</f>
        <v>0.67487927794355329</v>
      </c>
      <c r="H845" cm="1">
        <f t="array" ref="H845" xml:space="preserve"> ( mc(1000, 3, 4, -1, 1, "EXP(x * sin(y))") ) - 7.39981</f>
        <v>0.35459221205810021</v>
      </c>
      <c r="J845" cm="1">
        <f t="array" ref="J845" xml:space="preserve"> mc(100, -PI()/2,0,-1, 1, "ln(EXP(x * y))")</f>
        <v>0.18232938914811797</v>
      </c>
      <c r="K845" cm="1">
        <f t="array" ref="K845" xml:space="preserve"> mc(500, -PI()/2,0,-1, 1, "ln(EXP(x * y))")</f>
        <v>7.2045144494667424E-2</v>
      </c>
      <c r="L845" cm="1">
        <f t="array" ref="L845" xml:space="preserve"> mc(1000, -PI()/2,0,-1, 1, "ln(EXP(x * y))")</f>
        <v>5.2136311497796529E-3</v>
      </c>
      <c r="N845" cm="1">
        <f t="array" ref="N845" xml:space="preserve"> mc(100, -PI()/2,PI()/2, 0, 1, "sin(cos(x + y))")-1.48235</f>
        <v>1.0346956016397124E-2</v>
      </c>
      <c r="O845" cm="1">
        <f t="array" ref="O845" xml:space="preserve"> mc(500, -PI()/2,PI()/2, 0, 1, "sin(cos(x + y))")-1.48235</f>
        <v>-4.6210050023583582E-2</v>
      </c>
      <c r="P845" cm="1">
        <f t="array" ref="P845" xml:space="preserve"> mc(1000, -PI()/2,PI()/2, 0, 1, "sin(cos(x + y))")-1.48235</f>
        <v>2.4772059622965248E-2</v>
      </c>
    </row>
    <row r="846" spans="1:16" x14ac:dyDescent="0.3">
      <c r="A846">
        <v>816</v>
      </c>
      <c r="B846" cm="1">
        <f t="array" ref="B846" xml:space="preserve"> mc(100, 0, 4, 1, 2, "x^2+y^2")-92/3</f>
        <v>0.55383834848404234</v>
      </c>
      <c r="C846" cm="1">
        <f t="array" ref="C846" xml:space="preserve"> mc(500, 0, 4, 1, 2, "x^2+y^2")-92/3</f>
        <v>-4.1667491202694862E-2</v>
      </c>
      <c r="D846" cm="1">
        <f t="array" ref="D846" xml:space="preserve"> mc(1000, 0, 4, 1, 2, "x^2+y^2")-92/3</f>
        <v>-0.12608686694647631</v>
      </c>
      <c r="F846" cm="1">
        <f t="array" ref="F846" xml:space="preserve"> ( mc(100, 3, 4, -1, 1, "EXP(x * sin(y))") ) - 7.39981</f>
        <v>0.65463978524561561</v>
      </c>
      <c r="G846" cm="1">
        <f t="array" ref="G846" xml:space="preserve"> ( mc(500, 3, 4, -1, 1, "EXP(x * sin(y))") ) - 7.39981</f>
        <v>9.197625934511322E-2</v>
      </c>
      <c r="H846" cm="1">
        <f t="array" ref="H846" xml:space="preserve"> ( mc(1000, 3, 4, -1, 1, "EXP(x * sin(y))") ) - 7.39981</f>
        <v>-0.18168516303202953</v>
      </c>
      <c r="J846" cm="1">
        <f t="array" ref="J846" xml:space="preserve"> mc(100, -PI()/2,0,-1, 1, "ln(EXP(x * y))")</f>
        <v>0.13247824706951977</v>
      </c>
      <c r="K846" cm="1">
        <f t="array" ref="K846" xml:space="preserve"> mc(500, -PI()/2,0,-1, 1, "ln(EXP(x * y))")</f>
        <v>4.2018318175073198E-2</v>
      </c>
      <c r="L846" cm="1">
        <f t="array" ref="L846" xml:space="preserve"> mc(1000, -PI()/2,0,-1, 1, "ln(EXP(x * y))")</f>
        <v>5.904618101601841E-3</v>
      </c>
      <c r="N846" cm="1">
        <f t="array" ref="N846" xml:space="preserve"> mc(100, -PI()/2,PI()/2, 0, 1, "sin(cos(x + y))")-1.48235</f>
        <v>0.18455122950327829</v>
      </c>
      <c r="O846" cm="1">
        <f t="array" ref="O846" xml:space="preserve"> mc(500, -PI()/2,PI()/2, 0, 1, "sin(cos(x + y))")-1.48235</f>
        <v>9.0565984297722224E-2</v>
      </c>
      <c r="P846" cm="1">
        <f t="array" ref="P846" xml:space="preserve"> mc(1000, -PI()/2,PI()/2, 0, 1, "sin(cos(x + y))")-1.48235</f>
        <v>-5.5054772566051291E-2</v>
      </c>
    </row>
    <row r="847" spans="1:16" x14ac:dyDescent="0.3">
      <c r="A847">
        <v>817</v>
      </c>
      <c r="B847" cm="1">
        <f t="array" ref="B847" xml:space="preserve"> mc(100, 0, 4, 1, 2, "x^2+y^2")-92/3</f>
        <v>0.38367874550244352</v>
      </c>
      <c r="C847" cm="1">
        <f t="array" ref="C847" xml:space="preserve"> mc(500, 0, 4, 1, 2, "x^2+y^2")-92/3</f>
        <v>-2.6726154773371036E-4</v>
      </c>
      <c r="D847" cm="1">
        <f t="array" ref="D847" xml:space="preserve"> mc(1000, 0, 4, 1, 2, "x^2+y^2")-92/3</f>
        <v>-0.18887101747630197</v>
      </c>
      <c r="F847" cm="1">
        <f t="array" ref="F847" xml:space="preserve"> ( mc(100, 3, 4, -1, 1, "EXP(x * sin(y))") ) - 7.39981</f>
        <v>-0.88562336362881044</v>
      </c>
      <c r="G847" cm="1">
        <f t="array" ref="G847" xml:space="preserve"> ( mc(500, 3, 4, -1, 1, "EXP(x * sin(y))") ) - 7.39981</f>
        <v>-0.64975904600377188</v>
      </c>
      <c r="H847" cm="1">
        <f t="array" ref="H847" xml:space="preserve"> ( mc(1000, 3, 4, -1, 1, "EXP(x * sin(y))") ) - 7.39981</f>
        <v>-4.441990200003243E-2</v>
      </c>
      <c r="J847" cm="1">
        <f t="array" ref="J847" xml:space="preserve"> mc(100, -PI()/2,0,-1, 1, "ln(EXP(x * y))")</f>
        <v>7.619893899294467E-3</v>
      </c>
      <c r="K847" cm="1">
        <f t="array" ref="K847" xml:space="preserve"> mc(500, -PI()/2,0,-1, 1, "ln(EXP(x * y))")</f>
        <v>-0.1489343584241751</v>
      </c>
      <c r="L847" cm="1">
        <f t="array" ref="L847" xml:space="preserve"> mc(1000, -PI()/2,0,-1, 1, "ln(EXP(x * y))")</f>
        <v>0.17233453852402097</v>
      </c>
      <c r="N847" cm="1">
        <f t="array" ref="N847" xml:space="preserve"> mc(100, -PI()/2,PI()/2, 0, 1, "sin(cos(x + y))")-1.48235</f>
        <v>0.12537863712467967</v>
      </c>
      <c r="O847" cm="1">
        <f t="array" ref="O847" xml:space="preserve"> mc(500, -PI()/2,PI()/2, 0, 1, "sin(cos(x + y))")-1.48235</f>
        <v>-1.5458699030948431E-2</v>
      </c>
      <c r="P847" cm="1">
        <f t="array" ref="P847" xml:space="preserve"> mc(1000, -PI()/2,PI()/2, 0, 1, "sin(cos(x + y))")-1.48235</f>
        <v>-3.1984559106150501E-2</v>
      </c>
    </row>
    <row r="848" spans="1:16" x14ac:dyDescent="0.3">
      <c r="A848">
        <v>818</v>
      </c>
      <c r="B848" cm="1">
        <f t="array" ref="B848" xml:space="preserve"> mc(100, 0, 4, 1, 2, "x^2+y^2")-92/3</f>
        <v>-3.9466263818657197</v>
      </c>
      <c r="C848" cm="1">
        <f t="array" ref="C848" xml:space="preserve"> mc(500, 0, 4, 1, 2, "x^2+y^2")-92/3</f>
        <v>-0.88718071319150837</v>
      </c>
      <c r="D848" cm="1">
        <f t="array" ref="D848" xml:space="preserve"> mc(1000, 0, 4, 1, 2, "x^2+y^2")-92/3</f>
        <v>0.61891153325976234</v>
      </c>
      <c r="F848" cm="1">
        <f t="array" ref="F848" xml:space="preserve"> ( mc(100, 3, 4, -1, 1, "EXP(x * sin(y))") ) - 7.39981</f>
        <v>0.51228425709079239</v>
      </c>
      <c r="G848" cm="1">
        <f t="array" ref="G848" xml:space="preserve"> ( mc(500, 3, 4, -1, 1, "EXP(x * sin(y))") ) - 7.39981</f>
        <v>6.9378812499921949E-2</v>
      </c>
      <c r="H848" cm="1">
        <f t="array" ref="H848" xml:space="preserve"> ( mc(1000, 3, 4, -1, 1, "EXP(x * sin(y))") ) - 7.39981</f>
        <v>-0.20522190349943958</v>
      </c>
      <c r="J848" cm="1">
        <f t="array" ref="J848" xml:space="preserve"> mc(100, -PI()/2,0,-1, 1, "ln(EXP(x * y))")</f>
        <v>-0.11261117013567949</v>
      </c>
      <c r="K848" cm="1">
        <f t="array" ref="K848" xml:space="preserve"> mc(500, -PI()/2,0,-1, 1, "ln(EXP(x * y))")</f>
        <v>2.6838779870291537E-2</v>
      </c>
      <c r="L848" cm="1">
        <f t="array" ref="L848" xml:space="preserve"> mc(1000, -PI()/2,0,-1, 1, "ln(EXP(x * y))")</f>
        <v>-9.9709639875415995E-4</v>
      </c>
      <c r="N848" cm="1">
        <f t="array" ref="N848" xml:space="preserve"> mc(100, -PI()/2,PI()/2, 0, 1, "sin(cos(x + y))")-1.48235</f>
        <v>-0.20130762617164577</v>
      </c>
      <c r="O848" cm="1">
        <f t="array" ref="O848" xml:space="preserve"> mc(500, -PI()/2,PI()/2, 0, 1, "sin(cos(x + y))")-1.48235</f>
        <v>7.2728420455674847E-2</v>
      </c>
      <c r="P848" cm="1">
        <f t="array" ref="P848" xml:space="preserve"> mc(1000, -PI()/2,PI()/2, 0, 1, "sin(cos(x + y))")-1.48235</f>
        <v>-2.56428696740989E-2</v>
      </c>
    </row>
    <row r="849" spans="1:16" x14ac:dyDescent="0.3">
      <c r="A849">
        <v>819</v>
      </c>
      <c r="B849" cm="1">
        <f t="array" ref="B849" xml:space="preserve"> mc(100, 0, 4, 1, 2, "x^2+y^2")-92/3</f>
        <v>2.8897956243250427</v>
      </c>
      <c r="C849" cm="1">
        <f t="array" ref="C849" xml:space="preserve"> mc(500, 0, 4, 1, 2, "x^2+y^2")-92/3</f>
        <v>1.6982746228387349</v>
      </c>
      <c r="D849" cm="1">
        <f t="array" ref="D849" xml:space="preserve"> mc(1000, 0, 4, 1, 2, "x^2+y^2")-92/3</f>
        <v>0.60931654925418144</v>
      </c>
      <c r="F849" cm="1">
        <f t="array" ref="F849" xml:space="preserve"> ( mc(100, 3, 4, -1, 1, "EXP(x * sin(y))") ) - 7.39981</f>
        <v>-0.39733214227403302</v>
      </c>
      <c r="G849" cm="1">
        <f t="array" ref="G849" xml:space="preserve"> ( mc(500, 3, 4, -1, 1, "EXP(x * sin(y))") ) - 7.39981</f>
        <v>0.48934580440374997</v>
      </c>
      <c r="H849" cm="1">
        <f t="array" ref="H849" xml:space="preserve"> ( mc(1000, 3, 4, -1, 1, "EXP(x * sin(y))") ) - 7.39981</f>
        <v>1.2224460924865692</v>
      </c>
      <c r="J849" cm="1">
        <f t="array" ref="J849" xml:space="preserve"> mc(100, -PI()/2,0,-1, 1, "ln(EXP(x * y))")</f>
        <v>-0.10262406237866771</v>
      </c>
      <c r="K849" cm="1">
        <f t="array" ref="K849" xml:space="preserve"> mc(500, -PI()/2,0,-1, 1, "ln(EXP(x * y))")</f>
        <v>-0.10882702937099775</v>
      </c>
      <c r="L849" cm="1">
        <f t="array" ref="L849" xml:space="preserve"> mc(1000, -PI()/2,0,-1, 1, "ln(EXP(x * y))")</f>
        <v>8.4918746017945843E-2</v>
      </c>
      <c r="N849" cm="1">
        <f t="array" ref="N849" xml:space="preserve"> mc(100, -PI()/2,PI()/2, 0, 1, "sin(cos(x + y))")-1.48235</f>
        <v>-6.2281780488563143E-2</v>
      </c>
      <c r="O849" cm="1">
        <f t="array" ref="O849" xml:space="preserve"> mc(500, -PI()/2,PI()/2, 0, 1, "sin(cos(x + y))")-1.48235</f>
        <v>-9.9756648717463925E-3</v>
      </c>
      <c r="P849" cm="1">
        <f t="array" ref="P849" xml:space="preserve"> mc(1000, -PI()/2,PI()/2, 0, 1, "sin(cos(x + y))")-1.48235</f>
        <v>-7.9045487310611895E-2</v>
      </c>
    </row>
    <row r="850" spans="1:16" x14ac:dyDescent="0.3">
      <c r="A850">
        <v>820</v>
      </c>
      <c r="B850" cm="1">
        <f t="array" ref="B850" xml:space="preserve"> mc(100, 0, 4, 1, 2, "x^2+y^2")-92/3</f>
        <v>-1.1576369244118609</v>
      </c>
      <c r="C850" cm="1">
        <f t="array" ref="C850" xml:space="preserve"> mc(500, 0, 4, 1, 2, "x^2+y^2")-92/3</f>
        <v>1.4633848428191492</v>
      </c>
      <c r="D850" cm="1">
        <f t="array" ref="D850" xml:space="preserve"> mc(1000, 0, 4, 1, 2, "x^2+y^2")-92/3</f>
        <v>-0.27522128032418891</v>
      </c>
      <c r="F850" cm="1">
        <f t="array" ref="F850" xml:space="preserve"> ( mc(100, 3, 4, -1, 1, "EXP(x * sin(y))") ) - 7.39981</f>
        <v>-0.5705247065532264</v>
      </c>
      <c r="G850" cm="1">
        <f t="array" ref="G850" xml:space="preserve"> ( mc(500, 3, 4, -1, 1, "EXP(x * sin(y))") ) - 7.39981</f>
        <v>-4.0752351741044635E-2</v>
      </c>
      <c r="H850" cm="1">
        <f t="array" ref="H850" xml:space="preserve"> ( mc(1000, 3, 4, -1, 1, "EXP(x * sin(y))") ) - 7.39981</f>
        <v>7.2606318830243488E-2</v>
      </c>
      <c r="J850" cm="1">
        <f t="array" ref="J850" xml:space="preserve"> mc(100, -PI()/2,0,-1, 1, "ln(EXP(x * y))")</f>
        <v>1.7905362987175783E-2</v>
      </c>
      <c r="K850" cm="1">
        <f t="array" ref="K850" xml:space="preserve"> mc(500, -PI()/2,0,-1, 1, "ln(EXP(x * y))")</f>
        <v>0.12773760057935107</v>
      </c>
      <c r="L850" cm="1">
        <f t="array" ref="L850" xml:space="preserve"> mc(1000, -PI()/2,0,-1, 1, "ln(EXP(x * y))")</f>
        <v>-4.5818185182270425E-2</v>
      </c>
      <c r="N850" cm="1">
        <f t="array" ref="N850" xml:space="preserve"> mc(100, -PI()/2,PI()/2, 0, 1, "sin(cos(x + y))")-1.48235</f>
        <v>-9.2906053898368146E-2</v>
      </c>
      <c r="O850" cm="1">
        <f t="array" ref="O850" xml:space="preserve"> mc(500, -PI()/2,PI()/2, 0, 1, "sin(cos(x + y))")-1.48235</f>
        <v>1.5731018612362258E-2</v>
      </c>
      <c r="P850" cm="1">
        <f t="array" ref="P850" xml:space="preserve"> mc(1000, -PI()/2,PI()/2, 0, 1, "sin(cos(x + y))")-1.48235</f>
        <v>2.0185193330750639E-3</v>
      </c>
    </row>
    <row r="851" spans="1:16" x14ac:dyDescent="0.3">
      <c r="A851">
        <v>821</v>
      </c>
      <c r="B851" cm="1">
        <f t="array" ref="B851" xml:space="preserve"> mc(100, 0, 4, 1, 2, "x^2+y^2")-92/3</f>
        <v>1.0543594405351691</v>
      </c>
      <c r="C851" cm="1">
        <f t="array" ref="C851" xml:space="preserve"> mc(500, 0, 4, 1, 2, "x^2+y^2")-92/3</f>
        <v>0.33038812073042223</v>
      </c>
      <c r="D851" cm="1">
        <f t="array" ref="D851" xml:space="preserve"> mc(1000, 0, 4, 1, 2, "x^2+y^2")-92/3</f>
        <v>0.41748483011714299</v>
      </c>
      <c r="F851" cm="1">
        <f t="array" ref="F851" xml:space="preserve"> ( mc(100, 3, 4, -1, 1, "EXP(x * sin(y))") ) - 7.39981</f>
        <v>2.0696205277139832</v>
      </c>
      <c r="G851" cm="1">
        <f t="array" ref="G851" xml:space="preserve"> ( mc(500, 3, 4, -1, 1, "EXP(x * sin(y))") ) - 7.39981</f>
        <v>0.25124421125185403</v>
      </c>
      <c r="H851" cm="1">
        <f t="array" ref="H851" xml:space="preserve"> ( mc(1000, 3, 4, -1, 1, "EXP(x * sin(y))") ) - 7.39981</f>
        <v>-0.56418938571986033</v>
      </c>
      <c r="J851" cm="1">
        <f t="array" ref="J851" xml:space="preserve"> mc(100, -PI()/2,0,-1, 1, "ln(EXP(x * y))")</f>
        <v>-4.7387653155234639E-2</v>
      </c>
      <c r="K851" cm="1">
        <f t="array" ref="K851" xml:space="preserve"> mc(500, -PI()/2,0,-1, 1, "ln(EXP(x * y))")</f>
        <v>2.0057235704933833E-2</v>
      </c>
      <c r="L851" cm="1">
        <f t="array" ref="L851" xml:space="preserve"> mc(1000, -PI()/2,0,-1, 1, "ln(EXP(x * y))")</f>
        <v>-1.969950394087203E-2</v>
      </c>
      <c r="N851" cm="1">
        <f t="array" ref="N851" xml:space="preserve"> mc(100, -PI()/2,PI()/2, 0, 1, "sin(cos(x + y))")-1.48235</f>
        <v>-4.170172297732444E-2</v>
      </c>
      <c r="O851" cm="1">
        <f t="array" ref="O851" xml:space="preserve"> mc(500, -PI()/2,PI()/2, 0, 1, "sin(cos(x + y))")-1.48235</f>
        <v>-1.463586999256461E-2</v>
      </c>
      <c r="P851" cm="1">
        <f t="array" ref="P851" xml:space="preserve"> mc(1000, -PI()/2,PI()/2, 0, 1, "sin(cos(x + y))")-1.48235</f>
        <v>-1.0419991297851317E-2</v>
      </c>
    </row>
    <row r="852" spans="1:16" x14ac:dyDescent="0.3">
      <c r="A852">
        <v>822</v>
      </c>
      <c r="B852" cm="1">
        <f t="array" ref="B852" xml:space="preserve"> mc(100, 0, 4, 1, 2, "x^2+y^2")-92/3</f>
        <v>-2.0005368735862596</v>
      </c>
      <c r="C852" cm="1">
        <f t="array" ref="C852" xml:space="preserve"> mc(500, 0, 4, 1, 2, "x^2+y^2")-92/3</f>
        <v>0.37879592401506557</v>
      </c>
      <c r="D852" cm="1">
        <f t="array" ref="D852" xml:space="preserve"> mc(1000, 0, 4, 1, 2, "x^2+y^2")-92/3</f>
        <v>8.8242535664775801E-2</v>
      </c>
      <c r="F852" cm="1">
        <f t="array" ref="F852" xml:space="preserve"> ( mc(100, 3, 4, -1, 1, "EXP(x * sin(y))") ) - 7.39981</f>
        <v>0.2749653702882533</v>
      </c>
      <c r="G852" cm="1">
        <f t="array" ref="G852" xml:space="preserve"> ( mc(500, 3, 4, -1, 1, "EXP(x * sin(y))") ) - 7.39981</f>
        <v>0.12583200212799017</v>
      </c>
      <c r="H852" cm="1">
        <f t="array" ref="H852" xml:space="preserve"> ( mc(1000, 3, 4, -1, 1, "EXP(x * sin(y))") ) - 7.39981</f>
        <v>0.64517805566441133</v>
      </c>
      <c r="J852" cm="1">
        <f t="array" ref="J852" xml:space="preserve"> mc(100, -PI()/2,0,-1, 1, "ln(EXP(x * y))")</f>
        <v>1.9832259180169367E-2</v>
      </c>
      <c r="K852" cm="1">
        <f t="array" ref="K852" xml:space="preserve"> mc(500, -PI()/2,0,-1, 1, "ln(EXP(x * y))")</f>
        <v>4.2897071419921197E-2</v>
      </c>
      <c r="L852" cm="1">
        <f t="array" ref="L852" xml:space="preserve"> mc(1000, -PI()/2,0,-1, 1, "ln(EXP(x * y))")</f>
        <v>-3.6211859670836094E-2</v>
      </c>
      <c r="N852" cm="1">
        <f t="array" ref="N852" xml:space="preserve"> mc(100, -PI()/2,PI()/2, 0, 1, "sin(cos(x + y))")-1.48235</f>
        <v>8.7840566454204572E-2</v>
      </c>
      <c r="O852" cm="1">
        <f t="array" ref="O852" xml:space="preserve"> mc(500, -PI()/2,PI()/2, 0, 1, "sin(cos(x + y))")-1.48235</f>
        <v>-5.8513652767533841E-2</v>
      </c>
      <c r="P852" cm="1">
        <f t="array" ref="P852" xml:space="preserve"> mc(1000, -PI()/2,PI()/2, 0, 1, "sin(cos(x + y))")-1.48235</f>
        <v>1.468876905136085E-2</v>
      </c>
    </row>
    <row r="853" spans="1:16" x14ac:dyDescent="0.3">
      <c r="A853">
        <v>823</v>
      </c>
      <c r="B853" cm="1">
        <f t="array" ref="B853" xml:space="preserve"> mc(100, 0, 4, 1, 2, "x^2+y^2")-92/3</f>
        <v>0.30341697813386048</v>
      </c>
      <c r="C853" cm="1">
        <f t="array" ref="C853" xml:space="preserve"> mc(500, 0, 4, 1, 2, "x^2+y^2")-92/3</f>
        <v>0.34515864584152212</v>
      </c>
      <c r="D853" cm="1">
        <f t="array" ref="D853" xml:space="preserve"> mc(1000, 0, 4, 1, 2, "x^2+y^2")-92/3</f>
        <v>0.66798423558620357</v>
      </c>
      <c r="F853" cm="1">
        <f t="array" ref="F853" xml:space="preserve"> ( mc(100, 3, 4, -1, 1, "EXP(x * sin(y))") ) - 7.39981</f>
        <v>0.20453195585151818</v>
      </c>
      <c r="G853" cm="1">
        <f t="array" ref="G853" xml:space="preserve"> ( mc(500, 3, 4, -1, 1, "EXP(x * sin(y))") ) - 7.39981</f>
        <v>-0.5396549821708847</v>
      </c>
      <c r="H853" cm="1">
        <f t="array" ref="H853" xml:space="preserve"> ( mc(1000, 3, 4, -1, 1, "EXP(x * sin(y))") ) - 7.39981</f>
        <v>-4.9350585730741692E-2</v>
      </c>
      <c r="J853" cm="1">
        <f t="array" ref="J853" xml:space="preserve"> mc(100, -PI()/2,0,-1, 1, "ln(EXP(x * y))")</f>
        <v>-0.14070704152510019</v>
      </c>
      <c r="K853" cm="1">
        <f t="array" ref="K853" xml:space="preserve"> mc(500, -PI()/2,0,-1, 1, "ln(EXP(x * y))")</f>
        <v>-8.0314658304982481E-2</v>
      </c>
      <c r="L853" cm="1">
        <f t="array" ref="L853" xml:space="preserve"> mc(1000, -PI()/2,0,-1, 1, "ln(EXP(x * y))")</f>
        <v>-8.0315788243187206E-2</v>
      </c>
      <c r="N853" cm="1">
        <f t="array" ref="N853" xml:space="preserve"> mc(100, -PI()/2,PI()/2, 0, 1, "sin(cos(x + y))")-1.48235</f>
        <v>6.7737827338023138E-2</v>
      </c>
      <c r="O853" cm="1">
        <f t="array" ref="O853" xml:space="preserve"> mc(500, -PI()/2,PI()/2, 0, 1, "sin(cos(x + y))")-1.48235</f>
        <v>-1.6565531754299867E-2</v>
      </c>
      <c r="P853" cm="1">
        <f t="array" ref="P853" xml:space="preserve"> mc(1000, -PI()/2,PI()/2, 0, 1, "sin(cos(x + y))")-1.48235</f>
        <v>3.4563430809498863E-2</v>
      </c>
    </row>
    <row r="854" spans="1:16" x14ac:dyDescent="0.3">
      <c r="A854">
        <v>824</v>
      </c>
      <c r="B854" cm="1">
        <f t="array" ref="B854" xml:space="preserve"> mc(100, 0, 4, 1, 2, "x^2+y^2")-92/3</f>
        <v>2.5315571027282751</v>
      </c>
      <c r="C854" cm="1">
        <f t="array" ref="C854" xml:space="preserve"> mc(500, 0, 4, 1, 2, "x^2+y^2")-92/3</f>
        <v>-0.25224232488236353</v>
      </c>
      <c r="D854" cm="1">
        <f t="array" ref="D854" xml:space="preserve"> mc(1000, 0, 4, 1, 2, "x^2+y^2")-92/3</f>
        <v>0.29505059574202974</v>
      </c>
      <c r="F854" cm="1">
        <f t="array" ref="F854" xml:space="preserve"> ( mc(100, 3, 4, -1, 1, "EXP(x * sin(y))") ) - 7.39981</f>
        <v>0.26391847171634453</v>
      </c>
      <c r="G854" cm="1">
        <f t="array" ref="G854" xml:space="preserve"> ( mc(500, 3, 4, -1, 1, "EXP(x * sin(y))") ) - 7.39981</f>
        <v>-0.37200026504642025</v>
      </c>
      <c r="H854" cm="1">
        <f t="array" ref="H854" xml:space="preserve"> ( mc(1000, 3, 4, -1, 1, "EXP(x * sin(y))") ) - 7.39981</f>
        <v>-0.51219188951337014</v>
      </c>
      <c r="J854" cm="1">
        <f t="array" ref="J854" xml:space="preserve"> mc(100, -PI()/2,0,-1, 1, "ln(EXP(x * y))")</f>
        <v>1.9363727044681249E-2</v>
      </c>
      <c r="K854" cm="1">
        <f t="array" ref="K854" xml:space="preserve"> mc(500, -PI()/2,0,-1, 1, "ln(EXP(x * y))")</f>
        <v>1.7824178182247886E-2</v>
      </c>
      <c r="L854" cm="1">
        <f t="array" ref="L854" xml:space="preserve"> mc(1000, -PI()/2,0,-1, 1, "ln(EXP(x * y))")</f>
        <v>9.5054461692490003E-2</v>
      </c>
      <c r="N854" cm="1">
        <f t="array" ref="N854" xml:space="preserve"> mc(100, -PI()/2,PI()/2, 0, 1, "sin(cos(x + y))")-1.48235</f>
        <v>-8.8629482919364566E-2</v>
      </c>
      <c r="O854" cm="1">
        <f t="array" ref="O854" xml:space="preserve"> mc(500, -PI()/2,PI()/2, 0, 1, "sin(cos(x + y))")-1.48235</f>
        <v>-6.9584842251773082E-3</v>
      </c>
      <c r="P854" cm="1">
        <f t="array" ref="P854" xml:space="preserve"> mc(1000, -PI()/2,PI()/2, 0, 1, "sin(cos(x + y))")-1.48235</f>
        <v>-3.637981850152272E-2</v>
      </c>
    </row>
    <row r="855" spans="1:16" x14ac:dyDescent="0.3">
      <c r="A855">
        <v>825</v>
      </c>
      <c r="B855" cm="1">
        <f t="array" ref="B855" xml:space="preserve"> mc(100, 0, 4, 1, 2, "x^2+y^2")-92/3</f>
        <v>-2.0393453341226326</v>
      </c>
      <c r="C855" cm="1">
        <f t="array" ref="C855" xml:space="preserve"> mc(500, 0, 4, 1, 2, "x^2+y^2")-92/3</f>
        <v>1.5190829240792176</v>
      </c>
      <c r="D855" cm="1">
        <f t="array" ref="D855" xml:space="preserve"> mc(1000, 0, 4, 1, 2, "x^2+y^2")-92/3</f>
        <v>-0.50433165514656508</v>
      </c>
      <c r="F855" cm="1">
        <f t="array" ref="F855" xml:space="preserve"> ( mc(100, 3, 4, -1, 1, "EXP(x * sin(y))") ) - 7.39981</f>
        <v>0.30091485811043395</v>
      </c>
      <c r="G855" cm="1">
        <f t="array" ref="G855" xml:space="preserve"> ( mc(500, 3, 4, -1, 1, "EXP(x * sin(y))") ) - 7.39981</f>
        <v>-0.55587881936843075</v>
      </c>
      <c r="H855" cm="1">
        <f t="array" ref="H855" xml:space="preserve"> ( mc(1000, 3, 4, -1, 1, "EXP(x * sin(y))") ) - 7.39981</f>
        <v>-0.40815479009555933</v>
      </c>
      <c r="J855" cm="1">
        <f t="array" ref="J855" xml:space="preserve"> mc(100, -PI()/2,0,-1, 1, "ln(EXP(x * y))")</f>
        <v>0.15051879798654236</v>
      </c>
      <c r="K855" cm="1">
        <f t="array" ref="K855" xml:space="preserve"> mc(500, -PI()/2,0,-1, 1, "ln(EXP(x * y))")</f>
        <v>5.1869530917120502E-2</v>
      </c>
      <c r="L855" cm="1">
        <f t="array" ref="L855" xml:space="preserve"> mc(1000, -PI()/2,0,-1, 1, "ln(EXP(x * y))")</f>
        <v>9.6017499137318791E-4</v>
      </c>
      <c r="N855" cm="1">
        <f t="array" ref="N855" xml:space="preserve"> mc(100, -PI()/2,PI()/2, 0, 1, "sin(cos(x + y))")-1.48235</f>
        <v>9.7698662273780101E-2</v>
      </c>
      <c r="O855" cm="1">
        <f t="array" ref="O855" xml:space="preserve"> mc(500, -PI()/2,PI()/2, 0, 1, "sin(cos(x + y))")-1.48235</f>
        <v>0.12994346850862626</v>
      </c>
      <c r="P855" cm="1">
        <f t="array" ref="P855" xml:space="preserve"> mc(1000, -PI()/2,PI()/2, 0, 1, "sin(cos(x + y))")-1.48235</f>
        <v>2.6066864344719942E-2</v>
      </c>
    </row>
    <row r="856" spans="1:16" x14ac:dyDescent="0.3">
      <c r="A856">
        <v>826</v>
      </c>
      <c r="B856" cm="1">
        <f t="array" ref="B856" xml:space="preserve"> mc(100, 0, 4, 1, 2, "x^2+y^2")-92/3</f>
        <v>0.26066270501351241</v>
      </c>
      <c r="C856" cm="1">
        <f t="array" ref="C856" xml:space="preserve"> mc(500, 0, 4, 1, 2, "x^2+y^2")-92/3</f>
        <v>6.2054556929563631E-2</v>
      </c>
      <c r="D856" cm="1">
        <f t="array" ref="D856" xml:space="preserve"> mc(1000, 0, 4, 1, 2, "x^2+y^2")-92/3</f>
        <v>0.78753319105486241</v>
      </c>
      <c r="F856" cm="1">
        <f t="array" ref="F856" xml:space="preserve"> ( mc(100, 3, 4, -1, 1, "EXP(x * sin(y))") ) - 7.39981</f>
        <v>2.0649983339540228</v>
      </c>
      <c r="G856" cm="1">
        <f t="array" ref="G856" xml:space="preserve"> ( mc(500, 3, 4, -1, 1, "EXP(x * sin(y))") ) - 7.39981</f>
        <v>0.51030973297989046</v>
      </c>
      <c r="H856" cm="1">
        <f t="array" ref="H856" xml:space="preserve"> ( mc(1000, 3, 4, -1, 1, "EXP(x * sin(y))") ) - 7.39981</f>
        <v>-0.18832498105943607</v>
      </c>
      <c r="J856" cm="1">
        <f t="array" ref="J856" xml:space="preserve"> mc(100, -PI()/2,0,-1, 1, "ln(EXP(x * y))")</f>
        <v>8.0149802403774117E-2</v>
      </c>
      <c r="K856" cm="1">
        <f t="array" ref="K856" xml:space="preserve"> mc(500, -PI()/2,0,-1, 1, "ln(EXP(x * y))")</f>
        <v>-4.7357134564938001E-2</v>
      </c>
      <c r="L856" cm="1">
        <f t="array" ref="L856" xml:space="preserve"> mc(1000, -PI()/2,0,-1, 1, "ln(EXP(x * y))")</f>
        <v>-7.2413917435834502E-2</v>
      </c>
      <c r="N856" cm="1">
        <f t="array" ref="N856" xml:space="preserve"> mc(100, -PI()/2,PI()/2, 0, 1, "sin(cos(x + y))")-1.48235</f>
        <v>-0.21383980444208484</v>
      </c>
      <c r="O856" cm="1">
        <f t="array" ref="O856" xml:space="preserve"> mc(500, -PI()/2,PI()/2, 0, 1, "sin(cos(x + y))")-1.48235</f>
        <v>-3.0753710536721712E-2</v>
      </c>
      <c r="P856" cm="1">
        <f t="array" ref="P856" xml:space="preserve"> mc(1000, -PI()/2,PI()/2, 0, 1, "sin(cos(x + y))")-1.48235</f>
        <v>-1.8321890789098294E-2</v>
      </c>
    </row>
    <row r="857" spans="1:16" x14ac:dyDescent="0.3">
      <c r="A857">
        <v>827</v>
      </c>
      <c r="B857" cm="1">
        <f t="array" ref="B857" xml:space="preserve"> mc(100, 0, 4, 1, 2, "x^2+y^2")-92/3</f>
        <v>1.6963604135000985</v>
      </c>
      <c r="C857" cm="1">
        <f t="array" ref="C857" xml:space="preserve"> mc(500, 0, 4, 1, 2, "x^2+y^2")-92/3</f>
        <v>-0.74885471625751165</v>
      </c>
      <c r="D857" cm="1">
        <f t="array" ref="D857" xml:space="preserve"> mc(1000, 0, 4, 1, 2, "x^2+y^2")-92/3</f>
        <v>0.18633105540172679</v>
      </c>
      <c r="F857" cm="1">
        <f t="array" ref="F857" xml:space="preserve"> ( mc(100, 3, 4, -1, 1, "EXP(x * sin(y))") ) - 7.39981</f>
        <v>-0.3512002511601251</v>
      </c>
      <c r="G857" cm="1">
        <f t="array" ref="G857" xml:space="preserve"> ( mc(500, 3, 4, -1, 1, "EXP(x * sin(y))") ) - 7.39981</f>
        <v>-1.0827332794568658</v>
      </c>
      <c r="H857" cm="1">
        <f t="array" ref="H857" xml:space="preserve"> ( mc(1000, 3, 4, -1, 1, "EXP(x * sin(y))") ) - 7.39981</f>
        <v>-0.15049016594181808</v>
      </c>
      <c r="J857" cm="1">
        <f t="array" ref="J857" xml:space="preserve"> mc(100, -PI()/2,0,-1, 1, "ln(EXP(x * y))")</f>
        <v>-8.7737787949869667E-2</v>
      </c>
      <c r="K857" cm="1">
        <f t="array" ref="K857" xml:space="preserve"> mc(500, -PI()/2,0,-1, 1, "ln(EXP(x * y))")</f>
        <v>-6.2790696054064607E-2</v>
      </c>
      <c r="L857" cm="1">
        <f t="array" ref="L857" xml:space="preserve"> mc(1000, -PI()/2,0,-1, 1, "ln(EXP(x * y))")</f>
        <v>-5.0213140740142784E-2</v>
      </c>
      <c r="N857" cm="1">
        <f t="array" ref="N857" xml:space="preserve"> mc(100, -PI()/2,PI()/2, 0, 1, "sin(cos(x + y))")-1.48235</f>
        <v>-0.1779253481890597</v>
      </c>
      <c r="O857" cm="1">
        <f t="array" ref="O857" xml:space="preserve"> mc(500, -PI()/2,PI()/2, 0, 1, "sin(cos(x + y))")-1.48235</f>
        <v>-6.6386544937622194E-3</v>
      </c>
      <c r="P857" cm="1">
        <f t="array" ref="P857" xml:space="preserve"> mc(1000, -PI()/2,PI()/2, 0, 1, "sin(cos(x + y))")-1.48235</f>
        <v>-4.6625313174706307E-2</v>
      </c>
    </row>
    <row r="858" spans="1:16" x14ac:dyDescent="0.3">
      <c r="A858">
        <v>828</v>
      </c>
      <c r="B858" cm="1">
        <f t="array" ref="B858" xml:space="preserve"> mc(100, 0, 4, 1, 2, "x^2+y^2")-92/3</f>
        <v>-1.9889990481335538</v>
      </c>
      <c r="C858" cm="1">
        <f t="array" ref="C858" xml:space="preserve"> mc(500, 0, 4, 1, 2, "x^2+y^2")-92/3</f>
        <v>0.78451025257686879</v>
      </c>
      <c r="D858" cm="1">
        <f t="array" ref="D858" xml:space="preserve"> mc(1000, 0, 4, 1, 2, "x^2+y^2")-92/3</f>
        <v>0.91916734662096289</v>
      </c>
      <c r="F858" cm="1">
        <f t="array" ref="F858" xml:space="preserve"> ( mc(100, 3, 4, -1, 1, "EXP(x * sin(y))") ) - 7.39981</f>
        <v>1.0797941727302831</v>
      </c>
      <c r="G858" cm="1">
        <f t="array" ref="G858" xml:space="preserve"> ( mc(500, 3, 4, -1, 1, "EXP(x * sin(y))") ) - 7.39981</f>
        <v>0.35127213157229686</v>
      </c>
      <c r="H858" cm="1">
        <f t="array" ref="H858" xml:space="preserve"> ( mc(1000, 3, 4, -1, 1, "EXP(x * sin(y))") ) - 7.39981</f>
        <v>-9.8843706276992016E-2</v>
      </c>
      <c r="J858" cm="1">
        <f t="array" ref="J858" xml:space="preserve"> mc(100, -PI()/2,0,-1, 1, "ln(EXP(x * y))")</f>
        <v>-1.7850610732087668E-2</v>
      </c>
      <c r="K858" cm="1">
        <f t="array" ref="K858" xml:space="preserve"> mc(500, -PI()/2,0,-1, 1, "ln(EXP(x * y))")</f>
        <v>0.12964786017181193</v>
      </c>
      <c r="L858" cm="1">
        <f t="array" ref="L858" xml:space="preserve"> mc(1000, -PI()/2,0,-1, 1, "ln(EXP(x * y))")</f>
        <v>-2.2196686200596536E-2</v>
      </c>
      <c r="N858" cm="1">
        <f t="array" ref="N858" xml:space="preserve"> mc(100, -PI()/2,PI()/2, 0, 1, "sin(cos(x + y))")-1.48235</f>
        <v>0.18539794225312756</v>
      </c>
      <c r="O858" cm="1">
        <f t="array" ref="O858" xml:space="preserve"> mc(500, -PI()/2,PI()/2, 0, 1, "sin(cos(x + y))")-1.48235</f>
        <v>-2.3097720515715014E-2</v>
      </c>
      <c r="P858" cm="1">
        <f t="array" ref="P858" xml:space="preserve"> mc(1000, -PI()/2,PI()/2, 0, 1, "sin(cos(x + y))")-1.48235</f>
        <v>1.9934757538604853E-2</v>
      </c>
    </row>
    <row r="859" spans="1:16" x14ac:dyDescent="0.3">
      <c r="A859">
        <v>829</v>
      </c>
      <c r="B859" cm="1">
        <f t="array" ref="B859" xml:space="preserve"> mc(100, 0, 4, 1, 2, "x^2+y^2")-92/3</f>
        <v>1.346745293700419</v>
      </c>
      <c r="C859" cm="1">
        <f t="array" ref="C859" xml:space="preserve"> mc(500, 0, 4, 1, 2, "x^2+y^2")-92/3</f>
        <v>1.14511438422117</v>
      </c>
      <c r="D859" cm="1">
        <f t="array" ref="D859" xml:space="preserve"> mc(1000, 0, 4, 1, 2, "x^2+y^2")-92/3</f>
        <v>0.62005273417109308</v>
      </c>
      <c r="F859" cm="1">
        <f t="array" ref="F859" xml:space="preserve"> ( mc(100, 3, 4, -1, 1, "EXP(x * sin(y))") ) - 7.39981</f>
        <v>-6.8029821934088019E-2</v>
      </c>
      <c r="G859" cm="1">
        <f t="array" ref="G859" xml:space="preserve"> ( mc(500, 3, 4, -1, 1, "EXP(x * sin(y))") ) - 7.39981</f>
        <v>0.27287547551925595</v>
      </c>
      <c r="H859" cm="1">
        <f t="array" ref="H859" xml:space="preserve"> ( mc(1000, 3, 4, -1, 1, "EXP(x * sin(y))") ) - 7.39981</f>
        <v>-1.0682513808193406E-2</v>
      </c>
      <c r="J859" cm="1">
        <f t="array" ref="J859" xml:space="preserve"> mc(100, -PI()/2,0,-1, 1, "ln(EXP(x * y))")</f>
        <v>0.14185189656090066</v>
      </c>
      <c r="K859" cm="1">
        <f t="array" ref="K859" xml:space="preserve"> mc(500, -PI()/2,0,-1, 1, "ln(EXP(x * y))")</f>
        <v>0.11552821723082583</v>
      </c>
      <c r="L859" cm="1">
        <f t="array" ref="L859" xml:space="preserve"> mc(1000, -PI()/2,0,-1, 1, "ln(EXP(x * y))")</f>
        <v>1.4566669087827309E-2</v>
      </c>
      <c r="N859" cm="1">
        <f t="array" ref="N859" xml:space="preserve"> mc(100, -PI()/2,PI()/2, 0, 1, "sin(cos(x + y))")-1.48235</f>
        <v>-0.19055930200728022</v>
      </c>
      <c r="O859" cm="1">
        <f t="array" ref="O859" xml:space="preserve"> mc(500, -PI()/2,PI()/2, 0, 1, "sin(cos(x + y))")-1.48235</f>
        <v>-8.0835412145798369E-2</v>
      </c>
      <c r="P859" cm="1">
        <f t="array" ref="P859" xml:space="preserve"> mc(1000, -PI()/2,PI()/2, 0, 1, "sin(cos(x + y))")-1.48235</f>
        <v>4.8585253297284137E-3</v>
      </c>
    </row>
    <row r="860" spans="1:16" x14ac:dyDescent="0.3">
      <c r="A860">
        <v>830</v>
      </c>
      <c r="B860" cm="1">
        <f t="array" ref="B860" xml:space="preserve"> mc(100, 0, 4, 1, 2, "x^2+y^2")-92/3</f>
        <v>1.694922215558254</v>
      </c>
      <c r="C860" cm="1">
        <f t="array" ref="C860" xml:space="preserve"> mc(500, 0, 4, 1, 2, "x^2+y^2")-92/3</f>
        <v>0.42790134633273524</v>
      </c>
      <c r="D860" cm="1">
        <f t="array" ref="D860" xml:space="preserve"> mc(1000, 0, 4, 1, 2, "x^2+y^2")-92/3</f>
        <v>-5.6189848286312127E-2</v>
      </c>
      <c r="F860" cm="1">
        <f t="array" ref="F860" xml:space="preserve"> ( mc(100, 3, 4, -1, 1, "EXP(x * sin(y))") ) - 7.39981</f>
        <v>0.5830703360834022</v>
      </c>
      <c r="G860" cm="1">
        <f t="array" ref="G860" xml:space="preserve"> ( mc(500, 3, 4, -1, 1, "EXP(x * sin(y))") ) - 7.39981</f>
        <v>0.59730980701150838</v>
      </c>
      <c r="H860" cm="1">
        <f t="array" ref="H860" xml:space="preserve"> ( mc(1000, 3, 4, -1, 1, "EXP(x * sin(y))") ) - 7.39981</f>
        <v>0.13289334299115563</v>
      </c>
      <c r="J860" cm="1">
        <f t="array" ref="J860" xml:space="preserve"> mc(100, -PI()/2,0,-1, 1, "ln(EXP(x * y))")</f>
        <v>-1.5108523661256397E-2</v>
      </c>
      <c r="K860" cm="1">
        <f t="array" ref="K860" xml:space="preserve"> mc(500, -PI()/2,0,-1, 1, "ln(EXP(x * y))")</f>
        <v>-7.3488311702110357E-2</v>
      </c>
      <c r="L860" cm="1">
        <f t="array" ref="L860" xml:space="preserve"> mc(1000, -PI()/2,0,-1, 1, "ln(EXP(x * y))")</f>
        <v>7.521176788274099E-2</v>
      </c>
      <c r="N860" cm="1">
        <f t="array" ref="N860" xml:space="preserve"> mc(100, -PI()/2,PI()/2, 0, 1, "sin(cos(x + y))")-1.48235</f>
        <v>9.0367964849789262E-2</v>
      </c>
      <c r="O860" cm="1">
        <f t="array" ref="O860" xml:space="preserve"> mc(500, -PI()/2,PI()/2, 0, 1, "sin(cos(x + y))")-1.48235</f>
        <v>5.9370438504690259E-2</v>
      </c>
      <c r="P860" cm="1">
        <f t="array" ref="P860" xml:space="preserve"> mc(1000, -PI()/2,PI()/2, 0, 1, "sin(cos(x + y))")-1.48235</f>
        <v>-4.3013956971853506E-2</v>
      </c>
    </row>
    <row r="861" spans="1:16" x14ac:dyDescent="0.3">
      <c r="A861">
        <v>831</v>
      </c>
      <c r="B861" cm="1">
        <f t="array" ref="B861" xml:space="preserve"> mc(100, 0, 4, 1, 2, "x^2+y^2")-92/3</f>
        <v>-0.66969208624143661</v>
      </c>
      <c r="C861" cm="1">
        <f t="array" ref="C861" xml:space="preserve"> mc(500, 0, 4, 1, 2, "x^2+y^2")-92/3</f>
        <v>-0.45131703562685033</v>
      </c>
      <c r="D861" cm="1">
        <f t="array" ref="D861" xml:space="preserve"> mc(1000, 0, 4, 1, 2, "x^2+y^2")-92/3</f>
        <v>0.68915962919976081</v>
      </c>
      <c r="F861" cm="1">
        <f t="array" ref="F861" xml:space="preserve"> ( mc(100, 3, 4, -1, 1, "EXP(x * sin(y))") ) - 7.39981</f>
        <v>-0.46924679848078465</v>
      </c>
      <c r="G861" cm="1">
        <f t="array" ref="G861" xml:space="preserve"> ( mc(500, 3, 4, -1, 1, "EXP(x * sin(y))") ) - 7.39981</f>
        <v>-9.4179216525037468E-2</v>
      </c>
      <c r="H861" cm="1">
        <f t="array" ref="H861" xml:space="preserve"> ( mc(1000, 3, 4, -1, 1, "EXP(x * sin(y))") ) - 7.39981</f>
        <v>-0.54679273095439562</v>
      </c>
      <c r="J861" cm="1">
        <f t="array" ref="J861" xml:space="preserve"> mc(100, -PI()/2,0,-1, 1, "ln(EXP(x * y))")</f>
        <v>-3.2987066182289691E-3</v>
      </c>
      <c r="K861" cm="1">
        <f t="array" ref="K861" xml:space="preserve"> mc(500, -PI()/2,0,-1, 1, "ln(EXP(x * y))")</f>
        <v>2.4382304981524525E-2</v>
      </c>
      <c r="L861" cm="1">
        <f t="array" ref="L861" xml:space="preserve"> mc(1000, -PI()/2,0,-1, 1, "ln(EXP(x * y))")</f>
        <v>1.2613754618056349E-2</v>
      </c>
      <c r="N861" cm="1">
        <f t="array" ref="N861" xml:space="preserve"> mc(100, -PI()/2,PI()/2, 0, 1, "sin(cos(x + y))")-1.48235</f>
        <v>-8.1211586371797484E-2</v>
      </c>
      <c r="O861" cm="1">
        <f t="array" ref="O861" xml:space="preserve"> mc(500, -PI()/2,PI()/2, 0, 1, "sin(cos(x + y))")-1.48235</f>
        <v>1.5224417335327756E-2</v>
      </c>
      <c r="P861" cm="1">
        <f t="array" ref="P861" xml:space="preserve"> mc(1000, -PI()/2,PI()/2, 0, 1, "sin(cos(x + y))")-1.48235</f>
        <v>-1.0194263981512686E-2</v>
      </c>
    </row>
    <row r="862" spans="1:16" x14ac:dyDescent="0.3">
      <c r="A862">
        <v>832</v>
      </c>
      <c r="B862" cm="1">
        <f t="array" ref="B862" xml:space="preserve"> mc(100, 0, 4, 1, 2, "x^2+y^2")-92/3</f>
        <v>0.11393416383084798</v>
      </c>
      <c r="C862" cm="1">
        <f t="array" ref="C862" xml:space="preserve"> mc(500, 0, 4, 1, 2, "x^2+y^2")-92/3</f>
        <v>-0.52459882262682811</v>
      </c>
      <c r="D862" cm="1">
        <f t="array" ref="D862" xml:space="preserve"> mc(1000, 0, 4, 1, 2, "x^2+y^2")-92/3</f>
        <v>-0.19151110168680674</v>
      </c>
      <c r="F862" cm="1">
        <f t="array" ref="F862" xml:space="preserve"> ( mc(100, 3, 4, -1, 1, "EXP(x * sin(y))") ) - 7.39981</f>
        <v>0.29248287332316902</v>
      </c>
      <c r="G862" cm="1">
        <f t="array" ref="G862" xml:space="preserve"> ( mc(500, 3, 4, -1, 1, "EXP(x * sin(y))") ) - 7.39981</f>
        <v>-0.39702342112633815</v>
      </c>
      <c r="H862" cm="1">
        <f t="array" ref="H862" xml:space="preserve"> ( mc(1000, 3, 4, -1, 1, "EXP(x * sin(y))") ) - 7.39981</f>
        <v>0.21481573474416482</v>
      </c>
      <c r="J862" cm="1">
        <f t="array" ref="J862" xml:space="preserve"> mc(100, -PI()/2,0,-1, 1, "ln(EXP(x * y))")</f>
        <v>-0.10073203692035236</v>
      </c>
      <c r="K862" cm="1">
        <f t="array" ref="K862" xml:space="preserve"> mc(500, -PI()/2,0,-1, 1, "ln(EXP(x * y))")</f>
        <v>8.413919814630226E-2</v>
      </c>
      <c r="L862" cm="1">
        <f t="array" ref="L862" xml:space="preserve"> mc(1000, -PI()/2,0,-1, 1, "ln(EXP(x * y))")</f>
        <v>9.0720184245691421E-2</v>
      </c>
      <c r="N862" cm="1">
        <f t="array" ref="N862" xml:space="preserve"> mc(100, -PI()/2,PI()/2, 0, 1, "sin(cos(x + y))")-1.48235</f>
        <v>0.11660360321155583</v>
      </c>
      <c r="O862" cm="1">
        <f t="array" ref="O862" xml:space="preserve"> mc(500, -PI()/2,PI()/2, 0, 1, "sin(cos(x + y))")-1.48235</f>
        <v>-0.17283608159685171</v>
      </c>
      <c r="P862" cm="1">
        <f t="array" ref="P862" xml:space="preserve"> mc(1000, -PI()/2,PI()/2, 0, 1, "sin(cos(x + y))")-1.48235</f>
        <v>4.1260663549320231E-2</v>
      </c>
    </row>
    <row r="863" spans="1:16" x14ac:dyDescent="0.3">
      <c r="A863">
        <v>833</v>
      </c>
      <c r="B863" cm="1">
        <f t="array" ref="B863" xml:space="preserve"> mc(100, 0, 4, 1, 2, "x^2+y^2")-92/3</f>
        <v>1.6441953093149912</v>
      </c>
      <c r="C863" cm="1">
        <f t="array" ref="C863" xml:space="preserve"> mc(500, 0, 4, 1, 2, "x^2+y^2")-92/3</f>
        <v>-7.4760424486797206E-4</v>
      </c>
      <c r="D863" cm="1">
        <f t="array" ref="D863" xml:space="preserve"> mc(1000, 0, 4, 1, 2, "x^2+y^2")-92/3</f>
        <v>0.43494110915811746</v>
      </c>
      <c r="F863" cm="1">
        <f t="array" ref="F863" xml:space="preserve"> ( mc(100, 3, 4, -1, 1, "EXP(x * sin(y))") ) - 7.39981</f>
        <v>-0.24138366831768998</v>
      </c>
      <c r="G863" cm="1">
        <f t="array" ref="G863" xml:space="preserve"> ( mc(500, 3, 4, -1, 1, "EXP(x * sin(y))") ) - 7.39981</f>
        <v>-4.7191349025670348E-3</v>
      </c>
      <c r="H863" cm="1">
        <f t="array" ref="H863" xml:space="preserve"> ( mc(1000, 3, 4, -1, 1, "EXP(x * sin(y))") ) - 7.39981</f>
        <v>-9.6972446921362199E-2</v>
      </c>
      <c r="J863" cm="1">
        <f t="array" ref="J863" xml:space="preserve"> mc(100, -PI()/2,0,-1, 1, "ln(EXP(x * y))")</f>
        <v>-0.13756399655186152</v>
      </c>
      <c r="K863" cm="1">
        <f t="array" ref="K863" xml:space="preserve"> mc(500, -PI()/2,0,-1, 1, "ln(EXP(x * y))")</f>
        <v>-4.7988895323484965E-2</v>
      </c>
      <c r="L863" cm="1">
        <f t="array" ref="L863" xml:space="preserve"> mc(1000, -PI()/2,0,-1, 1, "ln(EXP(x * y))")</f>
        <v>2.710063019137068E-2</v>
      </c>
      <c r="N863" cm="1">
        <f t="array" ref="N863" xml:space="preserve"> mc(100, -PI()/2,PI()/2, 0, 1, "sin(cos(x + y))")-1.48235</f>
        <v>-0.32035900463571654</v>
      </c>
      <c r="O863" cm="1">
        <f t="array" ref="O863" xml:space="preserve"> mc(500, -PI()/2,PI()/2, 0, 1, "sin(cos(x + y))")-1.48235</f>
        <v>5.4807918792662225E-2</v>
      </c>
      <c r="P863" cm="1">
        <f t="array" ref="P863" xml:space="preserve"> mc(1000, -PI()/2,PI()/2, 0, 1, "sin(cos(x + y))")-1.48235</f>
        <v>7.1257127548184584E-2</v>
      </c>
    </row>
    <row r="864" spans="1:16" x14ac:dyDescent="0.3">
      <c r="A864">
        <v>834</v>
      </c>
      <c r="B864" cm="1">
        <f t="array" ref="B864" xml:space="preserve"> mc(100, 0, 4, 1, 2, "x^2+y^2")-92/3</f>
        <v>0.78037558927231032</v>
      </c>
      <c r="C864" cm="1">
        <f t="array" ref="C864" xml:space="preserve"> mc(500, 0, 4, 1, 2, "x^2+y^2")-92/3</f>
        <v>-8.8417907755516723E-2</v>
      </c>
      <c r="D864" cm="1">
        <f t="array" ref="D864" xml:space="preserve"> mc(1000, 0, 4, 1, 2, "x^2+y^2")-92/3</f>
        <v>1.0372438257437153</v>
      </c>
      <c r="F864" cm="1">
        <f t="array" ref="F864" xml:space="preserve"> ( mc(100, 3, 4, -1, 1, "EXP(x * sin(y))") ) - 7.39981</f>
        <v>1.4462711200564247</v>
      </c>
      <c r="G864" cm="1">
        <f t="array" ref="G864" xml:space="preserve"> ( mc(500, 3, 4, -1, 1, "EXP(x * sin(y))") ) - 7.39981</f>
        <v>-0.31241663754151272</v>
      </c>
      <c r="H864" cm="1">
        <f t="array" ref="H864" xml:space="preserve"> ( mc(1000, 3, 4, -1, 1, "EXP(x * sin(y))") ) - 7.39981</f>
        <v>0.39371032128364813</v>
      </c>
      <c r="J864" cm="1">
        <f t="array" ref="J864" xml:space="preserve"> mc(100, -PI()/2,0,-1, 1, "ln(EXP(x * y))")</f>
        <v>-0.20653483038701292</v>
      </c>
      <c r="K864" cm="1">
        <f t="array" ref="K864" xml:space="preserve"> mc(500, -PI()/2,0,-1, 1, "ln(EXP(x * y))")</f>
        <v>2.4661386697957061E-2</v>
      </c>
      <c r="L864" cm="1">
        <f t="array" ref="L864" xml:space="preserve"> mc(1000, -PI()/2,0,-1, 1, "ln(EXP(x * y))")</f>
        <v>-5.8309655435705009E-2</v>
      </c>
      <c r="N864" cm="1">
        <f t="array" ref="N864" xml:space="preserve"> mc(100, -PI()/2,PI()/2, 0, 1, "sin(cos(x + y))")-1.48235</f>
        <v>-0.1348629184617165</v>
      </c>
      <c r="O864" cm="1">
        <f t="array" ref="O864" xml:space="preserve"> mc(500, -PI()/2,PI()/2, 0, 1, "sin(cos(x + y))")-1.48235</f>
        <v>-2.9079376459965722E-2</v>
      </c>
      <c r="P864" cm="1">
        <f t="array" ref="P864" xml:space="preserve"> mc(1000, -PI()/2,PI()/2, 0, 1, "sin(cos(x + y))")-1.48235</f>
        <v>-2.2475260554553511E-2</v>
      </c>
    </row>
    <row r="865" spans="1:16" x14ac:dyDescent="0.3">
      <c r="A865">
        <v>835</v>
      </c>
      <c r="B865" cm="1">
        <f t="array" ref="B865" xml:space="preserve"> mc(100, 0, 4, 1, 2, "x^2+y^2")-92/3</f>
        <v>-1.0273468930879694</v>
      </c>
      <c r="C865" cm="1">
        <f t="array" ref="C865" xml:space="preserve"> mc(500, 0, 4, 1, 2, "x^2+y^2")-92/3</f>
        <v>-0.77807654560475115</v>
      </c>
      <c r="D865" cm="1">
        <f t="array" ref="D865" xml:space="preserve"> mc(1000, 0, 4, 1, 2, "x^2+y^2")-92/3</f>
        <v>0.63737133040650207</v>
      </c>
      <c r="F865" cm="1">
        <f t="array" ref="F865" xml:space="preserve"> ( mc(100, 3, 4, -1, 1, "EXP(x * sin(y))") ) - 7.39981</f>
        <v>-1.3034662569284698</v>
      </c>
      <c r="G865" cm="1">
        <f t="array" ref="G865" xml:space="preserve"> ( mc(500, 3, 4, -1, 1, "EXP(x * sin(y))") ) - 7.39981</f>
        <v>0.28941265309845043</v>
      </c>
      <c r="H865" cm="1">
        <f t="array" ref="H865" xml:space="preserve"> ( mc(1000, 3, 4, -1, 1, "EXP(x * sin(y))") ) - 7.39981</f>
        <v>0.17343942605830875</v>
      </c>
      <c r="J865" cm="1">
        <f t="array" ref="J865" xml:space="preserve"> mc(100, -PI()/2,0,-1, 1, "ln(EXP(x * y))")</f>
        <v>-2.6033892178538163E-2</v>
      </c>
      <c r="K865" cm="1">
        <f t="array" ref="K865" xml:space="preserve"> mc(500, -PI()/2,0,-1, 1, "ln(EXP(x * y))")</f>
        <v>-2.2434441550783356E-2</v>
      </c>
      <c r="L865" cm="1">
        <f t="array" ref="L865" xml:space="preserve"> mc(1000, -PI()/2,0,-1, 1, "ln(EXP(x * y))")</f>
        <v>3.8014755816162642E-2</v>
      </c>
      <c r="N865" cm="1">
        <f t="array" ref="N865" xml:space="preserve"> mc(100, -PI()/2,PI()/2, 0, 1, "sin(cos(x + y))")-1.48235</f>
        <v>-0.33638416037104468</v>
      </c>
      <c r="O865" cm="1">
        <f t="array" ref="O865" xml:space="preserve"> mc(500, -PI()/2,PI()/2, 0, 1, "sin(cos(x + y))")-1.48235</f>
        <v>-2.9520034719353383E-2</v>
      </c>
      <c r="P865" cm="1">
        <f t="array" ref="P865" xml:space="preserve"> mc(1000, -PI()/2,PI()/2, 0, 1, "sin(cos(x + y))")-1.48235</f>
        <v>3.1767240682658571E-3</v>
      </c>
    </row>
    <row r="866" spans="1:16" x14ac:dyDescent="0.3">
      <c r="A866">
        <v>836</v>
      </c>
      <c r="B866" cm="1">
        <f t="array" ref="B866" xml:space="preserve"> mc(100, 0, 4, 1, 2, "x^2+y^2")-92/3</f>
        <v>7.8620130533607835E-2</v>
      </c>
      <c r="C866" cm="1">
        <f t="array" ref="C866" xml:space="preserve"> mc(500, 0, 4, 1, 2, "x^2+y^2")-92/3</f>
        <v>0.7122600049542136</v>
      </c>
      <c r="D866" cm="1">
        <f t="array" ref="D866" xml:space="preserve"> mc(1000, 0, 4, 1, 2, "x^2+y^2")-92/3</f>
        <v>0.78316174302731056</v>
      </c>
      <c r="F866" cm="1">
        <f t="array" ref="F866" xml:space="preserve"> ( mc(100, 3, 4, -1, 1, "EXP(x * sin(y))") ) - 7.39981</f>
        <v>0.25638307545404615</v>
      </c>
      <c r="G866" cm="1">
        <f t="array" ref="G866" xml:space="preserve"> ( mc(500, 3, 4, -1, 1, "EXP(x * sin(y))") ) - 7.39981</f>
        <v>-8.7585978131414777E-3</v>
      </c>
      <c r="H866" cm="1">
        <f t="array" ref="H866" xml:space="preserve"> ( mc(1000, 3, 4, -1, 1, "EXP(x * sin(y))") ) - 7.39981</f>
        <v>-0.28484020129664867</v>
      </c>
      <c r="J866" cm="1">
        <f t="array" ref="J866" xml:space="preserve"> mc(100, -PI()/2,0,-1, 1, "ln(EXP(x * y))")</f>
        <v>-5.9901012414521389E-3</v>
      </c>
      <c r="K866" cm="1">
        <f t="array" ref="K866" xml:space="preserve"> mc(500, -PI()/2,0,-1, 1, "ln(EXP(x * y))")</f>
        <v>2.7341444587161309E-2</v>
      </c>
      <c r="L866" cm="1">
        <f t="array" ref="L866" xml:space="preserve"> mc(1000, -PI()/2,0,-1, 1, "ln(EXP(x * y))")</f>
        <v>-3.1121006201080485E-2</v>
      </c>
      <c r="N866" cm="1">
        <f t="array" ref="N866" xml:space="preserve"> mc(100, -PI()/2,PI()/2, 0, 1, "sin(cos(x + y))")-1.48235</f>
        <v>0.12444425823387539</v>
      </c>
      <c r="O866" cm="1">
        <f t="array" ref="O866" xml:space="preserve"> mc(500, -PI()/2,PI()/2, 0, 1, "sin(cos(x + y))")-1.48235</f>
        <v>-6.3790311588588722E-2</v>
      </c>
      <c r="P866" cm="1">
        <f t="array" ref="P866" xml:space="preserve"> mc(1000, -PI()/2,PI()/2, 0, 1, "sin(cos(x + y))")-1.48235</f>
        <v>-1.9726714790580413E-2</v>
      </c>
    </row>
    <row r="867" spans="1:16" x14ac:dyDescent="0.3">
      <c r="A867">
        <v>837</v>
      </c>
      <c r="B867" cm="1">
        <f t="array" ref="B867" xml:space="preserve"> mc(100, 0, 4, 1, 2, "x^2+y^2")-92/3</f>
        <v>1.2871126313348924</v>
      </c>
      <c r="C867" cm="1">
        <f t="array" ref="C867" xml:space="preserve"> mc(500, 0, 4, 1, 2, "x^2+y^2")-92/3</f>
        <v>-0.19203445371563532</v>
      </c>
      <c r="D867" cm="1">
        <f t="array" ref="D867" xml:space="preserve"> mc(1000, 0, 4, 1, 2, "x^2+y^2")-92/3</f>
        <v>0.52481748908097359</v>
      </c>
      <c r="F867" cm="1">
        <f t="array" ref="F867" xml:space="preserve"> ( mc(100, 3, 4, -1, 1, "EXP(x * sin(y))") ) - 7.39981</f>
        <v>0.64190379319366997</v>
      </c>
      <c r="G867" cm="1">
        <f t="array" ref="G867" xml:space="preserve"> ( mc(500, 3, 4, -1, 1, "EXP(x * sin(y))") ) - 7.39981</f>
        <v>1.3308504216904105E-2</v>
      </c>
      <c r="H867" cm="1">
        <f t="array" ref="H867" xml:space="preserve"> ( mc(1000, 3, 4, -1, 1, "EXP(x * sin(y))") ) - 7.39981</f>
        <v>0.14115145650326966</v>
      </c>
      <c r="J867" cm="1">
        <f t="array" ref="J867" xml:space="preserve"> mc(100, -PI()/2,0,-1, 1, "ln(EXP(x * y))")</f>
        <v>0.28438035217907892</v>
      </c>
      <c r="K867" cm="1">
        <f t="array" ref="K867" xml:space="preserve"> mc(500, -PI()/2,0,-1, 1, "ln(EXP(x * y))")</f>
        <v>-8.1515000274070007E-2</v>
      </c>
      <c r="L867" cm="1">
        <f t="array" ref="L867" xml:space="preserve"> mc(1000, -PI()/2,0,-1, 1, "ln(EXP(x * y))")</f>
        <v>6.9233781446234322E-2</v>
      </c>
      <c r="N867" cm="1">
        <f t="array" ref="N867" xml:space="preserve"> mc(100, -PI()/2,PI()/2, 0, 1, "sin(cos(x + y))")-1.48235</f>
        <v>8.3895661277766154E-2</v>
      </c>
      <c r="O867" cm="1">
        <f t="array" ref="O867" xml:space="preserve"> mc(500, -PI()/2,PI()/2, 0, 1, "sin(cos(x + y))")-1.48235</f>
        <v>5.4987759625487298E-2</v>
      </c>
      <c r="P867" cm="1">
        <f t="array" ref="P867" xml:space="preserve"> mc(1000, -PI()/2,PI()/2, 0, 1, "sin(cos(x + y))")-1.48235</f>
        <v>2.7116132045194474E-2</v>
      </c>
    </row>
    <row r="868" spans="1:16" x14ac:dyDescent="0.3">
      <c r="A868">
        <v>838</v>
      </c>
      <c r="B868" cm="1">
        <f t="array" ref="B868" xml:space="preserve"> mc(100, 0, 4, 1, 2, "x^2+y^2")-92/3</f>
        <v>-2.3397081435794753</v>
      </c>
      <c r="C868" cm="1">
        <f t="array" ref="C868" xml:space="preserve"> mc(500, 0, 4, 1, 2, "x^2+y^2")-92/3</f>
        <v>0.65484784794213269</v>
      </c>
      <c r="D868" cm="1">
        <f t="array" ref="D868" xml:space="preserve"> mc(1000, 0, 4, 1, 2, "x^2+y^2")-92/3</f>
        <v>-0.25853174912515087</v>
      </c>
      <c r="F868" cm="1">
        <f t="array" ref="F868" xml:space="preserve"> ( mc(100, 3, 4, -1, 1, "EXP(x * sin(y))") ) - 7.39981</f>
        <v>0.3517786046982927</v>
      </c>
      <c r="G868" cm="1">
        <f t="array" ref="G868" xml:space="preserve"> ( mc(500, 3, 4, -1, 1, "EXP(x * sin(y))") ) - 7.39981</f>
        <v>-0.34796400355401325</v>
      </c>
      <c r="H868" cm="1">
        <f t="array" ref="H868" xml:space="preserve"> ( mc(1000, 3, 4, -1, 1, "EXP(x * sin(y))") ) - 7.39981</f>
        <v>-5.418432283684993E-3</v>
      </c>
      <c r="J868" cm="1">
        <f t="array" ref="J868" xml:space="preserve"> mc(100, -PI()/2,0,-1, 1, "ln(EXP(x * y))")</f>
        <v>-0.27434771899685129</v>
      </c>
      <c r="K868" cm="1">
        <f t="array" ref="K868" xml:space="preserve"> mc(500, -PI()/2,0,-1, 1, "ln(EXP(x * y))")</f>
        <v>6.9962191708298843E-2</v>
      </c>
      <c r="L868" cm="1">
        <f t="array" ref="L868" xml:space="preserve"> mc(1000, -PI()/2,0,-1, 1, "ln(EXP(x * y))")</f>
        <v>-3.4303991322552241E-2</v>
      </c>
      <c r="N868" cm="1">
        <f t="array" ref="N868" xml:space="preserve"> mc(100, -PI()/2,PI()/2, 0, 1, "sin(cos(x + y))")-1.48235</f>
        <v>-3.5481068173105479E-2</v>
      </c>
      <c r="O868" cm="1">
        <f t="array" ref="O868" xml:space="preserve"> mc(500, -PI()/2,PI()/2, 0, 1, "sin(cos(x + y))")-1.48235</f>
        <v>-0.1099243371892531</v>
      </c>
      <c r="P868" cm="1">
        <f t="array" ref="P868" xml:space="preserve"> mc(1000, -PI()/2,PI()/2, 0, 1, "sin(cos(x + y))")-1.48235</f>
        <v>-2.4948140953651388E-2</v>
      </c>
    </row>
    <row r="869" spans="1:16" x14ac:dyDescent="0.3">
      <c r="A869">
        <v>839</v>
      </c>
      <c r="B869" cm="1">
        <f t="array" ref="B869" xml:space="preserve"> mc(100, 0, 4, 1, 2, "x^2+y^2")-92/3</f>
        <v>-1.0216210343840793</v>
      </c>
      <c r="C869" cm="1">
        <f t="array" ref="C869" xml:space="preserve"> mc(500, 0, 4, 1, 2, "x^2+y^2")-92/3</f>
        <v>-8.3344940276191437E-2</v>
      </c>
      <c r="D869" cm="1">
        <f t="array" ref="D869" xml:space="preserve"> mc(1000, 0, 4, 1, 2, "x^2+y^2")-92/3</f>
        <v>-0.55168503274353498</v>
      </c>
      <c r="F869" cm="1">
        <f t="array" ref="F869" xml:space="preserve"> ( mc(100, 3, 4, -1, 1, "EXP(x * sin(y))") ) - 7.39981</f>
        <v>-1.2633689242619859</v>
      </c>
      <c r="G869" cm="1">
        <f t="array" ref="G869" xml:space="preserve"> ( mc(500, 3, 4, -1, 1, "EXP(x * sin(y))") ) - 7.39981</f>
        <v>-0.39113640943884942</v>
      </c>
      <c r="H869" cm="1">
        <f t="array" ref="H869" xml:space="preserve"> ( mc(1000, 3, 4, -1, 1, "EXP(x * sin(y))") ) - 7.39981</f>
        <v>0.18372078195886221</v>
      </c>
      <c r="J869" cm="1">
        <f t="array" ref="J869" xml:space="preserve"> mc(100, -PI()/2,0,-1, 1, "ln(EXP(x * y))")</f>
        <v>4.0910963517537459E-2</v>
      </c>
      <c r="K869" cm="1">
        <f t="array" ref="K869" xml:space="preserve"> mc(500, -PI()/2,0,-1, 1, "ln(EXP(x * y))")</f>
        <v>-3.5949368108208757E-2</v>
      </c>
      <c r="L869" cm="1">
        <f t="array" ref="L869" xml:space="preserve"> mc(1000, -PI()/2,0,-1, 1, "ln(EXP(x * y))")</f>
        <v>-8.2433505312131797E-2</v>
      </c>
      <c r="N869" cm="1">
        <f t="array" ref="N869" xml:space="preserve"> mc(100, -PI()/2,PI()/2, 0, 1, "sin(cos(x + y))")-1.48235</f>
        <v>-4.4958070592273636E-3</v>
      </c>
      <c r="O869" cm="1">
        <f t="array" ref="O869" xml:space="preserve"> mc(500, -PI()/2,PI()/2, 0, 1, "sin(cos(x + y))")-1.48235</f>
        <v>0.11339337833534713</v>
      </c>
      <c r="P869" cm="1">
        <f t="array" ref="P869" xml:space="preserve"> mc(1000, -PI()/2,PI()/2, 0, 1, "sin(cos(x + y))")-1.48235</f>
        <v>1.3794328820236235E-2</v>
      </c>
    </row>
    <row r="870" spans="1:16" x14ac:dyDescent="0.3">
      <c r="A870">
        <v>840</v>
      </c>
      <c r="B870" cm="1">
        <f t="array" ref="B870" xml:space="preserve"> mc(100, 0, 4, 1, 2, "x^2+y^2")-92/3</f>
        <v>-0.53362945034634279</v>
      </c>
      <c r="C870" cm="1">
        <f t="array" ref="C870" xml:space="preserve"> mc(500, 0, 4, 1, 2, "x^2+y^2")-92/3</f>
        <v>-0.32554346110704557</v>
      </c>
      <c r="D870" cm="1">
        <f t="array" ref="D870" xml:space="preserve"> mc(1000, 0, 4, 1, 2, "x^2+y^2")-92/3</f>
        <v>5.325225909942688E-2</v>
      </c>
      <c r="F870" cm="1">
        <f t="array" ref="F870" xml:space="preserve"> ( mc(100, 3, 4, -1, 1, "EXP(x * sin(y))") ) - 7.39981</f>
        <v>-0.11787556400042298</v>
      </c>
      <c r="G870" cm="1">
        <f t="array" ref="G870" xml:space="preserve"> ( mc(500, 3, 4, -1, 1, "EXP(x * sin(y))") ) - 7.39981</f>
        <v>0.2916218872309253</v>
      </c>
      <c r="H870" cm="1">
        <f t="array" ref="H870" xml:space="preserve"> ( mc(1000, 3, 4, -1, 1, "EXP(x * sin(y))") ) - 7.39981</f>
        <v>2.108274759674611E-2</v>
      </c>
      <c r="J870" cm="1">
        <f t="array" ref="J870" xml:space="preserve"> mc(100, -PI()/2,0,-1, 1, "ln(EXP(x * y))")</f>
        <v>-0.32667213013226842</v>
      </c>
      <c r="K870" cm="1">
        <f t="array" ref="K870" xml:space="preserve"> mc(500, -PI()/2,0,-1, 1, "ln(EXP(x * y))")</f>
        <v>5.266389697240155E-2</v>
      </c>
      <c r="L870" cm="1">
        <f t="array" ref="L870" xml:space="preserve"> mc(1000, -PI()/2,0,-1, 1, "ln(EXP(x * y))")</f>
        <v>-9.625152081399993E-2</v>
      </c>
      <c r="N870" cm="1">
        <f t="array" ref="N870" xml:space="preserve"> mc(100, -PI()/2,PI()/2, 0, 1, "sin(cos(x + y))")-1.48235</f>
        <v>-9.3923548162318848E-2</v>
      </c>
      <c r="O870" cm="1">
        <f t="array" ref="O870" xml:space="preserve"> mc(500, -PI()/2,PI()/2, 0, 1, "sin(cos(x + y))")-1.48235</f>
        <v>7.2667934810661805E-3</v>
      </c>
      <c r="P870" cm="1">
        <f t="array" ref="P870" xml:space="preserve"> mc(1000, -PI()/2,PI()/2, 0, 1, "sin(cos(x + y))")-1.48235</f>
        <v>3.9097275454260449E-2</v>
      </c>
    </row>
    <row r="871" spans="1:16" x14ac:dyDescent="0.3">
      <c r="A871">
        <v>841</v>
      </c>
      <c r="B871" cm="1">
        <f t="array" ref="B871" xml:space="preserve"> mc(100, 0, 4, 1, 2, "x^2+y^2")-92/3</f>
        <v>1.2179253291865599</v>
      </c>
      <c r="C871" cm="1">
        <f t="array" ref="C871" xml:space="preserve"> mc(500, 0, 4, 1, 2, "x^2+y^2")-92/3</f>
        <v>0.94229007914003304</v>
      </c>
      <c r="D871" cm="1">
        <f t="array" ref="D871" xml:space="preserve"> mc(1000, 0, 4, 1, 2, "x^2+y^2")-92/3</f>
        <v>0.8514569771900824</v>
      </c>
      <c r="F871" cm="1">
        <f t="array" ref="F871" xml:space="preserve"> ( mc(100, 3, 4, -1, 1, "EXP(x * sin(y))") ) - 7.39981</f>
        <v>-1.5961474959916169</v>
      </c>
      <c r="G871" cm="1">
        <f t="array" ref="G871" xml:space="preserve"> ( mc(500, 3, 4, -1, 1, "EXP(x * sin(y))") ) - 7.39981</f>
        <v>0.2946155753434434</v>
      </c>
      <c r="H871" cm="1">
        <f t="array" ref="H871" xml:space="preserve"> ( mc(1000, 3, 4, -1, 1, "EXP(x * sin(y))") ) - 7.39981</f>
        <v>-0.4263924866035893</v>
      </c>
      <c r="J871" cm="1">
        <f t="array" ref="J871" xml:space="preserve"> mc(100, -PI()/2,0,-1, 1, "ln(EXP(x * y))")</f>
        <v>-8.7730465614473077E-2</v>
      </c>
      <c r="K871" cm="1">
        <f t="array" ref="K871" xml:space="preserve"> mc(500, -PI()/2,0,-1, 1, "ln(EXP(x * y))")</f>
        <v>0.10798974762194223</v>
      </c>
      <c r="L871" cm="1">
        <f t="array" ref="L871" xml:space="preserve"> mc(1000, -PI()/2,0,-1, 1, "ln(EXP(x * y))")</f>
        <v>4.005095951507591E-2</v>
      </c>
      <c r="N871" cm="1">
        <f t="array" ref="N871" xml:space="preserve"> mc(100, -PI()/2,PI()/2, 0, 1, "sin(cos(x + y))")-1.48235</f>
        <v>9.9074652424553378E-2</v>
      </c>
      <c r="O871" cm="1">
        <f t="array" ref="O871" xml:space="preserve"> mc(500, -PI()/2,PI()/2, 0, 1, "sin(cos(x + y))")-1.48235</f>
        <v>-4.9704017630733066E-2</v>
      </c>
      <c r="P871" cm="1">
        <f t="array" ref="P871" xml:space="preserve"> mc(1000, -PI()/2,PI()/2, 0, 1, "sin(cos(x + y))")-1.48235</f>
        <v>-4.0822914468145122E-2</v>
      </c>
    </row>
    <row r="872" spans="1:16" x14ac:dyDescent="0.3">
      <c r="A872">
        <v>842</v>
      </c>
      <c r="B872" cm="1">
        <f t="array" ref="B872" xml:space="preserve"> mc(100, 0, 4, 1, 2, "x^2+y^2")-92/3</f>
        <v>1.2875348421543968</v>
      </c>
      <c r="C872" cm="1">
        <f t="array" ref="C872" xml:space="preserve"> mc(500, 0, 4, 1, 2, "x^2+y^2")-92/3</f>
        <v>0.42008372343085654</v>
      </c>
      <c r="D872" cm="1">
        <f t="array" ref="D872" xml:space="preserve"> mc(1000, 0, 4, 1, 2, "x^2+y^2")-92/3</f>
        <v>-0.62400082424997549</v>
      </c>
      <c r="F872" cm="1">
        <f t="array" ref="F872" xml:space="preserve"> ( mc(100, 3, 4, -1, 1, "EXP(x * sin(y))") ) - 7.39981</f>
        <v>1.1268701802366241</v>
      </c>
      <c r="G872" cm="1">
        <f t="array" ref="G872" xml:space="preserve"> ( mc(500, 3, 4, -1, 1, "EXP(x * sin(y))") ) - 7.39981</f>
        <v>-0.16360568164429701</v>
      </c>
      <c r="H872" cm="1">
        <f t="array" ref="H872" xml:space="preserve"> ( mc(1000, 3, 4, -1, 1, "EXP(x * sin(y))") ) - 7.39981</f>
        <v>2.6905630833365279E-2</v>
      </c>
      <c r="J872" cm="1">
        <f t="array" ref="J872" xml:space="preserve"> mc(100, -PI()/2,0,-1, 1, "ln(EXP(x * y))")</f>
        <v>-6.2743560702417461E-2</v>
      </c>
      <c r="K872" cm="1">
        <f t="array" ref="K872" xml:space="preserve"> mc(500, -PI()/2,0,-1, 1, "ln(EXP(x * y))")</f>
        <v>-3.0186224244680013E-2</v>
      </c>
      <c r="L872" cm="1">
        <f t="array" ref="L872" xml:space="preserve"> mc(1000, -PI()/2,0,-1, 1, "ln(EXP(x * y))")</f>
        <v>-9.787172985125079E-3</v>
      </c>
      <c r="N872" cm="1">
        <f t="array" ref="N872" xml:space="preserve"> mc(100, -PI()/2,PI()/2, 0, 1, "sin(cos(x + y))")-1.48235</f>
        <v>-3.8715237784880951E-3</v>
      </c>
      <c r="O872" cm="1">
        <f t="array" ref="O872" xml:space="preserve"> mc(500, -PI()/2,PI()/2, 0, 1, "sin(cos(x + y))")-1.48235</f>
        <v>6.9593733014751136E-2</v>
      </c>
      <c r="P872" cm="1">
        <f t="array" ref="P872" xml:space="preserve"> mc(1000, -PI()/2,PI()/2, 0, 1, "sin(cos(x + y))")-1.48235</f>
        <v>2.5508126508534179E-2</v>
      </c>
    </row>
    <row r="873" spans="1:16" x14ac:dyDescent="0.3">
      <c r="A873">
        <v>843</v>
      </c>
      <c r="B873" cm="1">
        <f t="array" ref="B873" xml:space="preserve"> mc(100, 0, 4, 1, 2, "x^2+y^2")-92/3</f>
        <v>-1.6291005079042016</v>
      </c>
      <c r="C873" cm="1">
        <f t="array" ref="C873" xml:space="preserve"> mc(500, 0, 4, 1, 2, "x^2+y^2")-92/3</f>
        <v>0.31451270653406382</v>
      </c>
      <c r="D873" cm="1">
        <f t="array" ref="D873" xml:space="preserve"> mc(1000, 0, 4, 1, 2, "x^2+y^2")-92/3</f>
        <v>-0.10816919831852445</v>
      </c>
      <c r="F873" cm="1">
        <f t="array" ref="F873" xml:space="preserve"> ( mc(100, 3, 4, -1, 1, "EXP(x * sin(y))") ) - 7.39981</f>
        <v>-2.5869606155967757</v>
      </c>
      <c r="G873" cm="1">
        <f t="array" ref="G873" xml:space="preserve"> ( mc(500, 3, 4, -1, 1, "EXP(x * sin(y))") ) - 7.39981</f>
        <v>0.27189497872469204</v>
      </c>
      <c r="H873" cm="1">
        <f t="array" ref="H873" xml:space="preserve"> ( mc(1000, 3, 4, -1, 1, "EXP(x * sin(y))") ) - 7.39981</f>
        <v>-0.65127740990909277</v>
      </c>
      <c r="J873" cm="1">
        <f t="array" ref="J873" xml:space="preserve"> mc(100, -PI()/2,0,-1, 1, "ln(EXP(x * y))")</f>
        <v>0.12148558792611831</v>
      </c>
      <c r="K873" cm="1">
        <f t="array" ref="K873" xml:space="preserve"> mc(500, -PI()/2,0,-1, 1, "ln(EXP(x * y))")</f>
        <v>0.10533659768457918</v>
      </c>
      <c r="L873" cm="1">
        <f t="array" ref="L873" xml:space="preserve"> mc(1000, -PI()/2,0,-1, 1, "ln(EXP(x * y))")</f>
        <v>-5.2889007993573565E-2</v>
      </c>
      <c r="N873" cm="1">
        <f t="array" ref="N873" xml:space="preserve"> mc(100, -PI()/2,PI()/2, 0, 1, "sin(cos(x + y))")-1.48235</f>
        <v>-0.18475863384561819</v>
      </c>
      <c r="O873" cm="1">
        <f t="array" ref="O873" xml:space="preserve"> mc(500, -PI()/2,PI()/2, 0, 1, "sin(cos(x + y))")-1.48235</f>
        <v>4.6808621558480867E-2</v>
      </c>
      <c r="P873" cm="1">
        <f t="array" ref="P873" xml:space="preserve"> mc(1000, -PI()/2,PI()/2, 0, 1, "sin(cos(x + y))")-1.48235</f>
        <v>-8.4206880990029154E-2</v>
      </c>
    </row>
    <row r="874" spans="1:16" x14ac:dyDescent="0.3">
      <c r="A874">
        <v>844</v>
      </c>
      <c r="B874" cm="1">
        <f t="array" ref="B874" xml:space="preserve"> mc(100, 0, 4, 1, 2, "x^2+y^2")-92/3</f>
        <v>1.8505678666050294</v>
      </c>
      <c r="C874" cm="1">
        <f t="array" ref="C874" xml:space="preserve"> mc(500, 0, 4, 1, 2, "x^2+y^2")-92/3</f>
        <v>0.74173362445755231</v>
      </c>
      <c r="D874" cm="1">
        <f t="array" ref="D874" xml:space="preserve"> mc(1000, 0, 4, 1, 2, "x^2+y^2")-92/3</f>
        <v>0.17303899203384532</v>
      </c>
      <c r="F874" cm="1">
        <f t="array" ref="F874" xml:space="preserve"> ( mc(100, 3, 4, -1, 1, "EXP(x * sin(y))") ) - 7.39981</f>
        <v>0.8198173439424945</v>
      </c>
      <c r="G874" cm="1">
        <f t="array" ref="G874" xml:space="preserve"> ( mc(500, 3, 4, -1, 1, "EXP(x * sin(y))") ) - 7.39981</f>
        <v>-0.18017159485565237</v>
      </c>
      <c r="H874" cm="1">
        <f t="array" ref="H874" xml:space="preserve"> ( mc(1000, 3, 4, -1, 1, "EXP(x * sin(y))") ) - 7.39981</f>
        <v>0.16151968993695132</v>
      </c>
      <c r="J874" cm="1">
        <f t="array" ref="J874" xml:space="preserve"> mc(100, -PI()/2,0,-1, 1, "ln(EXP(x * y))")</f>
        <v>-0.15711046942006104</v>
      </c>
      <c r="K874" cm="1">
        <f t="array" ref="K874" xml:space="preserve"> mc(500, -PI()/2,0,-1, 1, "ln(EXP(x * y))")</f>
        <v>-4.8777345272461414E-2</v>
      </c>
      <c r="L874" cm="1">
        <f t="array" ref="L874" xml:space="preserve"> mc(1000, -PI()/2,0,-1, 1, "ln(EXP(x * y))")</f>
        <v>5.4437745551212786E-2</v>
      </c>
      <c r="N874" cm="1">
        <f t="array" ref="N874" xml:space="preserve"> mc(100, -PI()/2,PI()/2, 0, 1, "sin(cos(x + y))")-1.48235</f>
        <v>1.8612338770036541E-3</v>
      </c>
      <c r="O874" cm="1">
        <f t="array" ref="O874" xml:space="preserve"> mc(500, -PI()/2,PI()/2, 0, 1, "sin(cos(x + y))")-1.48235</f>
        <v>2.308975247282663E-2</v>
      </c>
      <c r="P874" cm="1">
        <f t="array" ref="P874" xml:space="preserve"> mc(1000, -PI()/2,PI()/2, 0, 1, "sin(cos(x + y))")-1.48235</f>
        <v>-2.2379771906408052E-2</v>
      </c>
    </row>
    <row r="875" spans="1:16" x14ac:dyDescent="0.3">
      <c r="A875">
        <v>845</v>
      </c>
      <c r="B875" cm="1">
        <f t="array" ref="B875" xml:space="preserve"> mc(100, 0, 4, 1, 2, "x^2+y^2")-92/3</f>
        <v>1.1718296090123417</v>
      </c>
      <c r="C875" cm="1">
        <f t="array" ref="C875" xml:space="preserve"> mc(500, 0, 4, 1, 2, "x^2+y^2")-92/3</f>
        <v>1.3359166166941456</v>
      </c>
      <c r="D875" cm="1">
        <f t="array" ref="D875" xml:space="preserve"> mc(1000, 0, 4, 1, 2, "x^2+y^2")-92/3</f>
        <v>-0.70440757027611056</v>
      </c>
      <c r="F875" cm="1">
        <f t="array" ref="F875" xml:space="preserve"> ( mc(100, 3, 4, -1, 1, "EXP(x * sin(y))") ) - 7.39981</f>
        <v>-0.62049389112301423</v>
      </c>
      <c r="G875" cm="1">
        <f t="array" ref="G875" xml:space="preserve"> ( mc(500, 3, 4, -1, 1, "EXP(x * sin(y))") ) - 7.39981</f>
        <v>-0.23637827640691622</v>
      </c>
      <c r="H875" cm="1">
        <f t="array" ref="H875" xml:space="preserve"> ( mc(1000, 3, 4, -1, 1, "EXP(x * sin(y))") ) - 7.39981</f>
        <v>0.16497103718437955</v>
      </c>
      <c r="J875" cm="1">
        <f t="array" ref="J875" xml:space="preserve"> mc(100, -PI()/2,0,-1, 1, "ln(EXP(x * y))")</f>
        <v>-7.4936954373557851E-2</v>
      </c>
      <c r="K875" cm="1">
        <f t="array" ref="K875" xml:space="preserve"> mc(500, -PI()/2,0,-1, 1, "ln(EXP(x * y))")</f>
        <v>-2.2236607023223429E-2</v>
      </c>
      <c r="L875" cm="1">
        <f t="array" ref="L875" xml:space="preserve"> mc(1000, -PI()/2,0,-1, 1, "ln(EXP(x * y))")</f>
        <v>-3.352058670563661E-2</v>
      </c>
      <c r="N875" cm="1">
        <f t="array" ref="N875" xml:space="preserve"> mc(100, -PI()/2,PI()/2, 0, 1, "sin(cos(x + y))")-1.48235</f>
        <v>-1.1137821703590234E-2</v>
      </c>
      <c r="O875" cm="1">
        <f t="array" ref="O875" xml:space="preserve"> mc(500, -PI()/2,PI()/2, 0, 1, "sin(cos(x + y))")-1.48235</f>
        <v>-9.3721662641319092E-2</v>
      </c>
      <c r="P875" cm="1">
        <f t="array" ref="P875" xml:space="preserve"> mc(1000, -PI()/2,PI()/2, 0, 1, "sin(cos(x + y))")-1.48235</f>
        <v>-4.5113038174604547E-3</v>
      </c>
    </row>
    <row r="876" spans="1:16" x14ac:dyDescent="0.3">
      <c r="A876">
        <v>846</v>
      </c>
      <c r="B876" cm="1">
        <f t="array" ref="B876" xml:space="preserve"> mc(100, 0, 4, 1, 2, "x^2+y^2")-92/3</f>
        <v>1.8397676597379622</v>
      </c>
      <c r="C876" cm="1">
        <f t="array" ref="C876" xml:space="preserve"> mc(500, 0, 4, 1, 2, "x^2+y^2")-92/3</f>
        <v>-1.2123859010945104</v>
      </c>
      <c r="D876" cm="1">
        <f t="array" ref="D876" xml:space="preserve"> mc(1000, 0, 4, 1, 2, "x^2+y^2")-92/3</f>
        <v>0.42680346686146464</v>
      </c>
      <c r="F876" cm="1">
        <f t="array" ref="F876" xml:space="preserve"> ( mc(100, 3, 4, -1, 1, "EXP(x * sin(y))") ) - 7.39981</f>
        <v>-0.27875530347183464</v>
      </c>
      <c r="G876" cm="1">
        <f t="array" ref="G876" xml:space="preserve"> ( mc(500, 3, 4, -1, 1, "EXP(x * sin(y))") ) - 7.39981</f>
        <v>-0.62359852357687817</v>
      </c>
      <c r="H876" cm="1">
        <f t="array" ref="H876" xml:space="preserve"> ( mc(1000, 3, 4, -1, 1, "EXP(x * sin(y))") ) - 7.39981</f>
        <v>-7.7596654321718361E-2</v>
      </c>
      <c r="J876" cm="1">
        <f t="array" ref="J876" xml:space="preserve"> mc(100, -PI()/2,0,-1, 1, "ln(EXP(x * y))")</f>
        <v>0.16019348100551203</v>
      </c>
      <c r="K876" cm="1">
        <f t="array" ref="K876" xml:space="preserve"> mc(500, -PI()/2,0,-1, 1, "ln(EXP(x * y))")</f>
        <v>-1.5772836001739603E-2</v>
      </c>
      <c r="L876" cm="1">
        <f t="array" ref="L876" xml:space="preserve"> mc(1000, -PI()/2,0,-1, 1, "ln(EXP(x * y))")</f>
        <v>-1.0741510083158847E-2</v>
      </c>
      <c r="N876" cm="1">
        <f t="array" ref="N876" xml:space="preserve"> mc(100, -PI()/2,PI()/2, 0, 1, "sin(cos(x + y))")-1.48235</f>
        <v>9.2013335320917822E-2</v>
      </c>
      <c r="O876" cm="1">
        <f t="array" ref="O876" xml:space="preserve"> mc(500, -PI()/2,PI()/2, 0, 1, "sin(cos(x + y))")-1.48235</f>
        <v>-8.7803660889740343E-3</v>
      </c>
      <c r="P876" cm="1">
        <f t="array" ref="P876" xml:space="preserve"> mc(1000, -PI()/2,PI()/2, 0, 1, "sin(cos(x + y))")-1.48235</f>
        <v>4.198348275522612E-2</v>
      </c>
    </row>
    <row r="877" spans="1:16" x14ac:dyDescent="0.3">
      <c r="A877">
        <v>847</v>
      </c>
      <c r="B877" cm="1">
        <f t="array" ref="B877" xml:space="preserve"> mc(100, 0, 4, 1, 2, "x^2+y^2")-92/3</f>
        <v>-2.2660056426867357</v>
      </c>
      <c r="C877" cm="1">
        <f t="array" ref="C877" xml:space="preserve"> mc(500, 0, 4, 1, 2, "x^2+y^2")-92/3</f>
        <v>-0.76522729746348617</v>
      </c>
      <c r="D877" cm="1">
        <f t="array" ref="D877" xml:space="preserve"> mc(1000, 0, 4, 1, 2, "x^2+y^2")-92/3</f>
        <v>1.4205526419062728</v>
      </c>
      <c r="F877" cm="1">
        <f t="array" ref="F877" xml:space="preserve"> ( mc(100, 3, 4, -1, 1, "EXP(x * sin(y))") ) - 7.39981</f>
        <v>0.25509757353536511</v>
      </c>
      <c r="G877" cm="1">
        <f t="array" ref="G877" xml:space="preserve"> ( mc(500, 3, 4, -1, 1, "EXP(x * sin(y))") ) - 7.39981</f>
        <v>0.35480743691037553</v>
      </c>
      <c r="H877" cm="1">
        <f t="array" ref="H877" xml:space="preserve"> ( mc(1000, 3, 4, -1, 1, "EXP(x * sin(y))") ) - 7.39981</f>
        <v>-0.27089793378166949</v>
      </c>
      <c r="J877" cm="1">
        <f t="array" ref="J877" xml:space="preserve"> mc(100, -PI()/2,0,-1, 1, "ln(EXP(x * y))")</f>
        <v>0.17252924955416662</v>
      </c>
      <c r="K877" cm="1">
        <f t="array" ref="K877" xml:space="preserve"> mc(500, -PI()/2,0,-1, 1, "ln(EXP(x * y))")</f>
        <v>7.5975150066122082E-3</v>
      </c>
      <c r="L877" cm="1">
        <f t="array" ref="L877" xml:space="preserve"> mc(1000, -PI()/2,0,-1, 1, "ln(EXP(x * y))")</f>
        <v>4.8591380337071693E-2</v>
      </c>
      <c r="N877" cm="1">
        <f t="array" ref="N877" xml:space="preserve"> mc(100, -PI()/2,PI()/2, 0, 1, "sin(cos(x + y))")-1.48235</f>
        <v>-8.5818412995365412E-2</v>
      </c>
      <c r="O877" cm="1">
        <f t="array" ref="O877" xml:space="preserve"> mc(500, -PI()/2,PI()/2, 0, 1, "sin(cos(x + y))")-1.48235</f>
        <v>-5.720631336768589E-2</v>
      </c>
      <c r="P877" cm="1">
        <f t="array" ref="P877" xml:space="preserve"> mc(1000, -PI()/2,PI()/2, 0, 1, "sin(cos(x + y))")-1.48235</f>
        <v>4.9380091537935211E-2</v>
      </c>
    </row>
    <row r="878" spans="1:16" x14ac:dyDescent="0.3">
      <c r="A878">
        <v>848</v>
      </c>
      <c r="B878" cm="1">
        <f t="array" ref="B878" xml:space="preserve"> mc(100, 0, 4, 1, 2, "x^2+y^2")-92/3</f>
        <v>-0.62042816433632098</v>
      </c>
      <c r="C878" cm="1">
        <f t="array" ref="C878" xml:space="preserve"> mc(500, 0, 4, 1, 2, "x^2+y^2")-92/3</f>
        <v>-0.13405481495063043</v>
      </c>
      <c r="D878" cm="1">
        <f t="array" ref="D878" xml:space="preserve"> mc(1000, 0, 4, 1, 2, "x^2+y^2")-92/3</f>
        <v>-0.49527437555319764</v>
      </c>
      <c r="F878" cm="1">
        <f t="array" ref="F878" xml:space="preserve"> ( mc(100, 3, 4, -1, 1, "EXP(x * sin(y))") ) - 7.39981</f>
        <v>4.0845034961888516E-2</v>
      </c>
      <c r="G878" cm="1">
        <f t="array" ref="G878" xml:space="preserve"> ( mc(500, 3, 4, -1, 1, "EXP(x * sin(y))") ) - 7.39981</f>
        <v>0.5763071915641973</v>
      </c>
      <c r="H878" cm="1">
        <f t="array" ref="H878" xml:space="preserve"> ( mc(1000, 3, 4, -1, 1, "EXP(x * sin(y))") ) - 7.39981</f>
        <v>-0.34654501930586079</v>
      </c>
      <c r="J878" cm="1">
        <f t="array" ref="J878" xml:space="preserve"> mc(100, -PI()/2,0,-1, 1, "ln(EXP(x * y))")</f>
        <v>0.13490957613009497</v>
      </c>
      <c r="K878" cm="1">
        <f t="array" ref="K878" xml:space="preserve"> mc(500, -PI()/2,0,-1, 1, "ln(EXP(x * y))")</f>
        <v>-2.7549435241713643E-2</v>
      </c>
      <c r="L878" cm="1">
        <f t="array" ref="L878" xml:space="preserve"> mc(1000, -PI()/2,0,-1, 1, "ln(EXP(x * y))")</f>
        <v>-2.2749247477775181E-2</v>
      </c>
      <c r="N878" cm="1">
        <f t="array" ref="N878" xml:space="preserve"> mc(100, -PI()/2,PI()/2, 0, 1, "sin(cos(x + y))")-1.48235</f>
        <v>1.9403620072708128E-2</v>
      </c>
      <c r="O878" cm="1">
        <f t="array" ref="O878" xml:space="preserve"> mc(500, -PI()/2,PI()/2, 0, 1, "sin(cos(x + y))")-1.48235</f>
        <v>-1.3201483690839177E-2</v>
      </c>
      <c r="P878" cm="1">
        <f t="array" ref="P878" xml:space="preserve"> mc(1000, -PI()/2,PI()/2, 0, 1, "sin(cos(x + y))")-1.48235</f>
        <v>-3.7280425031359199E-2</v>
      </c>
    </row>
    <row r="879" spans="1:16" x14ac:dyDescent="0.3">
      <c r="A879">
        <v>849</v>
      </c>
      <c r="B879" cm="1">
        <f t="array" ref="B879" xml:space="preserve"> mc(100, 0, 4, 1, 2, "x^2+y^2")-92/3</f>
        <v>1.3587100707732453</v>
      </c>
      <c r="C879" cm="1">
        <f t="array" ref="C879" xml:space="preserve"> mc(500, 0, 4, 1, 2, "x^2+y^2")-92/3</f>
        <v>-1.2625438481299796</v>
      </c>
      <c r="D879" cm="1">
        <f t="array" ref="D879" xml:space="preserve"> mc(1000, 0, 4, 1, 2, "x^2+y^2")-92/3</f>
        <v>-0.11527464259398457</v>
      </c>
      <c r="F879" cm="1">
        <f t="array" ref="F879" xml:space="preserve"> ( mc(100, 3, 4, -1, 1, "EXP(x * sin(y))") ) - 7.39981</f>
        <v>-0.63172239933368957</v>
      </c>
      <c r="G879" cm="1">
        <f t="array" ref="G879" xml:space="preserve"> ( mc(500, 3, 4, -1, 1, "EXP(x * sin(y))") ) - 7.39981</f>
        <v>-1.230903966239036</v>
      </c>
      <c r="H879" cm="1">
        <f t="array" ref="H879" xml:space="preserve"> ( mc(1000, 3, 4, -1, 1, "EXP(x * sin(y))") ) - 7.39981</f>
        <v>4.0110132113387209E-2</v>
      </c>
      <c r="J879" cm="1">
        <f t="array" ref="J879" xml:space="preserve"> mc(100, -PI()/2,0,-1, 1, "ln(EXP(x * y))")</f>
        <v>-0.19793155478236657</v>
      </c>
      <c r="K879" cm="1">
        <f t="array" ref="K879" xml:space="preserve"> mc(500, -PI()/2,0,-1, 1, "ln(EXP(x * y))")</f>
        <v>2.4998260374887796E-2</v>
      </c>
      <c r="L879" cm="1">
        <f t="array" ref="L879" xml:space="preserve"> mc(1000, -PI()/2,0,-1, 1, "ln(EXP(x * y))")</f>
        <v>-5.5717530733463111E-2</v>
      </c>
      <c r="N879" cm="1">
        <f t="array" ref="N879" xml:space="preserve"> mc(100, -PI()/2,PI()/2, 0, 1, "sin(cos(x + y))")-1.48235</f>
        <v>-0.21232764130733317</v>
      </c>
      <c r="O879" cm="1">
        <f t="array" ref="O879" xml:space="preserve"> mc(500, -PI()/2,PI()/2, 0, 1, "sin(cos(x + y))")-1.48235</f>
        <v>6.6033170344040215E-2</v>
      </c>
      <c r="P879" cm="1">
        <f t="array" ref="P879" xml:space="preserve"> mc(1000, -PI()/2,PI()/2, 0, 1, "sin(cos(x + y))")-1.48235</f>
        <v>3.16181997094791E-2</v>
      </c>
    </row>
    <row r="880" spans="1:16" x14ac:dyDescent="0.3">
      <c r="A880">
        <v>850</v>
      </c>
      <c r="B880" cm="1">
        <f t="array" ref="B880" xml:space="preserve"> mc(100, 0, 4, 1, 2, "x^2+y^2")-92/3</f>
        <v>1.7449144666476961</v>
      </c>
      <c r="C880" cm="1">
        <f t="array" ref="C880" xml:space="preserve"> mc(500, 0, 4, 1, 2, "x^2+y^2")-92/3</f>
        <v>0.48385463756859437</v>
      </c>
      <c r="D880" cm="1">
        <f t="array" ref="D880" xml:space="preserve"> mc(1000, 0, 4, 1, 2, "x^2+y^2")-92/3</f>
        <v>0.44957942851362276</v>
      </c>
      <c r="F880" cm="1">
        <f t="array" ref="F880" xml:space="preserve"> ( mc(100, 3, 4, -1, 1, "EXP(x * sin(y))") ) - 7.39981</f>
        <v>0.46278646990025951</v>
      </c>
      <c r="G880" cm="1">
        <f t="array" ref="G880" xml:space="preserve"> ( mc(500, 3, 4, -1, 1, "EXP(x * sin(y))") ) - 7.39981</f>
        <v>-0.46797262188185762</v>
      </c>
      <c r="H880" cm="1">
        <f t="array" ref="H880" xml:space="preserve"> ( mc(1000, 3, 4, -1, 1, "EXP(x * sin(y))") ) - 7.39981</f>
        <v>0.76477805958140266</v>
      </c>
      <c r="J880" cm="1">
        <f t="array" ref="J880" xml:space="preserve"> mc(100, -PI()/2,0,-1, 1, "ln(EXP(x * y))")</f>
        <v>4.0226788770548992E-2</v>
      </c>
      <c r="K880" cm="1">
        <f t="array" ref="K880" xml:space="preserve"> mc(500, -PI()/2,0,-1, 1, "ln(EXP(x * y))")</f>
        <v>-5.6625336377448814E-2</v>
      </c>
      <c r="L880" cm="1">
        <f t="array" ref="L880" xml:space="preserve"> mc(1000, -PI()/2,0,-1, 1, "ln(EXP(x * y))")</f>
        <v>9.297996106557592E-3</v>
      </c>
      <c r="N880" cm="1">
        <f t="array" ref="N880" xml:space="preserve"> mc(100, -PI()/2,PI()/2, 0, 1, "sin(cos(x + y))")-1.48235</f>
        <v>0.20878625453044131</v>
      </c>
      <c r="O880" cm="1">
        <f t="array" ref="O880" xml:space="preserve"> mc(500, -PI()/2,PI()/2, 0, 1, "sin(cos(x + y))")-1.48235</f>
        <v>7.8395656254415691E-2</v>
      </c>
      <c r="P880" cm="1">
        <f t="array" ref="P880" xml:space="preserve"> mc(1000, -PI()/2,PI()/2, 0, 1, "sin(cos(x + y))")-1.48235</f>
        <v>-1.964169689126205E-2</v>
      </c>
    </row>
    <row r="881" spans="1:16" x14ac:dyDescent="0.3">
      <c r="A881">
        <v>851</v>
      </c>
      <c r="B881" cm="1">
        <f t="array" ref="B881" xml:space="preserve"> mc(100, 0, 4, 1, 2, "x^2+y^2")-92/3</f>
        <v>-0.58442125371062659</v>
      </c>
      <c r="C881" cm="1">
        <f t="array" ref="C881" xml:space="preserve"> mc(500, 0, 4, 1, 2, "x^2+y^2")-92/3</f>
        <v>0.52917579353226429</v>
      </c>
      <c r="D881" cm="1">
        <f t="array" ref="D881" xml:space="preserve"> mc(1000, 0, 4, 1, 2, "x^2+y^2")-92/3</f>
        <v>-1.1319140658243256</v>
      </c>
      <c r="F881" cm="1">
        <f t="array" ref="F881" xml:space="preserve"> ( mc(100, 3, 4, -1, 1, "EXP(x * sin(y))") ) - 7.39981</f>
        <v>-2.0434489642838711</v>
      </c>
      <c r="G881" cm="1">
        <f t="array" ref="G881" xml:space="preserve"> ( mc(500, 3, 4, -1, 1, "EXP(x * sin(y))") ) - 7.39981</f>
        <v>0.67200527224850859</v>
      </c>
      <c r="H881" cm="1">
        <f t="array" ref="H881" xml:space="preserve"> ( mc(1000, 3, 4, -1, 1, "EXP(x * sin(y))") ) - 7.39981</f>
        <v>-0.40752831313319859</v>
      </c>
      <c r="J881" cm="1">
        <f t="array" ref="J881" xml:space="preserve"> mc(100, -PI()/2,0,-1, 1, "ln(EXP(x * y))")</f>
        <v>-0.19127860762106599</v>
      </c>
      <c r="K881" cm="1">
        <f t="array" ref="K881" xml:space="preserve"> mc(500, -PI()/2,0,-1, 1, "ln(EXP(x * y))")</f>
        <v>5.2646652675391183E-2</v>
      </c>
      <c r="L881" cm="1">
        <f t="array" ref="L881" xml:space="preserve"> mc(1000, -PI()/2,0,-1, 1, "ln(EXP(x * y))")</f>
        <v>5.0353146701733874E-2</v>
      </c>
      <c r="N881" cm="1">
        <f t="array" ref="N881" xml:space="preserve"> mc(100, -PI()/2,PI()/2, 0, 1, "sin(cos(x + y))")-1.48235</f>
        <v>1.0499415636761267E-2</v>
      </c>
      <c r="O881" cm="1">
        <f t="array" ref="O881" xml:space="preserve"> mc(500, -PI()/2,PI()/2, 0, 1, "sin(cos(x + y))")-1.48235</f>
        <v>-4.9943042864852849E-4</v>
      </c>
      <c r="P881" cm="1">
        <f t="array" ref="P881" xml:space="preserve"> mc(1000, -PI()/2,PI()/2, 0, 1, "sin(cos(x + y))")-1.48235</f>
        <v>1.3070168896943235E-2</v>
      </c>
    </row>
    <row r="882" spans="1:16" x14ac:dyDescent="0.3">
      <c r="A882">
        <v>852</v>
      </c>
      <c r="B882" cm="1">
        <f t="array" ref="B882" xml:space="preserve"> mc(100, 0, 4, 1, 2, "x^2+y^2")-92/3</f>
        <v>1.0728024359259543</v>
      </c>
      <c r="C882" cm="1">
        <f t="array" ref="C882" xml:space="preserve"> mc(500, 0, 4, 1, 2, "x^2+y^2")-92/3</f>
        <v>-0.7628760321461634</v>
      </c>
      <c r="D882" cm="1">
        <f t="array" ref="D882" xml:space="preserve"> mc(1000, 0, 4, 1, 2, "x^2+y^2")-92/3</f>
        <v>0.85530201320471022</v>
      </c>
      <c r="F882" cm="1">
        <f t="array" ref="F882" xml:space="preserve"> ( mc(100, 3, 4, -1, 1, "EXP(x * sin(y))") ) - 7.39981</f>
        <v>-1.456787596403406</v>
      </c>
      <c r="G882" cm="1">
        <f t="array" ref="G882" xml:space="preserve"> ( mc(500, 3, 4, -1, 1, "EXP(x * sin(y))") ) - 7.39981</f>
        <v>0.88881827557256088</v>
      </c>
      <c r="H882" cm="1">
        <f t="array" ref="H882" xml:space="preserve"> ( mc(1000, 3, 4, -1, 1, "EXP(x * sin(y))") ) - 7.39981</f>
        <v>-0.54075163540588633</v>
      </c>
      <c r="J882" cm="1">
        <f t="array" ref="J882" xml:space="preserve"> mc(100, -PI()/2,0,-1, 1, "ln(EXP(x * y))")</f>
        <v>-0.13424665769675592</v>
      </c>
      <c r="K882" cm="1">
        <f t="array" ref="K882" xml:space="preserve"> mc(500, -PI()/2,0,-1, 1, "ln(EXP(x * y))")</f>
        <v>2.8787881358811239E-2</v>
      </c>
      <c r="L882" cm="1">
        <f t="array" ref="L882" xml:space="preserve"> mc(1000, -PI()/2,0,-1, 1, "ln(EXP(x * y))")</f>
        <v>-1.3715471721797363E-2</v>
      </c>
      <c r="N882" cm="1">
        <f t="array" ref="N882" xml:space="preserve"> mc(100, -PI()/2,PI()/2, 0, 1, "sin(cos(x + y))")-1.48235</f>
        <v>-1.8523845041336529E-2</v>
      </c>
      <c r="O882" cm="1">
        <f t="array" ref="O882" xml:space="preserve"> mc(500, -PI()/2,PI()/2, 0, 1, "sin(cos(x + y))")-1.48235</f>
        <v>-1.4442071746753271E-2</v>
      </c>
      <c r="P882" cm="1">
        <f t="array" ref="P882" xml:space="preserve"> mc(1000, -PI()/2,PI()/2, 0, 1, "sin(cos(x + y))")-1.48235</f>
        <v>-1.9350871888046184E-2</v>
      </c>
    </row>
    <row r="883" spans="1:16" x14ac:dyDescent="0.3">
      <c r="A883">
        <v>853</v>
      </c>
      <c r="B883" cm="1">
        <f t="array" ref="B883" xml:space="preserve"> mc(100, 0, 4, 1, 2, "x^2+y^2")-92/3</f>
        <v>-1.0977618849099748</v>
      </c>
      <c r="C883" cm="1">
        <f t="array" ref="C883" xml:space="preserve"> mc(500, 0, 4, 1, 2, "x^2+y^2")-92/3</f>
        <v>0.22472889097292637</v>
      </c>
      <c r="D883" cm="1">
        <f t="array" ref="D883" xml:space="preserve"> mc(1000, 0, 4, 1, 2, "x^2+y^2")-92/3</f>
        <v>-0.47788094060269515</v>
      </c>
      <c r="F883" cm="1">
        <f t="array" ref="F883" xml:space="preserve"> ( mc(100, 3, 4, -1, 1, "EXP(x * sin(y))") ) - 7.39981</f>
        <v>-1.6972744999274223</v>
      </c>
      <c r="G883" cm="1">
        <f t="array" ref="G883" xml:space="preserve"> ( mc(500, 3, 4, -1, 1, "EXP(x * sin(y))") ) - 7.39981</f>
        <v>0.17200051562298313</v>
      </c>
      <c r="H883" cm="1">
        <f t="array" ref="H883" xml:space="preserve"> ( mc(1000, 3, 4, -1, 1, "EXP(x * sin(y))") ) - 7.39981</f>
        <v>0.75674209896202704</v>
      </c>
      <c r="J883" cm="1">
        <f t="array" ref="J883" xml:space="preserve"> mc(100, -PI()/2,0,-1, 1, "ln(EXP(x * y))")</f>
        <v>1.0791189012755841E-2</v>
      </c>
      <c r="K883" cm="1">
        <f t="array" ref="K883" xml:space="preserve"> mc(500, -PI()/2,0,-1, 1, "ln(EXP(x * y))")</f>
        <v>-0.12529068135718396</v>
      </c>
      <c r="L883" cm="1">
        <f t="array" ref="L883" xml:space="preserve"> mc(1000, -PI()/2,0,-1, 1, "ln(EXP(x * y))")</f>
        <v>1.0589738032537871E-2</v>
      </c>
      <c r="N883" cm="1">
        <f t="array" ref="N883" xml:space="preserve"> mc(100, -PI()/2,PI()/2, 0, 1, "sin(cos(x + y))")-1.48235</f>
        <v>-0.19724857543456187</v>
      </c>
      <c r="O883" cm="1">
        <f t="array" ref="O883" xml:space="preserve"> mc(500, -PI()/2,PI()/2, 0, 1, "sin(cos(x + y))")-1.48235</f>
        <v>9.0638417069129895E-2</v>
      </c>
      <c r="P883" cm="1">
        <f t="array" ref="P883" xml:space="preserve"> mc(1000, -PI()/2,PI()/2, 0, 1, "sin(cos(x + y))")-1.48235</f>
        <v>-1.1692479643747644E-2</v>
      </c>
    </row>
    <row r="884" spans="1:16" x14ac:dyDescent="0.3">
      <c r="A884">
        <v>854</v>
      </c>
      <c r="B884" cm="1">
        <f t="array" ref="B884" xml:space="preserve"> mc(100, 0, 4, 1, 2, "x^2+y^2")-92/3</f>
        <v>-0.35108420271194873</v>
      </c>
      <c r="C884" cm="1">
        <f t="array" ref="C884" xml:space="preserve"> mc(500, 0, 4, 1, 2, "x^2+y^2")-92/3</f>
        <v>0.25014111908161851</v>
      </c>
      <c r="D884" cm="1">
        <f t="array" ref="D884" xml:space="preserve"> mc(1000, 0, 4, 1, 2, "x^2+y^2")-92/3</f>
        <v>-0.11964096042745354</v>
      </c>
      <c r="F884" cm="1">
        <f t="array" ref="F884" xml:space="preserve"> ( mc(100, 3, 4, -1, 1, "EXP(x * sin(y))") ) - 7.39981</f>
        <v>0.17790683351174774</v>
      </c>
      <c r="G884" cm="1">
        <f t="array" ref="G884" xml:space="preserve"> ( mc(500, 3, 4, -1, 1, "EXP(x * sin(y))") ) - 7.39981</f>
        <v>7.1689753614367469E-2</v>
      </c>
      <c r="H884" cm="1">
        <f t="array" ref="H884" xml:space="preserve"> ( mc(1000, 3, 4, -1, 1, "EXP(x * sin(y))") ) - 7.39981</f>
        <v>0.41244762193189199</v>
      </c>
      <c r="J884" cm="1">
        <f t="array" ref="J884" xml:space="preserve"> mc(100, -PI()/2,0,-1, 1, "ln(EXP(x * y))")</f>
        <v>-6.9725358472646826E-2</v>
      </c>
      <c r="K884" cm="1">
        <f t="array" ref="K884" xml:space="preserve"> mc(500, -PI()/2,0,-1, 1, "ln(EXP(x * y))")</f>
        <v>-0.11919059034820977</v>
      </c>
      <c r="L884" cm="1">
        <f t="array" ref="L884" xml:space="preserve"> mc(1000, -PI()/2,0,-1, 1, "ln(EXP(x * y))")</f>
        <v>7.8164759300358138E-3</v>
      </c>
      <c r="N884" cm="1">
        <f t="array" ref="N884" xml:space="preserve"> mc(100, -PI()/2,PI()/2, 0, 1, "sin(cos(x + y))")-1.48235</f>
        <v>0.13804797807011449</v>
      </c>
      <c r="O884" cm="1">
        <f t="array" ref="O884" xml:space="preserve"> mc(500, -PI()/2,PI()/2, 0, 1, "sin(cos(x + y))")-1.48235</f>
        <v>-5.0186227228624203E-2</v>
      </c>
      <c r="P884" cm="1">
        <f t="array" ref="P884" xml:space="preserve"> mc(1000, -PI()/2,PI()/2, 0, 1, "sin(cos(x + y))")-1.48235</f>
        <v>-6.0877657195601564E-2</v>
      </c>
    </row>
    <row r="885" spans="1:16" x14ac:dyDescent="0.3">
      <c r="A885">
        <v>855</v>
      </c>
      <c r="B885" cm="1">
        <f t="array" ref="B885" xml:space="preserve"> mc(100, 0, 4, 1, 2, "x^2+y^2")-92/3</f>
        <v>-2.2874994979577714</v>
      </c>
      <c r="C885" cm="1">
        <f t="array" ref="C885" xml:space="preserve"> mc(500, 0, 4, 1, 2, "x^2+y^2")-92/3</f>
        <v>-0.40668098853441492</v>
      </c>
      <c r="D885" cm="1">
        <f t="array" ref="D885" xml:space="preserve"> mc(1000, 0, 4, 1, 2, "x^2+y^2")-92/3</f>
        <v>-4.5343570506020114E-3</v>
      </c>
      <c r="F885" cm="1">
        <f t="array" ref="F885" xml:space="preserve"> ( mc(100, 3, 4, -1, 1, "EXP(x * sin(y))") ) - 7.39981</f>
        <v>1.2825039310852517</v>
      </c>
      <c r="G885" cm="1">
        <f t="array" ref="G885" xml:space="preserve"> ( mc(500, 3, 4, -1, 1, "EXP(x * sin(y))") ) - 7.39981</f>
        <v>-0.13473294370780931</v>
      </c>
      <c r="H885" cm="1">
        <f t="array" ref="H885" xml:space="preserve"> ( mc(1000, 3, 4, -1, 1, "EXP(x * sin(y))") ) - 7.39981</f>
        <v>-9.1514130664230642E-2</v>
      </c>
      <c r="J885" cm="1">
        <f t="array" ref="J885" xml:space="preserve"> mc(100, -PI()/2,0,-1, 1, "ln(EXP(x * y))")</f>
        <v>0.22813654674991213</v>
      </c>
      <c r="K885" cm="1">
        <f t="array" ref="K885" xml:space="preserve"> mc(500, -PI()/2,0,-1, 1, "ln(EXP(x * y))")</f>
        <v>-6.952865494837715E-2</v>
      </c>
      <c r="L885" cm="1">
        <f t="array" ref="L885" xml:space="preserve"> mc(1000, -PI()/2,0,-1, 1, "ln(EXP(x * y))")</f>
        <v>1.0829858407168203E-2</v>
      </c>
      <c r="N885" cm="1">
        <f t="array" ref="N885" xml:space="preserve"> mc(100, -PI()/2,PI()/2, 0, 1, "sin(cos(x + y))")-1.48235</f>
        <v>-5.2378146581672613E-2</v>
      </c>
      <c r="O885" cm="1">
        <f t="array" ref="O885" xml:space="preserve"> mc(500, -PI()/2,PI()/2, 0, 1, "sin(cos(x + y))")-1.48235</f>
        <v>4.8778229719855348E-2</v>
      </c>
      <c r="P885" cm="1">
        <f t="array" ref="P885" xml:space="preserve"> mc(1000, -PI()/2,PI()/2, 0, 1, "sin(cos(x + y))")-1.48235</f>
        <v>-1.7434843868870509E-2</v>
      </c>
    </row>
    <row r="886" spans="1:16" x14ac:dyDescent="0.3">
      <c r="A886">
        <v>856</v>
      </c>
      <c r="B886" cm="1">
        <f t="array" ref="B886" xml:space="preserve"> mc(100, 0, 4, 1, 2, "x^2+y^2")-92/3</f>
        <v>-3.1602684097533249</v>
      </c>
      <c r="C886" cm="1">
        <f t="array" ref="C886" xml:space="preserve"> mc(500, 0, 4, 1, 2, "x^2+y^2")-92/3</f>
        <v>1.0131135499049151</v>
      </c>
      <c r="D886" cm="1">
        <f t="array" ref="D886" xml:space="preserve"> mc(1000, 0, 4, 1, 2, "x^2+y^2")-92/3</f>
        <v>1.6428636568772994</v>
      </c>
      <c r="F886" cm="1">
        <f t="array" ref="F886" xml:space="preserve"> ( mc(100, 3, 4, -1, 1, "EXP(x * sin(y))") ) - 7.39981</f>
        <v>-0.90214242498811625</v>
      </c>
      <c r="G886" cm="1">
        <f t="array" ref="G886" xml:space="preserve"> ( mc(500, 3, 4, -1, 1, "EXP(x * sin(y))") ) - 7.39981</f>
        <v>0.12009772649529005</v>
      </c>
      <c r="H886" cm="1">
        <f t="array" ref="H886" xml:space="preserve"> ( mc(1000, 3, 4, -1, 1, "EXP(x * sin(y))") ) - 7.39981</f>
        <v>-0.13596805414528834</v>
      </c>
      <c r="J886" cm="1">
        <f t="array" ref="J886" xml:space="preserve"> mc(100, -PI()/2,0,-1, 1, "ln(EXP(x * y))")</f>
        <v>-0.1316135326913935</v>
      </c>
      <c r="K886" cm="1">
        <f t="array" ref="K886" xml:space="preserve"> mc(500, -PI()/2,0,-1, 1, "ln(EXP(x * y))")</f>
        <v>-1.9999857793090332E-2</v>
      </c>
      <c r="L886" cm="1">
        <f t="array" ref="L886" xml:space="preserve"> mc(1000, -PI()/2,0,-1, 1, "ln(EXP(x * y))")</f>
        <v>7.6198395888190315E-2</v>
      </c>
      <c r="N886" cm="1">
        <f t="array" ref="N886" xml:space="preserve"> mc(100, -PI()/2,PI()/2, 0, 1, "sin(cos(x + y))")-1.48235</f>
        <v>3.5406788521747057E-2</v>
      </c>
      <c r="O886" cm="1">
        <f t="array" ref="O886" xml:space="preserve"> mc(500, -PI()/2,PI()/2, 0, 1, "sin(cos(x + y))")-1.48235</f>
        <v>5.4243275533062185E-2</v>
      </c>
      <c r="P886" cm="1">
        <f t="array" ref="P886" xml:space="preserve"> mc(1000, -PI()/2,PI()/2, 0, 1, "sin(cos(x + y))")-1.48235</f>
        <v>2.8344756289762296E-2</v>
      </c>
    </row>
    <row r="887" spans="1:16" x14ac:dyDescent="0.3">
      <c r="A887">
        <v>857</v>
      </c>
      <c r="B887" cm="1">
        <f t="array" ref="B887" xml:space="preserve"> mc(100, 0, 4, 1, 2, "x^2+y^2")-92/3</f>
        <v>1.5238327026901253</v>
      </c>
      <c r="C887" cm="1">
        <f t="array" ref="C887" xml:space="preserve"> mc(500, 0, 4, 1, 2, "x^2+y^2")-92/3</f>
        <v>4.4812609348156229E-2</v>
      </c>
      <c r="D887" cm="1">
        <f t="array" ref="D887" xml:space="preserve"> mc(1000, 0, 4, 1, 2, "x^2+y^2")-92/3</f>
        <v>1.1277757603411445</v>
      </c>
      <c r="F887" cm="1">
        <f t="array" ref="F887" xml:space="preserve"> ( mc(100, 3, 4, -1, 1, "EXP(x * sin(y))") ) - 7.39981</f>
        <v>-0.28926729205123092</v>
      </c>
      <c r="G887" cm="1">
        <f t="array" ref="G887" xml:space="preserve"> ( mc(500, 3, 4, -1, 1, "EXP(x * sin(y))") ) - 7.39981</f>
        <v>-0.30458690806347111</v>
      </c>
      <c r="H887" cm="1">
        <f t="array" ref="H887" xml:space="preserve"> ( mc(1000, 3, 4, -1, 1, "EXP(x * sin(y))") ) - 7.39981</f>
        <v>-0.23374746660036383</v>
      </c>
      <c r="J887" cm="1">
        <f t="array" ref="J887" xml:space="preserve"> mc(100, -PI()/2,0,-1, 1, "ln(EXP(x * y))")</f>
        <v>-0.17254412637774108</v>
      </c>
      <c r="K887" cm="1">
        <f t="array" ref="K887" xml:space="preserve"> mc(500, -PI()/2,0,-1, 1, "ln(EXP(x * y))")</f>
        <v>1.8349242762818622E-2</v>
      </c>
      <c r="L887" cm="1">
        <f t="array" ref="L887" xml:space="preserve"> mc(1000, -PI()/2,0,-1, 1, "ln(EXP(x * y))")</f>
        <v>6.8963457643125424E-4</v>
      </c>
      <c r="N887" cm="1">
        <f t="array" ref="N887" xml:space="preserve"> mc(100, -PI()/2,PI()/2, 0, 1, "sin(cos(x + y))")-1.48235</f>
        <v>-8.1218570814836966E-2</v>
      </c>
      <c r="O887" cm="1">
        <f t="array" ref="O887" xml:space="preserve"> mc(500, -PI()/2,PI()/2, 0, 1, "sin(cos(x + y))")-1.48235</f>
        <v>7.7625745007162905E-2</v>
      </c>
      <c r="P887" cm="1">
        <f t="array" ref="P887" xml:space="preserve"> mc(1000, -PI()/2,PI()/2, 0, 1, "sin(cos(x + y))")-1.48235</f>
        <v>-2.3540702942204561E-2</v>
      </c>
    </row>
    <row r="888" spans="1:16" x14ac:dyDescent="0.3">
      <c r="A888">
        <v>858</v>
      </c>
      <c r="B888" cm="1">
        <f t="array" ref="B888" xml:space="preserve"> mc(100, 0, 4, 1, 2, "x^2+y^2")-92/3</f>
        <v>1.0275537683081488</v>
      </c>
      <c r="C888" cm="1">
        <f t="array" ref="C888" xml:space="preserve"> mc(500, 0, 4, 1, 2, "x^2+y^2")-92/3</f>
        <v>0.35001273000909094</v>
      </c>
      <c r="D888" cm="1">
        <f t="array" ref="D888" xml:space="preserve"> mc(1000, 0, 4, 1, 2, "x^2+y^2")-92/3</f>
        <v>0.38524143901543439</v>
      </c>
      <c r="F888" cm="1">
        <f t="array" ref="F888" xml:space="preserve"> ( mc(100, 3, 4, -1, 1, "EXP(x * sin(y))") ) - 7.39981</f>
        <v>-0.88715738783025966</v>
      </c>
      <c r="G888" cm="1">
        <f t="array" ref="G888" xml:space="preserve"> ( mc(500, 3, 4, -1, 1, "EXP(x * sin(y))") ) - 7.39981</f>
        <v>-0.64695521102382081</v>
      </c>
      <c r="H888" cm="1">
        <f t="array" ref="H888" xml:space="preserve"> ( mc(1000, 3, 4, -1, 1, "EXP(x * sin(y))") ) - 7.39981</f>
        <v>3.0633455552410815E-2</v>
      </c>
      <c r="J888" cm="1">
        <f t="array" ref="J888" xml:space="preserve"> mc(100, -PI()/2,0,-1, 1, "ln(EXP(x * y))")</f>
        <v>0.13693109001138498</v>
      </c>
      <c r="K888" cm="1">
        <f t="array" ref="K888" xml:space="preserve"> mc(500, -PI()/2,0,-1, 1, "ln(EXP(x * y))")</f>
        <v>1.6070410843851614E-2</v>
      </c>
      <c r="L888" cm="1">
        <f t="array" ref="L888" xml:space="preserve"> mc(1000, -PI()/2,0,-1, 1, "ln(EXP(x * y))")</f>
        <v>7.2336745580058676E-2</v>
      </c>
      <c r="N888" cm="1">
        <f t="array" ref="N888" xml:space="preserve"> mc(100, -PI()/2,PI()/2, 0, 1, "sin(cos(x + y))")-1.48235</f>
        <v>-0.11734901193322855</v>
      </c>
      <c r="O888" cm="1">
        <f t="array" ref="O888" xml:space="preserve"> mc(500, -PI()/2,PI()/2, 0, 1, "sin(cos(x + y))")-1.48235</f>
        <v>2.2227683949852972E-2</v>
      </c>
      <c r="P888" cm="1">
        <f t="array" ref="P888" xml:space="preserve"> mc(1000, -PI()/2,PI()/2, 0, 1, "sin(cos(x + y))")-1.48235</f>
        <v>3.7304367898518542E-3</v>
      </c>
    </row>
    <row r="889" spans="1:16" x14ac:dyDescent="0.3">
      <c r="A889">
        <v>859</v>
      </c>
      <c r="B889" cm="1">
        <f t="array" ref="B889" xml:space="preserve"> mc(100, 0, 4, 1, 2, "x^2+y^2")-92/3</f>
        <v>1.2341873484682928</v>
      </c>
      <c r="C889" cm="1">
        <f t="array" ref="C889" xml:space="preserve"> mc(500, 0, 4, 1, 2, "x^2+y^2")-92/3</f>
        <v>1.2508488930469568</v>
      </c>
      <c r="D889" cm="1">
        <f t="array" ref="D889" xml:space="preserve"> mc(1000, 0, 4, 1, 2, "x^2+y^2")-92/3</f>
        <v>-0.57039266572653702</v>
      </c>
      <c r="F889" cm="1">
        <f t="array" ref="F889" xml:space="preserve"> ( mc(100, 3, 4, -1, 1, "EXP(x * sin(y))") ) - 7.39981</f>
        <v>1.0970237795213844</v>
      </c>
      <c r="G889" cm="1">
        <f t="array" ref="G889" xml:space="preserve"> ( mc(500, 3, 4, -1, 1, "EXP(x * sin(y))") ) - 7.39981</f>
        <v>0.92138529105879741</v>
      </c>
      <c r="H889" cm="1">
        <f t="array" ref="H889" xml:space="preserve"> ( mc(1000, 3, 4, -1, 1, "EXP(x * sin(y))") ) - 7.39981</f>
        <v>-0.34503764491001032</v>
      </c>
      <c r="J889" cm="1">
        <f t="array" ref="J889" xml:space="preserve"> mc(100, -PI()/2,0,-1, 1, "ln(EXP(x * y))")</f>
        <v>0.11174296117369727</v>
      </c>
      <c r="K889" cm="1">
        <f t="array" ref="K889" xml:space="preserve"> mc(500, -PI()/2,0,-1, 1, "ln(EXP(x * y))")</f>
        <v>6.6341372231430287E-2</v>
      </c>
      <c r="L889" cm="1">
        <f t="array" ref="L889" xml:space="preserve"> mc(1000, -PI()/2,0,-1, 1, "ln(EXP(x * y))")</f>
        <v>6.3285426228966352E-2</v>
      </c>
      <c r="N889" cm="1">
        <f t="array" ref="N889" xml:space="preserve"> mc(100, -PI()/2,PI()/2, 0, 1, "sin(cos(x + y))")-1.48235</f>
        <v>0.12906738423477715</v>
      </c>
      <c r="O889" cm="1">
        <f t="array" ref="O889" xml:space="preserve"> mc(500, -PI()/2,PI()/2, 0, 1, "sin(cos(x + y))")-1.48235</f>
        <v>4.749917164234807E-2</v>
      </c>
      <c r="P889" cm="1">
        <f t="array" ref="P889" xml:space="preserve"> mc(1000, -PI()/2,PI()/2, 0, 1, "sin(cos(x + y))")-1.48235</f>
        <v>2.440567852422415E-3</v>
      </c>
    </row>
    <row r="890" spans="1:16" x14ac:dyDescent="0.3">
      <c r="A890">
        <v>860</v>
      </c>
      <c r="B890" cm="1">
        <f t="array" ref="B890" xml:space="preserve"> mc(100, 0, 4, 1, 2, "x^2+y^2")-92/3</f>
        <v>1.6858793285248659</v>
      </c>
      <c r="C890" cm="1">
        <f t="array" ref="C890" xml:space="preserve"> mc(500, 0, 4, 1, 2, "x^2+y^2")-92/3</f>
        <v>-1.1384027972305404</v>
      </c>
      <c r="D890" cm="1">
        <f t="array" ref="D890" xml:space="preserve"> mc(1000, 0, 4, 1, 2, "x^2+y^2")-92/3</f>
        <v>0.79671806420016367</v>
      </c>
      <c r="F890" cm="1">
        <f t="array" ref="F890" xml:space="preserve"> ( mc(100, 3, 4, -1, 1, "EXP(x * sin(y))") ) - 7.39981</f>
        <v>-0.40242165160642873</v>
      </c>
      <c r="G890" cm="1">
        <f t="array" ref="G890" xml:space="preserve"> ( mc(500, 3, 4, -1, 1, "EXP(x * sin(y))") ) - 7.39981</f>
        <v>-0.44295180199921891</v>
      </c>
      <c r="H890" cm="1">
        <f t="array" ref="H890" xml:space="preserve"> ( mc(1000, 3, 4, -1, 1, "EXP(x * sin(y))") ) - 7.39981</f>
        <v>-0.34697811304512527</v>
      </c>
      <c r="J890" cm="1">
        <f t="array" ref="J890" xml:space="preserve"> mc(100, -PI()/2,0,-1, 1, "ln(EXP(x * y))")</f>
        <v>0.19581169845937157</v>
      </c>
      <c r="K890" cm="1">
        <f t="array" ref="K890" xml:space="preserve"> mc(500, -PI()/2,0,-1, 1, "ln(EXP(x * y))")</f>
        <v>-0.11269252553840259</v>
      </c>
      <c r="L890" cm="1">
        <f t="array" ref="L890" xml:space="preserve"> mc(1000, -PI()/2,0,-1, 1, "ln(EXP(x * y))")</f>
        <v>4.5821404748961285E-2</v>
      </c>
      <c r="N890" cm="1">
        <f t="array" ref="N890" xml:space="preserve"> mc(100, -PI()/2,PI()/2, 0, 1, "sin(cos(x + y))")-1.48235</f>
        <v>0.20456329240177085</v>
      </c>
      <c r="O890" cm="1">
        <f t="array" ref="O890" xml:space="preserve"> mc(500, -PI()/2,PI()/2, 0, 1, "sin(cos(x + y))")-1.48235</f>
        <v>-2.3109577167624629E-2</v>
      </c>
      <c r="P890" cm="1">
        <f t="array" ref="P890" xml:space="preserve"> mc(1000, -PI()/2,PI()/2, 0, 1, "sin(cos(x + y))")-1.48235</f>
        <v>-1.6312290735212009E-2</v>
      </c>
    </row>
    <row r="891" spans="1:16" x14ac:dyDescent="0.3">
      <c r="A891">
        <v>861</v>
      </c>
      <c r="B891" cm="1">
        <f t="array" ref="B891" xml:space="preserve"> mc(100, 0, 4, 1, 2, "x^2+y^2")-92/3</f>
        <v>1.0389545299754843</v>
      </c>
      <c r="C891" cm="1">
        <f t="array" ref="C891" xml:space="preserve"> mc(500, 0, 4, 1, 2, "x^2+y^2")-92/3</f>
        <v>-1.2097705171902966</v>
      </c>
      <c r="D891" cm="1">
        <f t="array" ref="D891" xml:space="preserve"> mc(1000, 0, 4, 1, 2, "x^2+y^2")-92/3</f>
        <v>-0.13256457144328593</v>
      </c>
      <c r="F891" cm="1">
        <f t="array" ref="F891" xml:space="preserve"> ( mc(100, 3, 4, -1, 1, "EXP(x * sin(y))") ) - 7.39981</f>
        <v>4.7021599317181639E-2</v>
      </c>
      <c r="G891" cm="1">
        <f t="array" ref="G891" xml:space="preserve"> ( mc(500, 3, 4, -1, 1, "EXP(x * sin(y))") ) - 7.39981</f>
        <v>7.0278393827369889E-2</v>
      </c>
      <c r="H891" cm="1">
        <f t="array" ref="H891" xml:space="preserve"> ( mc(1000, 3, 4, -1, 1, "EXP(x * sin(y))") ) - 7.39981</f>
        <v>-4.1852376624597731E-2</v>
      </c>
      <c r="J891" cm="1">
        <f t="array" ref="J891" xml:space="preserve"> mc(100, -PI()/2,0,-1, 1, "ln(EXP(x * y))")</f>
        <v>-0.17742926994347569</v>
      </c>
      <c r="K891" cm="1">
        <f t="array" ref="K891" xml:space="preserve"> mc(500, -PI()/2,0,-1, 1, "ln(EXP(x * y))")</f>
        <v>7.7225209943292003E-2</v>
      </c>
      <c r="L891" cm="1">
        <f t="array" ref="L891" xml:space="preserve"> mc(1000, -PI()/2,0,-1, 1, "ln(EXP(x * y))")</f>
        <v>9.350353164698097E-2</v>
      </c>
      <c r="N891" cm="1">
        <f t="array" ref="N891" xml:space="preserve"> mc(100, -PI()/2,PI()/2, 0, 1, "sin(cos(x + y))")-1.48235</f>
        <v>3.2702163000147388E-2</v>
      </c>
      <c r="O891" cm="1">
        <f t="array" ref="O891" xml:space="preserve"> mc(500, -PI()/2,PI()/2, 0, 1, "sin(cos(x + y))")-1.48235</f>
        <v>2.9202529603256089E-2</v>
      </c>
      <c r="P891" cm="1">
        <f t="array" ref="P891" xml:space="preserve"> mc(1000, -PI()/2,PI()/2, 0, 1, "sin(cos(x + y))")-1.48235</f>
        <v>-2.5704505426169533E-3</v>
      </c>
    </row>
    <row r="892" spans="1:16" x14ac:dyDescent="0.3">
      <c r="A892">
        <v>862</v>
      </c>
      <c r="B892" cm="1">
        <f t="array" ref="B892" xml:space="preserve"> mc(100, 0, 4, 1, 2, "x^2+y^2")-92/3</f>
        <v>2.9686041149531128</v>
      </c>
      <c r="C892" cm="1">
        <f t="array" ref="C892" xml:space="preserve"> mc(500, 0, 4, 1, 2, "x^2+y^2")-92/3</f>
        <v>0.30403512240156516</v>
      </c>
      <c r="D892" cm="1">
        <f t="array" ref="D892" xml:space="preserve"> mc(1000, 0, 4, 1, 2, "x^2+y^2")-92/3</f>
        <v>-0.15993905982489665</v>
      </c>
      <c r="F892" cm="1">
        <f t="array" ref="F892" xml:space="preserve"> ( mc(100, 3, 4, -1, 1, "EXP(x * sin(y))") ) - 7.39981</f>
        <v>-1.0204932980975769</v>
      </c>
      <c r="G892" cm="1">
        <f t="array" ref="G892" xml:space="preserve"> ( mc(500, 3, 4, -1, 1, "EXP(x * sin(y))") ) - 7.39981</f>
        <v>0.15496492382172011</v>
      </c>
      <c r="H892" cm="1">
        <f t="array" ref="H892" xml:space="preserve"> ( mc(1000, 3, 4, -1, 1, "EXP(x * sin(y))") ) - 7.39981</f>
        <v>0.40996132599470414</v>
      </c>
      <c r="J892" cm="1">
        <f t="array" ref="J892" xml:space="preserve"> mc(100, -PI()/2,0,-1, 1, "ln(EXP(x * y))")</f>
        <v>0.42018346438638615</v>
      </c>
      <c r="K892" cm="1">
        <f t="array" ref="K892" xml:space="preserve"> mc(500, -PI()/2,0,-1, 1, "ln(EXP(x * y))")</f>
        <v>1.9417601480990559E-2</v>
      </c>
      <c r="L892" cm="1">
        <f t="array" ref="L892" xml:space="preserve"> mc(1000, -PI()/2,0,-1, 1, "ln(EXP(x * y))")</f>
        <v>4.0678375151191118E-3</v>
      </c>
      <c r="N892" cm="1">
        <f t="array" ref="N892" xml:space="preserve"> mc(100, -PI()/2,PI()/2, 0, 1, "sin(cos(x + y))")-1.48235</f>
        <v>-0.18265908026667654</v>
      </c>
      <c r="O892" cm="1">
        <f t="array" ref="O892" xml:space="preserve"> mc(500, -PI()/2,PI()/2, 0, 1, "sin(cos(x + y))")-1.48235</f>
        <v>-5.4787899929666928E-3</v>
      </c>
      <c r="P892" cm="1">
        <f t="array" ref="P892" xml:space="preserve"> mc(1000, -PI()/2,PI()/2, 0, 1, "sin(cos(x + y))")-1.48235</f>
        <v>1.6135712226656995E-2</v>
      </c>
    </row>
    <row r="893" spans="1:16" x14ac:dyDescent="0.3">
      <c r="A893">
        <v>863</v>
      </c>
      <c r="B893" cm="1">
        <f t="array" ref="B893" xml:space="preserve"> mc(100, 0, 4, 1, 2, "x^2+y^2")-92/3</f>
        <v>-4.1857783814634217</v>
      </c>
      <c r="C893" cm="1">
        <f t="array" ref="C893" xml:space="preserve"> mc(500, 0, 4, 1, 2, "x^2+y^2")-92/3</f>
        <v>0.26108518403909287</v>
      </c>
      <c r="D893" cm="1">
        <f t="array" ref="D893" xml:space="preserve"> mc(1000, 0, 4, 1, 2, "x^2+y^2")-92/3</f>
        <v>1.031146016294791</v>
      </c>
      <c r="F893" cm="1">
        <f t="array" ref="F893" xml:space="preserve"> ( mc(100, 3, 4, -1, 1, "EXP(x * sin(y))") ) - 7.39981</f>
        <v>3.2074792399106755</v>
      </c>
      <c r="G893" cm="1">
        <f t="array" ref="G893" xml:space="preserve"> ( mc(500, 3, 4, -1, 1, "EXP(x * sin(y))") ) - 7.39981</f>
        <v>-0.49873452822383424</v>
      </c>
      <c r="H893" cm="1">
        <f t="array" ref="H893" xml:space="preserve"> ( mc(1000, 3, 4, -1, 1, "EXP(x * sin(y))") ) - 7.39981</f>
        <v>1.9044860701948885E-2</v>
      </c>
      <c r="J893" cm="1">
        <f t="array" ref="J893" xml:space="preserve"> mc(100, -PI()/2,0,-1, 1, "ln(EXP(x * y))")</f>
        <v>-6.2017853600862372E-2</v>
      </c>
      <c r="K893" cm="1">
        <f t="array" ref="K893" xml:space="preserve"> mc(500, -PI()/2,0,-1, 1, "ln(EXP(x * y))")</f>
        <v>6.6495669932648507E-2</v>
      </c>
      <c r="L893" cm="1">
        <f t="array" ref="L893" xml:space="preserve"> mc(1000, -PI()/2,0,-1, 1, "ln(EXP(x * y))")</f>
        <v>5.4370283953831956E-2</v>
      </c>
      <c r="N893" cm="1">
        <f t="array" ref="N893" xml:space="preserve"> mc(100, -PI()/2,PI()/2, 0, 1, "sin(cos(x + y))")-1.48235</f>
        <v>-3.7947900722395955E-2</v>
      </c>
      <c r="O893" cm="1">
        <f t="array" ref="O893" xml:space="preserve"> mc(500, -PI()/2,PI()/2, 0, 1, "sin(cos(x + y))")-1.48235</f>
        <v>3.21526297314636E-2</v>
      </c>
      <c r="P893" cm="1">
        <f t="array" ref="P893" xml:space="preserve"> mc(1000, -PI()/2,PI()/2, 0, 1, "sin(cos(x + y))")-1.48235</f>
        <v>1.0532137859088131E-2</v>
      </c>
    </row>
    <row r="894" spans="1:16" x14ac:dyDescent="0.3">
      <c r="A894">
        <v>864</v>
      </c>
      <c r="B894" cm="1">
        <f t="array" ref="B894" xml:space="preserve"> mc(100, 0, 4, 1, 2, "x^2+y^2")-92/3</f>
        <v>-0.1917781791196802</v>
      </c>
      <c r="C894" cm="1">
        <f t="array" ref="C894" xml:space="preserve"> mc(500, 0, 4, 1, 2, "x^2+y^2")-92/3</f>
        <v>0.52455871596710324</v>
      </c>
      <c r="D894" cm="1">
        <f t="array" ref="D894" xml:space="preserve"> mc(1000, 0, 4, 1, 2, "x^2+y^2")-92/3</f>
        <v>0.27723950848828238</v>
      </c>
      <c r="F894" cm="1">
        <f t="array" ref="F894" xml:space="preserve"> ( mc(100, 3, 4, -1, 1, "EXP(x * sin(y))") ) - 7.39981</f>
        <v>-0.67677633033422868</v>
      </c>
      <c r="G894" cm="1">
        <f t="array" ref="G894" xml:space="preserve"> ( mc(500, 3, 4, -1, 1, "EXP(x * sin(y))") ) - 7.39981</f>
        <v>0.11667429028929277</v>
      </c>
      <c r="H894" cm="1">
        <f t="array" ref="H894" xml:space="preserve"> ( mc(1000, 3, 4, -1, 1, "EXP(x * sin(y))") ) - 7.39981</f>
        <v>0.10595497089609296</v>
      </c>
      <c r="J894" cm="1">
        <f t="array" ref="J894" xml:space="preserve"> mc(100, -PI()/2,0,-1, 1, "ln(EXP(x * y))")</f>
        <v>1.6003383995258341E-2</v>
      </c>
      <c r="K894" cm="1">
        <f t="array" ref="K894" xml:space="preserve"> mc(500, -PI()/2,0,-1, 1, "ln(EXP(x * y))")</f>
        <v>0.12905983531508083</v>
      </c>
      <c r="L894" cm="1">
        <f t="array" ref="L894" xml:space="preserve"> mc(1000, -PI()/2,0,-1, 1, "ln(EXP(x * y))")</f>
        <v>9.8415396832493798E-2</v>
      </c>
      <c r="N894" cm="1">
        <f t="array" ref="N894" xml:space="preserve"> mc(100, -PI()/2,PI()/2, 0, 1, "sin(cos(x + y))")-1.48235</f>
        <v>-1.1742101915623859E-3</v>
      </c>
      <c r="O894" cm="1">
        <f t="array" ref="O894" xml:space="preserve"> mc(500, -PI()/2,PI()/2, 0, 1, "sin(cos(x + y))")-1.48235</f>
        <v>1.8785545801538905E-2</v>
      </c>
      <c r="P894" cm="1">
        <f t="array" ref="P894" xml:space="preserve"> mc(1000, -PI()/2,PI()/2, 0, 1, "sin(cos(x + y))")-1.48235</f>
        <v>6.4679756940014155E-2</v>
      </c>
    </row>
    <row r="895" spans="1:16" x14ac:dyDescent="0.3">
      <c r="A895">
        <v>865</v>
      </c>
      <c r="B895" cm="1">
        <f t="array" ref="B895" xml:space="preserve"> mc(100, 0, 4, 1, 2, "x^2+y^2")-92/3</f>
        <v>-1.978724563795037</v>
      </c>
      <c r="C895" cm="1">
        <f t="array" ref="C895" xml:space="preserve"> mc(500, 0, 4, 1, 2, "x^2+y^2")-92/3</f>
        <v>-0.22739286946489656</v>
      </c>
      <c r="D895" cm="1">
        <f t="array" ref="D895" xml:space="preserve"> mc(1000, 0, 4, 1, 2, "x^2+y^2")-92/3</f>
        <v>-0.81507372542487744</v>
      </c>
      <c r="F895" cm="1">
        <f t="array" ref="F895" xml:space="preserve"> ( mc(100, 3, 4, -1, 1, "EXP(x * sin(y))") ) - 7.39981</f>
        <v>0.22578070297827679</v>
      </c>
      <c r="G895" cm="1">
        <f t="array" ref="G895" xml:space="preserve"> ( mc(500, 3, 4, -1, 1, "EXP(x * sin(y))") ) - 7.39981</f>
        <v>5.2828831207262894E-2</v>
      </c>
      <c r="H895" cm="1">
        <f t="array" ref="H895" xml:space="preserve"> ( mc(1000, 3, 4, -1, 1, "EXP(x * sin(y))") ) - 7.39981</f>
        <v>-0.42237093089081323</v>
      </c>
      <c r="J895" cm="1">
        <f t="array" ref="J895" xml:space="preserve"> mc(100, -PI()/2,0,-1, 1, "ln(EXP(x * y))")</f>
        <v>3.7319378226395285E-2</v>
      </c>
      <c r="K895" cm="1">
        <f t="array" ref="K895" xml:space="preserve"> mc(500, -PI()/2,0,-1, 1, "ln(EXP(x * y))")</f>
        <v>3.4373253626557215E-2</v>
      </c>
      <c r="L895" cm="1">
        <f t="array" ref="L895" xml:space="preserve"> mc(1000, -PI()/2,0,-1, 1, "ln(EXP(x * y))")</f>
        <v>-5.6498764448214549E-2</v>
      </c>
      <c r="N895" cm="1">
        <f t="array" ref="N895" xml:space="preserve"> mc(100, -PI()/2,PI()/2, 0, 1, "sin(cos(x + y))")-1.48235</f>
        <v>-5.0249576647099614E-2</v>
      </c>
      <c r="O895" cm="1">
        <f t="array" ref="O895" xml:space="preserve"> mc(500, -PI()/2,PI()/2, 0, 1, "sin(cos(x + y))")-1.48235</f>
        <v>-2.1637003197570781E-2</v>
      </c>
      <c r="P895" cm="1">
        <f t="array" ref="P895" xml:space="preserve"> mc(1000, -PI()/2,PI()/2, 0, 1, "sin(cos(x + y))")-1.48235</f>
        <v>3.671059893379347E-3</v>
      </c>
    </row>
    <row r="896" spans="1:16" x14ac:dyDescent="0.3">
      <c r="A896">
        <v>866</v>
      </c>
      <c r="B896" cm="1">
        <f t="array" ref="B896" xml:space="preserve"> mc(100, 0, 4, 1, 2, "x^2+y^2")-92/3</f>
        <v>-4.2319573170638698</v>
      </c>
      <c r="C896" cm="1">
        <f t="array" ref="C896" xml:space="preserve"> mc(500, 0, 4, 1, 2, "x^2+y^2")-92/3</f>
        <v>0.96438892843892177</v>
      </c>
      <c r="D896" cm="1">
        <f t="array" ref="D896" xml:space="preserve"> mc(1000, 0, 4, 1, 2, "x^2+y^2")-92/3</f>
        <v>-0.54332215161456077</v>
      </c>
      <c r="F896" cm="1">
        <f t="array" ref="F896" xml:space="preserve"> ( mc(100, 3, 4, -1, 1, "EXP(x * sin(y))") ) - 7.39981</f>
        <v>0.34352917418112572</v>
      </c>
      <c r="G896" cm="1">
        <f t="array" ref="G896" xml:space="preserve"> ( mc(500, 3, 4, -1, 1, "EXP(x * sin(y))") ) - 7.39981</f>
        <v>-0.73918890852080832</v>
      </c>
      <c r="H896" cm="1">
        <f t="array" ref="H896" xml:space="preserve"> ( mc(1000, 3, 4, -1, 1, "EXP(x * sin(y))") ) - 7.39981</f>
        <v>0.72227030081794119</v>
      </c>
      <c r="J896" cm="1">
        <f t="array" ref="J896" xml:space="preserve"> mc(100, -PI()/2,0,-1, 1, "ln(EXP(x * y))")</f>
        <v>2.9364908407876134E-2</v>
      </c>
      <c r="K896" cm="1">
        <f t="array" ref="K896" xml:space="preserve"> mc(500, -PI()/2,0,-1, 1, "ln(EXP(x * y))")</f>
        <v>0.10878528786369675</v>
      </c>
      <c r="L896" cm="1">
        <f t="array" ref="L896" xml:space="preserve"> mc(1000, -PI()/2,0,-1, 1, "ln(EXP(x * y))")</f>
        <v>-1.3988925463688958E-2</v>
      </c>
      <c r="N896" cm="1">
        <f t="array" ref="N896" xml:space="preserve"> mc(100, -PI()/2,PI()/2, 0, 1, "sin(cos(x + y))")-1.48235</f>
        <v>0.17057783286842176</v>
      </c>
      <c r="O896" cm="1">
        <f t="array" ref="O896" xml:space="preserve"> mc(500, -PI()/2,PI()/2, 0, 1, "sin(cos(x + y))")-1.48235</f>
        <v>5.6838920196351728E-2</v>
      </c>
      <c r="P896" cm="1">
        <f t="array" ref="P896" xml:space="preserve"> mc(1000, -PI()/2,PI()/2, 0, 1, "sin(cos(x + y))")-1.48235</f>
        <v>-3.8937208238865484E-2</v>
      </c>
    </row>
    <row r="897" spans="1:16" x14ac:dyDescent="0.3">
      <c r="A897">
        <v>867</v>
      </c>
      <c r="B897" cm="1">
        <f t="array" ref="B897" xml:space="preserve"> mc(100, 0, 4, 1, 2, "x^2+y^2")-92/3</f>
        <v>-1.0497654505294953</v>
      </c>
      <c r="C897" cm="1">
        <f t="array" ref="C897" xml:space="preserve"> mc(500, 0, 4, 1, 2, "x^2+y^2")-92/3</f>
        <v>-1.7734959172520028</v>
      </c>
      <c r="D897" cm="1">
        <f t="array" ref="D897" xml:space="preserve"> mc(1000, 0, 4, 1, 2, "x^2+y^2")-92/3</f>
        <v>-0.3012676630404556</v>
      </c>
      <c r="F897" cm="1">
        <f t="array" ref="F897" xml:space="preserve"> ( mc(100, 3, 4, -1, 1, "EXP(x * sin(y))") ) - 7.39981</f>
        <v>1.0706719833025886</v>
      </c>
      <c r="G897" cm="1">
        <f t="array" ref="G897" xml:space="preserve"> ( mc(500, 3, 4, -1, 1, "EXP(x * sin(y))") ) - 7.39981</f>
        <v>-0.50746994664227074</v>
      </c>
      <c r="H897" cm="1">
        <f t="array" ref="H897" xml:space="preserve"> ( mc(1000, 3, 4, -1, 1, "EXP(x * sin(y))") ) - 7.39981</f>
        <v>-0.36703161263067408</v>
      </c>
      <c r="J897" cm="1">
        <f t="array" ref="J897" xml:space="preserve"> mc(100, -PI()/2,0,-1, 1, "ln(EXP(x * y))")</f>
        <v>9.6446343972068985E-2</v>
      </c>
      <c r="K897" cm="1">
        <f t="array" ref="K897" xml:space="preserve"> mc(500, -PI()/2,0,-1, 1, "ln(EXP(x * y))")</f>
        <v>4.7069425473129416E-2</v>
      </c>
      <c r="L897" cm="1">
        <f t="array" ref="L897" xml:space="preserve"> mc(1000, -PI()/2,0,-1, 1, "ln(EXP(x * y))")</f>
        <v>-9.0250573069804704E-2</v>
      </c>
      <c r="N897" cm="1">
        <f t="array" ref="N897" xml:space="preserve"> mc(100, -PI()/2,PI()/2, 0, 1, "sin(cos(x + y))")-1.48235</f>
        <v>-3.8555914155447013E-3</v>
      </c>
      <c r="O897" cm="1">
        <f t="array" ref="O897" xml:space="preserve"> mc(500, -PI()/2,PI()/2, 0, 1, "sin(cos(x + y))")-1.48235</f>
        <v>2.0927405796071774E-2</v>
      </c>
      <c r="P897" cm="1">
        <f t="array" ref="P897" xml:space="preserve"> mc(1000, -PI()/2,PI()/2, 0, 1, "sin(cos(x + y))")-1.48235</f>
        <v>-5.3083334948382355E-2</v>
      </c>
    </row>
    <row r="898" spans="1:16" x14ac:dyDescent="0.3">
      <c r="A898">
        <v>868</v>
      </c>
      <c r="B898" cm="1">
        <f t="array" ref="B898" xml:space="preserve"> mc(100, 0, 4, 1, 2, "x^2+y^2")-92/3</f>
        <v>-3.4409201865384169</v>
      </c>
      <c r="C898" cm="1">
        <f t="array" ref="C898" xml:space="preserve"> mc(500, 0, 4, 1, 2, "x^2+y^2")-92/3</f>
        <v>-0.33105517759731029</v>
      </c>
      <c r="D898" cm="1">
        <f t="array" ref="D898" xml:space="preserve"> mc(1000, 0, 4, 1, 2, "x^2+y^2")-92/3</f>
        <v>0.74745904713043387</v>
      </c>
      <c r="F898" cm="1">
        <f t="array" ref="F898" xml:space="preserve"> ( mc(100, 3, 4, -1, 1, "EXP(x * sin(y))") ) - 7.39981</f>
        <v>-0.77242517615865669</v>
      </c>
      <c r="G898" cm="1">
        <f t="array" ref="G898" xml:space="preserve"> ( mc(500, 3, 4, -1, 1, "EXP(x * sin(y))") ) - 7.39981</f>
        <v>0.50564984902893695</v>
      </c>
      <c r="H898" cm="1">
        <f t="array" ref="H898" xml:space="preserve"> ( mc(1000, 3, 4, -1, 1, "EXP(x * sin(y))") ) - 7.39981</f>
        <v>-0.12122198252574545</v>
      </c>
      <c r="J898" cm="1">
        <f t="array" ref="J898" xml:space="preserve"> mc(100, -PI()/2,0,-1, 1, "ln(EXP(x * y))")</f>
        <v>0.19767520005325415</v>
      </c>
      <c r="K898" cm="1">
        <f t="array" ref="K898" xml:space="preserve"> mc(500, -PI()/2,0,-1, 1, "ln(EXP(x * y))")</f>
        <v>-4.803042031950825E-2</v>
      </c>
      <c r="L898" cm="1">
        <f t="array" ref="L898" xml:space="preserve"> mc(1000, -PI()/2,0,-1, 1, "ln(EXP(x * y))")</f>
        <v>2.4510132464725463E-2</v>
      </c>
      <c r="N898" cm="1">
        <f t="array" ref="N898" xml:space="preserve"> mc(100, -PI()/2,PI()/2, 0, 1, "sin(cos(x + y))")-1.48235</f>
        <v>-7.6286494149788719E-3</v>
      </c>
      <c r="O898" cm="1">
        <f t="array" ref="O898" xml:space="preserve"> mc(500, -PI()/2,PI()/2, 0, 1, "sin(cos(x + y))")-1.48235</f>
        <v>-1.4689382570990617E-2</v>
      </c>
      <c r="P898" cm="1">
        <f t="array" ref="P898" xml:space="preserve"> mc(1000, -PI()/2,PI()/2, 0, 1, "sin(cos(x + y))")-1.48235</f>
        <v>2.980731726367658E-2</v>
      </c>
    </row>
    <row r="899" spans="1:16" x14ac:dyDescent="0.3">
      <c r="A899">
        <v>869</v>
      </c>
      <c r="B899" cm="1">
        <f t="array" ref="B899" xml:space="preserve"> mc(100, 0, 4, 1, 2, "x^2+y^2")-92/3</f>
        <v>1.4141772836547126</v>
      </c>
      <c r="C899" cm="1">
        <f t="array" ref="C899" xml:space="preserve"> mc(500, 0, 4, 1, 2, "x^2+y^2")-92/3</f>
        <v>-0.97414515904428001</v>
      </c>
      <c r="D899" cm="1">
        <f t="array" ref="D899" xml:space="preserve"> mc(1000, 0, 4, 1, 2, "x^2+y^2")-92/3</f>
        <v>1.1104057834842536</v>
      </c>
      <c r="F899" cm="1">
        <f t="array" ref="F899" xml:space="preserve"> ( mc(100, 3, 4, -1, 1, "EXP(x * sin(y))") ) - 7.39981</f>
        <v>-0.4205624803156871</v>
      </c>
      <c r="G899" cm="1">
        <f t="array" ref="G899" xml:space="preserve"> ( mc(500, 3, 4, -1, 1, "EXP(x * sin(y))") ) - 7.39981</f>
        <v>-0.20814998894576409</v>
      </c>
      <c r="H899" cm="1">
        <f t="array" ref="H899" xml:space="preserve"> ( mc(1000, 3, 4, -1, 1, "EXP(x * sin(y))") ) - 7.39981</f>
        <v>-0.42149947350716843</v>
      </c>
      <c r="J899" cm="1">
        <f t="array" ref="J899" xml:space="preserve"> mc(100, -PI()/2,0,-1, 1, "ln(EXP(x * y))")</f>
        <v>-0.28586331608469889</v>
      </c>
      <c r="K899" cm="1">
        <f t="array" ref="K899" xml:space="preserve"> mc(500, -PI()/2,0,-1, 1, "ln(EXP(x * y))")</f>
        <v>-8.4734413930485558E-2</v>
      </c>
      <c r="L899" cm="1">
        <f t="array" ref="L899" xml:space="preserve"> mc(1000, -PI()/2,0,-1, 1, "ln(EXP(x * y))")</f>
        <v>6.0961696082446404E-4</v>
      </c>
      <c r="N899" cm="1">
        <f t="array" ref="N899" xml:space="preserve"> mc(100, -PI()/2,PI()/2, 0, 1, "sin(cos(x + y))")-1.48235</f>
        <v>-8.607160249558321E-3</v>
      </c>
      <c r="O899" cm="1">
        <f t="array" ref="O899" xml:space="preserve"> mc(500, -PI()/2,PI()/2, 0, 1, "sin(cos(x + y))")-1.48235</f>
        <v>4.2124868537476212E-2</v>
      </c>
      <c r="P899" cm="1">
        <f t="array" ref="P899" xml:space="preserve"> mc(1000, -PI()/2,PI()/2, 0, 1, "sin(cos(x + y))")-1.48235</f>
        <v>-1.5054556968161492E-2</v>
      </c>
    </row>
    <row r="900" spans="1:16" x14ac:dyDescent="0.3">
      <c r="A900">
        <v>870</v>
      </c>
      <c r="B900" cm="1">
        <f t="array" ref="B900" xml:space="preserve"> mc(100, 0, 4, 1, 2, "x^2+y^2")-92/3</f>
        <v>2.1701900857338252</v>
      </c>
      <c r="C900" cm="1">
        <f t="array" ref="C900" xml:space="preserve"> mc(500, 0, 4, 1, 2, "x^2+y^2")-92/3</f>
        <v>-1.4630648381774307</v>
      </c>
      <c r="D900" cm="1">
        <f t="array" ref="D900" xml:space="preserve"> mc(1000, 0, 4, 1, 2, "x^2+y^2")-92/3</f>
        <v>-0.54912475031659724</v>
      </c>
      <c r="F900" cm="1">
        <f t="array" ref="F900" xml:space="preserve"> ( mc(100, 3, 4, -1, 1, "EXP(x * sin(y))") ) - 7.39981</f>
        <v>-0.58402491067143458</v>
      </c>
      <c r="G900" cm="1">
        <f t="array" ref="G900" xml:space="preserve"> ( mc(500, 3, 4, -1, 1, "EXP(x * sin(y))") ) - 7.39981</f>
        <v>-0.44974184749822932</v>
      </c>
      <c r="H900" cm="1">
        <f t="array" ref="H900" xml:space="preserve"> ( mc(1000, 3, 4, -1, 1, "EXP(x * sin(y))") ) - 7.39981</f>
        <v>0.13868317848698197</v>
      </c>
      <c r="J900" cm="1">
        <f t="array" ref="J900" xml:space="preserve"> mc(100, -PI()/2,0,-1, 1, "ln(EXP(x * y))")</f>
        <v>-0.40485975366234239</v>
      </c>
      <c r="K900" cm="1">
        <f t="array" ref="K900" xml:space="preserve"> mc(500, -PI()/2,0,-1, 1, "ln(EXP(x * y))")</f>
        <v>-0.12268371338146833</v>
      </c>
      <c r="L900" cm="1">
        <f t="array" ref="L900" xml:space="preserve"> mc(1000, -PI()/2,0,-1, 1, "ln(EXP(x * y))")</f>
        <v>-1.2407712665943475E-2</v>
      </c>
      <c r="N900" cm="1">
        <f t="array" ref="N900" xml:space="preserve"> mc(100, -PI()/2,PI()/2, 0, 1, "sin(cos(x + y))")-1.48235</f>
        <v>-0.11998941900546711</v>
      </c>
      <c r="O900" cm="1">
        <f t="array" ref="O900" xml:space="preserve"> mc(500, -PI()/2,PI()/2, 0, 1, "sin(cos(x + y))")-1.48235</f>
        <v>-9.8479819383290756E-2</v>
      </c>
      <c r="P900" cm="1">
        <f t="array" ref="P900" xml:space="preserve"> mc(1000, -PI()/2,PI()/2, 0, 1, "sin(cos(x + y))")-1.48235</f>
        <v>-6.8527174635697907E-2</v>
      </c>
    </row>
    <row r="901" spans="1:16" x14ac:dyDescent="0.3">
      <c r="A901">
        <v>871</v>
      </c>
      <c r="B901" cm="1">
        <f t="array" ref="B901" xml:space="preserve"> mc(100, 0, 4, 1, 2, "x^2+y^2")-92/3</f>
        <v>-2.7828651196527332</v>
      </c>
      <c r="C901" cm="1">
        <f t="array" ref="C901" xml:space="preserve"> mc(500, 0, 4, 1, 2, "x^2+y^2")-92/3</f>
        <v>0.94063788127114378</v>
      </c>
      <c r="D901" cm="1">
        <f t="array" ref="D901" xml:space="preserve"> mc(1000, 0, 4, 1, 2, "x^2+y^2")-92/3</f>
        <v>-0.29090064675631311</v>
      </c>
      <c r="F901" cm="1">
        <f t="array" ref="F901" xml:space="preserve"> ( mc(100, 3, 4, -1, 1, "EXP(x * sin(y))") ) - 7.39981</f>
        <v>1.2813028247759704</v>
      </c>
      <c r="G901" cm="1">
        <f t="array" ref="G901" xml:space="preserve"> ( mc(500, 3, 4, -1, 1, "EXP(x * sin(y))") ) - 7.39981</f>
        <v>-8.9774348303958362E-2</v>
      </c>
      <c r="H901" cm="1">
        <f t="array" ref="H901" xml:space="preserve"> ( mc(1000, 3, 4, -1, 1, "EXP(x * sin(y))") ) - 7.39981</f>
        <v>-0.37233017335294871</v>
      </c>
      <c r="J901" cm="1">
        <f t="array" ref="J901" xml:space="preserve"> mc(100, -PI()/2,0,-1, 1, "ln(EXP(x * y))")</f>
        <v>1.6320453109393836E-2</v>
      </c>
      <c r="K901" cm="1">
        <f t="array" ref="K901" xml:space="preserve"> mc(500, -PI()/2,0,-1, 1, "ln(EXP(x * y))")</f>
        <v>-0.10015823933372132</v>
      </c>
      <c r="L901" cm="1">
        <f t="array" ref="L901" xml:space="preserve"> mc(1000, -PI()/2,0,-1, 1, "ln(EXP(x * y))")</f>
        <v>-8.1041212183239036E-2</v>
      </c>
      <c r="N901" cm="1">
        <f t="array" ref="N901" xml:space="preserve"> mc(100, -PI()/2,PI()/2, 0, 1, "sin(cos(x + y))")-1.48235</f>
        <v>3.222734863225174E-2</v>
      </c>
      <c r="O901" cm="1">
        <f t="array" ref="O901" xml:space="preserve"> mc(500, -PI()/2,PI()/2, 0, 1, "sin(cos(x + y))")-1.48235</f>
        <v>8.8906781535907031E-2</v>
      </c>
      <c r="P901" cm="1">
        <f t="array" ref="P901" xml:space="preserve"> mc(1000, -PI()/2,PI()/2, 0, 1, "sin(cos(x + y))")-1.48235</f>
        <v>-3.2049866345180034E-2</v>
      </c>
    </row>
    <row r="902" spans="1:16" x14ac:dyDescent="0.3">
      <c r="A902">
        <v>872</v>
      </c>
      <c r="B902" cm="1">
        <f t="array" ref="B902" xml:space="preserve"> mc(100, 0, 4, 1, 2, "x^2+y^2")-92/3</f>
        <v>1.016715406351473</v>
      </c>
      <c r="C902" cm="1">
        <f t="array" ref="C902" xml:space="preserve"> mc(500, 0, 4, 1, 2, "x^2+y^2")-92/3</f>
        <v>0.19166379818054224</v>
      </c>
      <c r="D902" cm="1">
        <f t="array" ref="D902" xml:space="preserve"> mc(1000, 0, 4, 1, 2, "x^2+y^2")-92/3</f>
        <v>3.4425080036367461E-2</v>
      </c>
      <c r="F902" cm="1">
        <f t="array" ref="F902" xml:space="preserve"> ( mc(100, 3, 4, -1, 1, "EXP(x * sin(y))") ) - 7.39981</f>
        <v>1.6627879273943549</v>
      </c>
      <c r="G902" cm="1">
        <f t="array" ref="G902" xml:space="preserve"> ( mc(500, 3, 4, -1, 1, "EXP(x * sin(y))") ) - 7.39981</f>
        <v>0.63604545707632987</v>
      </c>
      <c r="H902" cm="1">
        <f t="array" ref="H902" xml:space="preserve"> ( mc(1000, 3, 4, -1, 1, "EXP(x * sin(y))") ) - 7.39981</f>
        <v>-1.3990185026011126E-2</v>
      </c>
      <c r="J902" cm="1">
        <f t="array" ref="J902" xml:space="preserve"> mc(100, -PI()/2,0,-1, 1, "ln(EXP(x * y))")</f>
        <v>-9.2455215596675494E-2</v>
      </c>
      <c r="K902" cm="1">
        <f t="array" ref="K902" xml:space="preserve"> mc(500, -PI()/2,0,-1, 1, "ln(EXP(x * y))")</f>
        <v>9.1344832375757634E-2</v>
      </c>
      <c r="L902" cm="1">
        <f t="array" ref="L902" xml:space="preserve"> mc(1000, -PI()/2,0,-1, 1, "ln(EXP(x * y))")</f>
        <v>-0.13900890426288473</v>
      </c>
      <c r="N902" cm="1">
        <f t="array" ref="N902" xml:space="preserve"> mc(100, -PI()/2,PI()/2, 0, 1, "sin(cos(x + y))")-1.48235</f>
        <v>-0.23192387419483507</v>
      </c>
      <c r="O902" cm="1">
        <f t="array" ref="O902" xml:space="preserve"> mc(500, -PI()/2,PI()/2, 0, 1, "sin(cos(x + y))")-1.48235</f>
        <v>-5.740390575505927E-2</v>
      </c>
      <c r="P902" cm="1">
        <f t="array" ref="P902" xml:space="preserve"> mc(1000, -PI()/2,PI()/2, 0, 1, "sin(cos(x + y))")-1.48235</f>
        <v>2.9754993547414399E-2</v>
      </c>
    </row>
    <row r="903" spans="1:16" x14ac:dyDescent="0.3">
      <c r="A903">
        <v>873</v>
      </c>
      <c r="B903" cm="1">
        <f t="array" ref="B903" xml:space="preserve"> mc(100, 0, 4, 1, 2, "x^2+y^2")-92/3</f>
        <v>-0.3647127926320799</v>
      </c>
      <c r="C903" cm="1">
        <f t="array" ref="C903" xml:space="preserve"> mc(500, 0, 4, 1, 2, "x^2+y^2")-92/3</f>
        <v>0.5994371624809105</v>
      </c>
      <c r="D903" cm="1">
        <f t="array" ref="D903" xml:space="preserve"> mc(1000, 0, 4, 1, 2, "x^2+y^2")-92/3</f>
        <v>-1.0393430312774896</v>
      </c>
      <c r="F903" cm="1">
        <f t="array" ref="F903" xml:space="preserve"> ( mc(100, 3, 4, -1, 1, "EXP(x * sin(y))") ) - 7.39981</f>
        <v>0.64491974336012348</v>
      </c>
      <c r="G903" cm="1">
        <f t="array" ref="G903" xml:space="preserve"> ( mc(500, 3, 4, -1, 1, "EXP(x * sin(y))") ) - 7.39981</f>
        <v>0.12573935598090991</v>
      </c>
      <c r="H903" cm="1">
        <f t="array" ref="H903" xml:space="preserve"> ( mc(1000, 3, 4, -1, 1, "EXP(x * sin(y))") ) - 7.39981</f>
        <v>-8.6105711591113909E-2</v>
      </c>
      <c r="J903" cm="1">
        <f t="array" ref="J903" xml:space="preserve"> mc(100, -PI()/2,0,-1, 1, "ln(EXP(x * y))")</f>
        <v>1.0128304097105897E-2</v>
      </c>
      <c r="K903" cm="1">
        <f t="array" ref="K903" xml:space="preserve"> mc(500, -PI()/2,0,-1, 1, "ln(EXP(x * y))")</f>
        <v>4.2059600830401207E-3</v>
      </c>
      <c r="L903" cm="1">
        <f t="array" ref="L903" xml:space="preserve"> mc(1000, -PI()/2,0,-1, 1, "ln(EXP(x * y))")</f>
        <v>3.6586329406873168E-2</v>
      </c>
      <c r="N903" cm="1">
        <f t="array" ref="N903" xml:space="preserve"> mc(100, -PI()/2,PI()/2, 0, 1, "sin(cos(x + y))")-1.48235</f>
        <v>-0.15795872693845237</v>
      </c>
      <c r="O903" cm="1">
        <f t="array" ref="O903" xml:space="preserve"> mc(500, -PI()/2,PI()/2, 0, 1, "sin(cos(x + y))")-1.48235</f>
        <v>4.8380990134400115E-2</v>
      </c>
      <c r="P903" cm="1">
        <f t="array" ref="P903" xml:space="preserve"> mc(1000, -PI()/2,PI()/2, 0, 1, "sin(cos(x + y))")-1.48235</f>
        <v>-1.8156792426029744E-2</v>
      </c>
    </row>
    <row r="904" spans="1:16" x14ac:dyDescent="0.3">
      <c r="A904">
        <v>874</v>
      </c>
      <c r="B904" cm="1">
        <f t="array" ref="B904" xml:space="preserve"> mc(100, 0, 4, 1, 2, "x^2+y^2")-92/3</f>
        <v>1.8608565567049205</v>
      </c>
      <c r="C904" cm="1">
        <f t="array" ref="C904" xml:space="preserve"> mc(500, 0, 4, 1, 2, "x^2+y^2")-92/3</f>
        <v>-0.88887385715136702</v>
      </c>
      <c r="D904" cm="1">
        <f t="array" ref="D904" xml:space="preserve"> mc(1000, 0, 4, 1, 2, "x^2+y^2")-92/3</f>
        <v>-0.94813093290577299</v>
      </c>
      <c r="F904" cm="1">
        <f t="array" ref="F904" xml:space="preserve"> ( mc(100, 3, 4, -1, 1, "EXP(x * sin(y))") ) - 7.39981</f>
        <v>3.8324651552697375E-2</v>
      </c>
      <c r="G904" cm="1">
        <f t="array" ref="G904" xml:space="preserve"> ( mc(500, 3, 4, -1, 1, "EXP(x * sin(y))") ) - 7.39981</f>
        <v>-0.10107444234018192</v>
      </c>
      <c r="H904" cm="1">
        <f t="array" ref="H904" xml:space="preserve"> ( mc(1000, 3, 4, -1, 1, "EXP(x * sin(y))") ) - 7.39981</f>
        <v>-8.9743254754745649E-2</v>
      </c>
      <c r="J904" cm="1">
        <f t="array" ref="J904" xml:space="preserve"> mc(100, -PI()/2,0,-1, 1, "ln(EXP(x * y))")</f>
        <v>-1.6282320392239619E-2</v>
      </c>
      <c r="K904" cm="1">
        <f t="array" ref="K904" xml:space="preserve"> mc(500, -PI()/2,0,-1, 1, "ln(EXP(x * y))")</f>
        <v>-1.4488209693275271E-2</v>
      </c>
      <c r="L904" cm="1">
        <f t="array" ref="L904" xml:space="preserve"> mc(1000, -PI()/2,0,-1, 1, "ln(EXP(x * y))")</f>
        <v>1.7653064494294317E-2</v>
      </c>
      <c r="N904" cm="1">
        <f t="array" ref="N904" xml:space="preserve"> mc(100, -PI()/2,PI()/2, 0, 1, "sin(cos(x + y))")-1.48235</f>
        <v>-0.16526039934980563</v>
      </c>
      <c r="O904" cm="1">
        <f t="array" ref="O904" xml:space="preserve"> mc(500, -PI()/2,PI()/2, 0, 1, "sin(cos(x + y))")-1.48235</f>
        <v>-1.8366496652588715E-3</v>
      </c>
      <c r="P904" cm="1">
        <f t="array" ref="P904" xml:space="preserve"> mc(1000, -PI()/2,PI()/2, 0, 1, "sin(cos(x + y))")-1.48235</f>
        <v>-8.5677998478395079E-3</v>
      </c>
    </row>
    <row r="905" spans="1:16" x14ac:dyDescent="0.3">
      <c r="A905">
        <v>875</v>
      </c>
      <c r="B905" cm="1">
        <f t="array" ref="B905" xml:space="preserve"> mc(100, 0, 4, 1, 2, "x^2+y^2")-92/3</f>
        <v>-0.25162035390833637</v>
      </c>
      <c r="C905" cm="1">
        <f t="array" ref="C905" xml:space="preserve"> mc(500, 0, 4, 1, 2, "x^2+y^2")-92/3</f>
        <v>-1.3876758547954964</v>
      </c>
      <c r="D905" cm="1">
        <f t="array" ref="D905" xml:space="preserve"> mc(1000, 0, 4, 1, 2, "x^2+y^2")-92/3</f>
        <v>-0.10370738945537639</v>
      </c>
      <c r="F905" cm="1">
        <f t="array" ref="F905" xml:space="preserve"> ( mc(100, 3, 4, -1, 1, "EXP(x * sin(y))") ) - 7.39981</f>
        <v>-0.75767456612932182</v>
      </c>
      <c r="G905" cm="1">
        <f t="array" ref="G905" xml:space="preserve"> ( mc(500, 3, 4, -1, 1, "EXP(x * sin(y))") ) - 7.39981</f>
        <v>0.72624445360194834</v>
      </c>
      <c r="H905" cm="1">
        <f t="array" ref="H905" xml:space="preserve"> ( mc(1000, 3, 4, -1, 1, "EXP(x * sin(y))") ) - 7.39981</f>
        <v>-9.2087740904129411E-2</v>
      </c>
      <c r="J905" cm="1">
        <f t="array" ref="J905" xml:space="preserve"> mc(100, -PI()/2,0,-1, 1, "ln(EXP(x * y))")</f>
        <v>0.1198755151834318</v>
      </c>
      <c r="K905" cm="1">
        <f t="array" ref="K905" xml:space="preserve"> mc(500, -PI()/2,0,-1, 1, "ln(EXP(x * y))")</f>
        <v>8.2402550026552335E-2</v>
      </c>
      <c r="L905" cm="1">
        <f t="array" ref="L905" xml:space="preserve"> mc(1000, -PI()/2,0,-1, 1, "ln(EXP(x * y))")</f>
        <v>9.1746907613444659E-3</v>
      </c>
      <c r="N905" cm="1">
        <f t="array" ref="N905" xml:space="preserve"> mc(100, -PI()/2,PI()/2, 0, 1, "sin(cos(x + y))")-1.48235</f>
        <v>-0.12486903176955955</v>
      </c>
      <c r="O905" cm="1">
        <f t="array" ref="O905" xml:space="preserve"> mc(500, -PI()/2,PI()/2, 0, 1, "sin(cos(x + y))")-1.48235</f>
        <v>-4.2589965204097524E-2</v>
      </c>
      <c r="P905" cm="1">
        <f t="array" ref="P905" xml:space="preserve"> mc(1000, -PI()/2,PI()/2, 0, 1, "sin(cos(x + y))")-1.48235</f>
        <v>5.2296315731663157E-2</v>
      </c>
    </row>
    <row r="906" spans="1:16" x14ac:dyDescent="0.3">
      <c r="A906">
        <v>876</v>
      </c>
      <c r="B906" cm="1">
        <f t="array" ref="B906" xml:space="preserve"> mc(100, 0, 4, 1, 2, "x^2+y^2")-92/3</f>
        <v>-4.3013730730815567</v>
      </c>
      <c r="C906" cm="1">
        <f t="array" ref="C906" xml:space="preserve"> mc(500, 0, 4, 1, 2, "x^2+y^2")-92/3</f>
        <v>0.34470643985151739</v>
      </c>
      <c r="D906" cm="1">
        <f t="array" ref="D906" xml:space="preserve"> mc(1000, 0, 4, 1, 2, "x^2+y^2")-92/3</f>
        <v>0.48118088331194642</v>
      </c>
      <c r="F906" cm="1">
        <f t="array" ref="F906" xml:space="preserve"> ( mc(100, 3, 4, -1, 1, "EXP(x * sin(y))") ) - 7.39981</f>
        <v>0.18826637424212844</v>
      </c>
      <c r="G906" cm="1">
        <f t="array" ref="G906" xml:space="preserve"> ( mc(500, 3, 4, -1, 1, "EXP(x * sin(y))") ) - 7.39981</f>
        <v>0.35884584935089769</v>
      </c>
      <c r="H906" cm="1">
        <f t="array" ref="H906" xml:space="preserve"> ( mc(1000, 3, 4, -1, 1, "EXP(x * sin(y))") ) - 7.39981</f>
        <v>-0.15673559353992506</v>
      </c>
      <c r="J906" cm="1">
        <f t="array" ref="J906" xml:space="preserve"> mc(100, -PI()/2,0,-1, 1, "ln(EXP(x * y))")</f>
        <v>5.2333131778938835E-2</v>
      </c>
      <c r="K906" cm="1">
        <f t="array" ref="K906" xml:space="preserve"> mc(500, -PI()/2,0,-1, 1, "ln(EXP(x * y))")</f>
        <v>8.9277795909759081E-2</v>
      </c>
      <c r="L906" cm="1">
        <f t="array" ref="L906" xml:space="preserve"> mc(1000, -PI()/2,0,-1, 1, "ln(EXP(x * y))")</f>
        <v>-3.9108067761249726E-2</v>
      </c>
      <c r="N906" cm="1">
        <f t="array" ref="N906" xml:space="preserve"> mc(100, -PI()/2,PI()/2, 0, 1, "sin(cos(x + y))")-1.48235</f>
        <v>0.19953975833366799</v>
      </c>
      <c r="O906" cm="1">
        <f t="array" ref="O906" xml:space="preserve"> mc(500, -PI()/2,PI()/2, 0, 1, "sin(cos(x + y))")-1.48235</f>
        <v>2.2857082396690043E-3</v>
      </c>
      <c r="P906" cm="1">
        <f t="array" ref="P906" xml:space="preserve"> mc(1000, -PI()/2,PI()/2, 0, 1, "sin(cos(x + y))")-1.48235</f>
        <v>2.4490375130350905E-2</v>
      </c>
    </row>
    <row r="907" spans="1:16" x14ac:dyDescent="0.3">
      <c r="A907">
        <v>877</v>
      </c>
      <c r="B907" cm="1">
        <f t="array" ref="B907" xml:space="preserve"> mc(100, 0, 4, 1, 2, "x^2+y^2")-92/3</f>
        <v>-1.8126302896482969</v>
      </c>
      <c r="C907" cm="1">
        <f t="array" ref="C907" xml:space="preserve"> mc(500, 0, 4, 1, 2, "x^2+y^2")-92/3</f>
        <v>-0.26288486662296151</v>
      </c>
      <c r="D907" cm="1">
        <f t="array" ref="D907" xml:space="preserve"> mc(1000, 0, 4, 1, 2, "x^2+y^2")-92/3</f>
        <v>-0.11731337753718307</v>
      </c>
      <c r="F907" cm="1">
        <f t="array" ref="F907" xml:space="preserve"> ( mc(100, 3, 4, -1, 1, "EXP(x * sin(y))") ) - 7.39981</f>
        <v>1.4066978071452585</v>
      </c>
      <c r="G907" cm="1">
        <f t="array" ref="G907" xml:space="preserve"> ( mc(500, 3, 4, -1, 1, "EXP(x * sin(y))") ) - 7.39981</f>
        <v>0.401010989153324</v>
      </c>
      <c r="H907" cm="1">
        <f t="array" ref="H907" xml:space="preserve"> ( mc(1000, 3, 4, -1, 1, "EXP(x * sin(y))") ) - 7.39981</f>
        <v>0.33373391568437061</v>
      </c>
      <c r="J907" cm="1">
        <f t="array" ref="J907" xml:space="preserve"> mc(100, -PI()/2,0,-1, 1, "ln(EXP(x * y))")</f>
        <v>-8.5185175897601953E-3</v>
      </c>
      <c r="K907" cm="1">
        <f t="array" ref="K907" xml:space="preserve"> mc(500, -PI()/2,0,-1, 1, "ln(EXP(x * y))")</f>
        <v>-4.1827335256653081E-4</v>
      </c>
      <c r="L907" cm="1">
        <f t="array" ref="L907" xml:space="preserve"> mc(1000, -PI()/2,0,-1, 1, "ln(EXP(x * y))")</f>
        <v>4.39841582916082E-3</v>
      </c>
      <c r="N907" cm="1">
        <f t="array" ref="N907" xml:space="preserve"> mc(100, -PI()/2,PI()/2, 0, 1, "sin(cos(x + y))")-1.48235</f>
        <v>7.5266238804344576E-2</v>
      </c>
      <c r="O907" cm="1">
        <f t="array" ref="O907" xml:space="preserve"> mc(500, -PI()/2,PI()/2, 0, 1, "sin(cos(x + y))")-1.48235</f>
        <v>-8.1879600408687248E-2</v>
      </c>
      <c r="P907" cm="1">
        <f t="array" ref="P907" xml:space="preserve"> mc(1000, -PI()/2,PI()/2, 0, 1, "sin(cos(x + y))")-1.48235</f>
        <v>1.3988768451876021E-2</v>
      </c>
    </row>
    <row r="908" spans="1:16" x14ac:dyDescent="0.3">
      <c r="A908">
        <v>878</v>
      </c>
      <c r="B908" cm="1">
        <f t="array" ref="B908" xml:space="preserve"> mc(100, 0, 4, 1, 2, "x^2+y^2")-92/3</f>
        <v>6.0220107454917127E-2</v>
      </c>
      <c r="C908" cm="1">
        <f t="array" ref="C908" xml:space="preserve"> mc(500, 0, 4, 1, 2, "x^2+y^2")-92/3</f>
        <v>0.28701228493710218</v>
      </c>
      <c r="D908" cm="1">
        <f t="array" ref="D908" xml:space="preserve"> mc(1000, 0, 4, 1, 2, "x^2+y^2")-92/3</f>
        <v>-1.6601540950517375</v>
      </c>
      <c r="F908" cm="1">
        <f t="array" ref="F908" xml:space="preserve"> ( mc(100, 3, 4, -1, 1, "EXP(x * sin(y))") ) - 7.39981</f>
        <v>0.26470944158995202</v>
      </c>
      <c r="G908" cm="1">
        <f t="array" ref="G908" xml:space="preserve"> ( mc(500, 3, 4, -1, 1, "EXP(x * sin(y))") ) - 7.39981</f>
        <v>0.63659982271846971</v>
      </c>
      <c r="H908" cm="1">
        <f t="array" ref="H908" xml:space="preserve"> ( mc(1000, 3, 4, -1, 1, "EXP(x * sin(y))") ) - 7.39981</f>
        <v>-0.17126276426528175</v>
      </c>
      <c r="J908" cm="1">
        <f t="array" ref="J908" xml:space="preserve"> mc(100, -PI()/2,0,-1, 1, "ln(EXP(x * y))")</f>
        <v>-8.7231678053040829E-2</v>
      </c>
      <c r="K908" cm="1">
        <f t="array" ref="K908" xml:space="preserve"> mc(500, -PI()/2,0,-1, 1, "ln(EXP(x * y))")</f>
        <v>-1.618798629814858E-2</v>
      </c>
      <c r="L908" cm="1">
        <f t="array" ref="L908" xml:space="preserve"> mc(1000, -PI()/2,0,-1, 1, "ln(EXP(x * y))")</f>
        <v>-4.0976074965788693E-2</v>
      </c>
      <c r="N908" cm="1">
        <f t="array" ref="N908" xml:space="preserve"> mc(100, -PI()/2,PI()/2, 0, 1, "sin(cos(x + y))")-1.48235</f>
        <v>-7.57695656083055E-2</v>
      </c>
      <c r="O908" cm="1">
        <f t="array" ref="O908" xml:space="preserve"> mc(500, -PI()/2,PI()/2, 0, 1, "sin(cos(x + y))")-1.48235</f>
        <v>3.7624231190578117E-2</v>
      </c>
      <c r="P908" cm="1">
        <f t="array" ref="P908" xml:space="preserve"> mc(1000, -PI()/2,PI()/2, 0, 1, "sin(cos(x + y))")-1.48235</f>
        <v>4.6210510305923824E-2</v>
      </c>
    </row>
    <row r="909" spans="1:16" x14ac:dyDescent="0.3">
      <c r="A909">
        <v>879</v>
      </c>
      <c r="B909" cm="1">
        <f t="array" ref="B909" xml:space="preserve"> mc(100, 0, 4, 1, 2, "x^2+y^2")-92/3</f>
        <v>-2.396226910017937</v>
      </c>
      <c r="C909" cm="1">
        <f t="array" ref="C909" xml:space="preserve"> mc(500, 0, 4, 1, 2, "x^2+y^2")-92/3</f>
        <v>1.5705122953505004</v>
      </c>
      <c r="D909" cm="1">
        <f t="array" ref="D909" xml:space="preserve"> mc(1000, 0, 4, 1, 2, "x^2+y^2")-92/3</f>
        <v>0.55476682037679836</v>
      </c>
      <c r="F909" cm="1">
        <f t="array" ref="F909" xml:space="preserve"> ( mc(100, 3, 4, -1, 1, "EXP(x * sin(y))") ) - 7.39981</f>
        <v>-1.5881946355256318</v>
      </c>
      <c r="G909" cm="1">
        <f t="array" ref="G909" xml:space="preserve"> ( mc(500, 3, 4, -1, 1, "EXP(x * sin(y))") ) - 7.39981</f>
        <v>-0.27810045562040386</v>
      </c>
      <c r="H909" cm="1">
        <f t="array" ref="H909" xml:space="preserve"> ( mc(1000, 3, 4, -1, 1, "EXP(x * sin(y))") ) - 7.39981</f>
        <v>0.70984749169707051</v>
      </c>
      <c r="J909" cm="1">
        <f t="array" ref="J909" xml:space="preserve"> mc(100, -PI()/2,0,-1, 1, "ln(EXP(x * y))")</f>
        <v>-0.20606616810344028</v>
      </c>
      <c r="K909" cm="1">
        <f t="array" ref="K909" xml:space="preserve"> mc(500, -PI()/2,0,-1, 1, "ln(EXP(x * y))")</f>
        <v>6.4214512596092649E-2</v>
      </c>
      <c r="L909" cm="1">
        <f t="array" ref="L909" xml:space="preserve"> mc(1000, -PI()/2,0,-1, 1, "ln(EXP(x * y))")</f>
        <v>-4.3261354778601428E-2</v>
      </c>
      <c r="N909" cm="1">
        <f t="array" ref="N909" xml:space="preserve"> mc(100, -PI()/2,PI()/2, 0, 1, "sin(cos(x + y))")-1.48235</f>
        <v>-0.12361884242407606</v>
      </c>
      <c r="O909" cm="1">
        <f t="array" ref="O909" xml:space="preserve"> mc(500, -PI()/2,PI()/2, 0, 1, "sin(cos(x + y))")-1.48235</f>
        <v>-7.951044660427975E-2</v>
      </c>
      <c r="P909" cm="1">
        <f t="array" ref="P909" xml:space="preserve"> mc(1000, -PI()/2,PI()/2, 0, 1, "sin(cos(x + y))")-1.48235</f>
        <v>-8.7800721536799298E-3</v>
      </c>
    </row>
    <row r="910" spans="1:16" x14ac:dyDescent="0.3">
      <c r="A910">
        <v>880</v>
      </c>
      <c r="B910" cm="1">
        <f t="array" ref="B910" xml:space="preserve"> mc(100, 0, 4, 1, 2, "x^2+y^2")-92/3</f>
        <v>2.1386496508420301</v>
      </c>
      <c r="C910" cm="1">
        <f t="array" ref="C910" xml:space="preserve"> mc(500, 0, 4, 1, 2, "x^2+y^2")-92/3</f>
        <v>-8.9871552747084138E-2</v>
      </c>
      <c r="D910" cm="1">
        <f t="array" ref="D910" xml:space="preserve"> mc(1000, 0, 4, 1, 2, "x^2+y^2")-92/3</f>
        <v>-0.18600061078928221</v>
      </c>
      <c r="F910" cm="1">
        <f t="array" ref="F910" xml:space="preserve"> ( mc(100, 3, 4, -1, 1, "EXP(x * sin(y))") ) - 7.39981</f>
        <v>-1.8829287156814578</v>
      </c>
      <c r="G910" cm="1">
        <f t="array" ref="G910" xml:space="preserve"> ( mc(500, 3, 4, -1, 1, "EXP(x * sin(y))") ) - 7.39981</f>
        <v>-0.36020596427312324</v>
      </c>
      <c r="H910" cm="1">
        <f t="array" ref="H910" xml:space="preserve"> ( mc(1000, 3, 4, -1, 1, "EXP(x * sin(y))") ) - 7.39981</f>
        <v>0.1978591639026428</v>
      </c>
      <c r="J910" cm="1">
        <f t="array" ref="J910" xml:space="preserve"> mc(100, -PI()/2,0,-1, 1, "ln(EXP(x * y))")</f>
        <v>3.2954663053661112E-2</v>
      </c>
      <c r="K910" cm="1">
        <f t="array" ref="K910" xml:space="preserve"> mc(500, -PI()/2,0,-1, 1, "ln(EXP(x * y))")</f>
        <v>-2.0956474571084609E-2</v>
      </c>
      <c r="L910" cm="1">
        <f t="array" ref="L910" xml:space="preserve"> mc(1000, -PI()/2,0,-1, 1, "ln(EXP(x * y))")</f>
        <v>3.2951233567155409E-2</v>
      </c>
      <c r="N910" cm="1">
        <f t="array" ref="N910" xml:space="preserve"> mc(100, -PI()/2,PI()/2, 0, 1, "sin(cos(x + y))")-1.48235</f>
        <v>2.3816945450331417E-2</v>
      </c>
      <c r="O910" cm="1">
        <f t="array" ref="O910" xml:space="preserve"> mc(500, -PI()/2,PI()/2, 0, 1, "sin(cos(x + y))")-1.48235</f>
        <v>1.232115510840881E-2</v>
      </c>
      <c r="P910" cm="1">
        <f t="array" ref="P910" xml:space="preserve"> mc(1000, -PI()/2,PI()/2, 0, 1, "sin(cos(x + y))")-1.48235</f>
        <v>2.4980225807464063E-2</v>
      </c>
    </row>
    <row r="911" spans="1:16" x14ac:dyDescent="0.3">
      <c r="A911">
        <v>881</v>
      </c>
      <c r="B911" cm="1">
        <f t="array" ref="B911" xml:space="preserve"> mc(100, 0, 4, 1, 2, "x^2+y^2")-92/3</f>
        <v>-1.5399297106348371</v>
      </c>
      <c r="C911" cm="1">
        <f t="array" ref="C911" xml:space="preserve"> mc(500, 0, 4, 1, 2, "x^2+y^2")-92/3</f>
        <v>-0.71138812254135075</v>
      </c>
      <c r="D911" cm="1">
        <f t="array" ref="D911" xml:space="preserve"> mc(1000, 0, 4, 1, 2, "x^2+y^2")-92/3</f>
        <v>0.4722000067046217</v>
      </c>
      <c r="F911" cm="1">
        <f t="array" ref="F911" xml:space="preserve"> ( mc(100, 3, 4, -1, 1, "EXP(x * sin(y))") ) - 7.39981</f>
        <v>1.5937933364452874</v>
      </c>
      <c r="G911" cm="1">
        <f t="array" ref="G911" xml:space="preserve"> ( mc(500, 3, 4, -1, 1, "EXP(x * sin(y))") ) - 7.39981</f>
        <v>0.12733832702176962</v>
      </c>
      <c r="H911" cm="1">
        <f t="array" ref="H911" xml:space="preserve"> ( mc(1000, 3, 4, -1, 1, "EXP(x * sin(y))") ) - 7.39981</f>
        <v>-0.12922553184857843</v>
      </c>
      <c r="J911" cm="1">
        <f t="array" ref="J911" xml:space="preserve"> mc(100, -PI()/2,0,-1, 1, "ln(EXP(x * y))")</f>
        <v>0.22371168263040692</v>
      </c>
      <c r="K911" cm="1">
        <f t="array" ref="K911" xml:space="preserve"> mc(500, -PI()/2,0,-1, 1, "ln(EXP(x * y))")</f>
        <v>-0.15423170905855632</v>
      </c>
      <c r="L911" cm="1">
        <f t="array" ref="L911" xml:space="preserve"> mc(1000, -PI()/2,0,-1, 1, "ln(EXP(x * y))")</f>
        <v>-2.2341419876797483E-2</v>
      </c>
      <c r="N911" cm="1">
        <f t="array" ref="N911" xml:space="preserve"> mc(100, -PI()/2,PI()/2, 0, 1, "sin(cos(x + y))")-1.48235</f>
        <v>0.11010214183714484</v>
      </c>
      <c r="O911" cm="1">
        <f t="array" ref="O911" xml:space="preserve"> mc(500, -PI()/2,PI()/2, 0, 1, "sin(cos(x + y))")-1.48235</f>
        <v>-1.3486833283130606E-2</v>
      </c>
      <c r="P911" cm="1">
        <f t="array" ref="P911" xml:space="preserve"> mc(1000, -PI()/2,PI()/2, 0, 1, "sin(cos(x + y))")-1.48235</f>
        <v>4.245526986678394E-2</v>
      </c>
    </row>
    <row r="912" spans="1:16" x14ac:dyDescent="0.3">
      <c r="A912">
        <v>882</v>
      </c>
      <c r="B912" cm="1">
        <f t="array" ref="B912" xml:space="preserve"> mc(100, 0, 4, 1, 2, "x^2+y^2")-92/3</f>
        <v>0.2973769089328222</v>
      </c>
      <c r="C912" cm="1">
        <f t="array" ref="C912" xml:space="preserve"> mc(500, 0, 4, 1, 2, "x^2+y^2")-92/3</f>
        <v>-1.2262543022657439</v>
      </c>
      <c r="D912" cm="1">
        <f t="array" ref="D912" xml:space="preserve"> mc(1000, 0, 4, 1, 2, "x^2+y^2")-92/3</f>
        <v>-0.66272778820662737</v>
      </c>
      <c r="F912" cm="1">
        <f t="array" ref="F912" xml:space="preserve"> ( mc(100, 3, 4, -1, 1, "EXP(x * sin(y))") ) - 7.39981</f>
        <v>3.0948669247613623</v>
      </c>
      <c r="G912" cm="1">
        <f t="array" ref="G912" xml:space="preserve"> ( mc(500, 3, 4, -1, 1, "EXP(x * sin(y))") ) - 7.39981</f>
        <v>0.17702307698355924</v>
      </c>
      <c r="H912" cm="1">
        <f t="array" ref="H912" xml:space="preserve"> ( mc(1000, 3, 4, -1, 1, "EXP(x * sin(y))") ) - 7.39981</f>
        <v>0.36645511861917157</v>
      </c>
      <c r="J912" cm="1">
        <f t="array" ref="J912" xml:space="preserve"> mc(100, -PI()/2,0,-1, 1, "ln(EXP(x * y))")</f>
        <v>-0.14487132886371212</v>
      </c>
      <c r="K912" cm="1">
        <f t="array" ref="K912" xml:space="preserve"> mc(500, -PI()/2,0,-1, 1, "ln(EXP(x * y))")</f>
        <v>4.491794399003371E-2</v>
      </c>
      <c r="L912" cm="1">
        <f t="array" ref="L912" xml:space="preserve"> mc(1000, -PI()/2,0,-1, 1, "ln(EXP(x * y))")</f>
        <v>9.1892744241471008E-2</v>
      </c>
      <c r="N912" cm="1">
        <f t="array" ref="N912" xml:space="preserve"> mc(100, -PI()/2,PI()/2, 0, 1, "sin(cos(x + y))")-1.48235</f>
        <v>0.1297613976079186</v>
      </c>
      <c r="O912" cm="1">
        <f t="array" ref="O912" xml:space="preserve"> mc(500, -PI()/2,PI()/2, 0, 1, "sin(cos(x + y))")-1.48235</f>
        <v>5.6218984792064663E-2</v>
      </c>
      <c r="P912" cm="1">
        <f t="array" ref="P912" xml:space="preserve"> mc(1000, -PI()/2,PI()/2, 0, 1, "sin(cos(x + y))")-1.48235</f>
        <v>2.4846562299202235E-2</v>
      </c>
    </row>
    <row r="913" spans="1:16" x14ac:dyDescent="0.3">
      <c r="A913">
        <v>883</v>
      </c>
      <c r="B913" cm="1">
        <f t="array" ref="B913" xml:space="preserve"> mc(100, 0, 4, 1, 2, "x^2+y^2")-92/3</f>
        <v>-1.4733585380848524</v>
      </c>
      <c r="C913" cm="1">
        <f t="array" ref="C913" xml:space="preserve"> mc(500, 0, 4, 1, 2, "x^2+y^2")-92/3</f>
        <v>0.77615688552222295</v>
      </c>
      <c r="D913" cm="1">
        <f t="array" ref="D913" xml:space="preserve"> mc(1000, 0, 4, 1, 2, "x^2+y^2")-92/3</f>
        <v>0.47062629811562928</v>
      </c>
      <c r="F913" cm="1">
        <f t="array" ref="F913" xml:space="preserve"> ( mc(100, 3, 4, -1, 1, "EXP(x * sin(y))") ) - 7.39981</f>
        <v>6.1477493124830751E-2</v>
      </c>
      <c r="G913" cm="1">
        <f t="array" ref="G913" xml:space="preserve"> ( mc(500, 3, 4, -1, 1, "EXP(x * sin(y))") ) - 7.39981</f>
        <v>0.15837846753919127</v>
      </c>
      <c r="H913" cm="1">
        <f t="array" ref="H913" xml:space="preserve"> ( mc(1000, 3, 4, -1, 1, "EXP(x * sin(y))") ) - 7.39981</f>
        <v>-7.7640901818618602E-2</v>
      </c>
      <c r="J913" cm="1">
        <f t="array" ref="J913" xml:space="preserve"> mc(100, -PI()/2,0,-1, 1, "ln(EXP(x * y))")</f>
        <v>-0.31145240800174723</v>
      </c>
      <c r="K913" cm="1">
        <f t="array" ref="K913" xml:space="preserve"> mc(500, -PI()/2,0,-1, 1, "ln(EXP(x * y))")</f>
        <v>1.5484906068576184E-2</v>
      </c>
      <c r="L913" cm="1">
        <f t="array" ref="L913" xml:space="preserve"> mc(1000, -PI()/2,0,-1, 1, "ln(EXP(x * y))")</f>
        <v>-2.7850903014435435E-2</v>
      </c>
      <c r="N913" cm="1">
        <f t="array" ref="N913" xml:space="preserve"> mc(100, -PI()/2,PI()/2, 0, 1, "sin(cos(x + y))")-1.48235</f>
        <v>-3.7132566511560272E-2</v>
      </c>
      <c r="O913" cm="1">
        <f t="array" ref="O913" xml:space="preserve"> mc(500, -PI()/2,PI()/2, 0, 1, "sin(cos(x + y))")-1.48235</f>
        <v>-3.3287837805707765E-2</v>
      </c>
      <c r="P913" cm="1">
        <f t="array" ref="P913" xml:space="preserve"> mc(1000, -PI()/2,PI()/2, 0, 1, "sin(cos(x + y))")-1.48235</f>
        <v>-6.4564408159168973E-3</v>
      </c>
    </row>
    <row r="914" spans="1:16" x14ac:dyDescent="0.3">
      <c r="A914">
        <v>884</v>
      </c>
      <c r="B914" cm="1">
        <f t="array" ref="B914" xml:space="preserve"> mc(100, 0, 4, 1, 2, "x^2+y^2")-92/3</f>
        <v>8.4666030350625476E-2</v>
      </c>
      <c r="C914" cm="1">
        <f t="array" ref="C914" xml:space="preserve"> mc(500, 0, 4, 1, 2, "x^2+y^2")-92/3</f>
        <v>-0.69878214022577723</v>
      </c>
      <c r="D914" cm="1">
        <f t="array" ref="D914" xml:space="preserve"> mc(1000, 0, 4, 1, 2, "x^2+y^2")-92/3</f>
        <v>1.3091084883209625</v>
      </c>
      <c r="F914" cm="1">
        <f t="array" ref="F914" xml:space="preserve"> ( mc(100, 3, 4, -1, 1, "EXP(x * sin(y))") ) - 7.39981</f>
        <v>0.81399878088821431</v>
      </c>
      <c r="G914" cm="1">
        <f t="array" ref="G914" xml:space="preserve"> ( mc(500, 3, 4, -1, 1, "EXP(x * sin(y))") ) - 7.39981</f>
        <v>-0.43300815102560897</v>
      </c>
      <c r="H914" cm="1">
        <f t="array" ref="H914" xml:space="preserve"> ( mc(1000, 3, 4, -1, 1, "EXP(x * sin(y))") ) - 7.39981</f>
        <v>-0.24335037630043743</v>
      </c>
      <c r="J914" cm="1">
        <f t="array" ref="J914" xml:space="preserve"> mc(100, -PI()/2,0,-1, 1, "ln(EXP(x * y))")</f>
        <v>9.4923817581044068E-3</v>
      </c>
      <c r="K914" cm="1">
        <f t="array" ref="K914" xml:space="preserve"> mc(500, -PI()/2,0,-1, 1, "ln(EXP(x * y))")</f>
        <v>-7.461906396661476E-2</v>
      </c>
      <c r="L914" cm="1">
        <f t="array" ref="L914" xml:space="preserve"> mc(1000, -PI()/2,0,-1, 1, "ln(EXP(x * y))")</f>
        <v>-6.7855436939130917E-2</v>
      </c>
      <c r="N914" cm="1">
        <f t="array" ref="N914" xml:space="preserve"> mc(100, -PI()/2,PI()/2, 0, 1, "sin(cos(x + y))")-1.48235</f>
        <v>-4.1727369756279886E-2</v>
      </c>
      <c r="O914" cm="1">
        <f t="array" ref="O914" xml:space="preserve"> mc(500, -PI()/2,PI()/2, 0, 1, "sin(cos(x + y))")-1.48235</f>
        <v>-4.2708843187672318E-2</v>
      </c>
      <c r="P914" cm="1">
        <f t="array" ref="P914" xml:space="preserve"> mc(1000, -PI()/2,PI()/2, 0, 1, "sin(cos(x + y))")-1.48235</f>
        <v>4.7137255191609162E-2</v>
      </c>
    </row>
    <row r="915" spans="1:16" x14ac:dyDescent="0.3">
      <c r="A915">
        <v>885</v>
      </c>
      <c r="B915" cm="1">
        <f t="array" ref="B915" xml:space="preserve"> mc(100, 0, 4, 1, 2, "x^2+y^2")-92/3</f>
        <v>-1.7423790504007997E-2</v>
      </c>
      <c r="C915" cm="1">
        <f t="array" ref="C915" xml:space="preserve"> mc(500, 0, 4, 1, 2, "x^2+y^2")-92/3</f>
        <v>1.1126539761116589</v>
      </c>
      <c r="D915" cm="1">
        <f t="array" ref="D915" xml:space="preserve"> mc(1000, 0, 4, 1, 2, "x^2+y^2")-92/3</f>
        <v>-0.74193114053345255</v>
      </c>
      <c r="F915" cm="1">
        <f t="array" ref="F915" xml:space="preserve"> ( mc(100, 3, 4, -1, 1, "EXP(x * sin(y))") ) - 7.39981</f>
        <v>-0.3777578662667187</v>
      </c>
      <c r="G915" cm="1">
        <f t="array" ref="G915" xml:space="preserve"> ( mc(500, 3, 4, -1, 1, "EXP(x * sin(y))") ) - 7.39981</f>
        <v>0.55423622874263057</v>
      </c>
      <c r="H915" cm="1">
        <f t="array" ref="H915" xml:space="preserve"> ( mc(1000, 3, 4, -1, 1, "EXP(x * sin(y))") ) - 7.39981</f>
        <v>-0.2787038074038497</v>
      </c>
      <c r="J915" cm="1">
        <f t="array" ref="J915" xml:space="preserve"> mc(100, -PI()/2,0,-1, 1, "ln(EXP(x * y))")</f>
        <v>2.7397413309359412E-2</v>
      </c>
      <c r="K915" cm="1">
        <f t="array" ref="K915" xml:space="preserve"> mc(500, -PI()/2,0,-1, 1, "ln(EXP(x * y))")</f>
        <v>-1.5234495029974229E-2</v>
      </c>
      <c r="L915" cm="1">
        <f t="array" ref="L915" xml:space="preserve"> mc(1000, -PI()/2,0,-1, 1, "ln(EXP(x * y))")</f>
        <v>3.1281322306804769E-3</v>
      </c>
      <c r="N915" cm="1">
        <f t="array" ref="N915" xml:space="preserve"> mc(100, -PI()/2,PI()/2, 0, 1, "sin(cos(x + y))")-1.48235</f>
        <v>-5.4375433294368003E-2</v>
      </c>
      <c r="O915" cm="1">
        <f t="array" ref="O915" xml:space="preserve"> mc(500, -PI()/2,PI()/2, 0, 1, "sin(cos(x + y))")-1.48235</f>
        <v>-5.9252358586971754E-2</v>
      </c>
      <c r="P915" cm="1">
        <f t="array" ref="P915" xml:space="preserve"> mc(1000, -PI()/2,PI()/2, 0, 1, "sin(cos(x + y))")-1.48235</f>
        <v>5.2370491927716589E-2</v>
      </c>
    </row>
    <row r="916" spans="1:16" x14ac:dyDescent="0.3">
      <c r="A916">
        <v>886</v>
      </c>
      <c r="B916" cm="1">
        <f t="array" ref="B916" xml:space="preserve"> mc(100, 0, 4, 1, 2, "x^2+y^2")-92/3</f>
        <v>0.57424910423941355</v>
      </c>
      <c r="C916" cm="1">
        <f t="array" ref="C916" xml:space="preserve"> mc(500, 0, 4, 1, 2, "x^2+y^2")-92/3</f>
        <v>0.6457115722467428</v>
      </c>
      <c r="D916" cm="1">
        <f t="array" ref="D916" xml:space="preserve"> mc(1000, 0, 4, 1, 2, "x^2+y^2")-92/3</f>
        <v>0.16070532227436729</v>
      </c>
      <c r="F916" cm="1">
        <f t="array" ref="F916" xml:space="preserve"> ( mc(100, 3, 4, -1, 1, "EXP(x * sin(y))") ) - 7.39981</f>
        <v>0.63579834441826222</v>
      </c>
      <c r="G916" cm="1">
        <f t="array" ref="G916" xml:space="preserve"> ( mc(500, 3, 4, -1, 1, "EXP(x * sin(y))") ) - 7.39981</f>
        <v>-0.24410140176616668</v>
      </c>
      <c r="H916" cm="1">
        <f t="array" ref="H916" xml:space="preserve"> ( mc(1000, 3, 4, -1, 1, "EXP(x * sin(y))") ) - 7.39981</f>
        <v>0.26454365650269107</v>
      </c>
      <c r="J916" cm="1">
        <f t="array" ref="J916" xml:space="preserve"> mc(100, -PI()/2,0,-1, 1, "ln(EXP(x * y))")</f>
        <v>-7.4155842666498552E-3</v>
      </c>
      <c r="K916" cm="1">
        <f t="array" ref="K916" xml:space="preserve"> mc(500, -PI()/2,0,-1, 1, "ln(EXP(x * y))")</f>
        <v>-1.4872596485405717E-2</v>
      </c>
      <c r="L916" cm="1">
        <f t="array" ref="L916" xml:space="preserve"> mc(1000, -PI()/2,0,-1, 1, "ln(EXP(x * y))")</f>
        <v>-7.3255465758712196E-2</v>
      </c>
      <c r="N916" cm="1">
        <f t="array" ref="N916" xml:space="preserve"> mc(100, -PI()/2,PI()/2, 0, 1, "sin(cos(x + y))")-1.48235</f>
        <v>3.4874438953481857E-2</v>
      </c>
      <c r="O916" cm="1">
        <f t="array" ref="O916" xml:space="preserve"> mc(500, -PI()/2,PI()/2, 0, 1, "sin(cos(x + y))")-1.48235</f>
        <v>2.3530019054373241E-2</v>
      </c>
      <c r="P916" cm="1">
        <f t="array" ref="P916" xml:space="preserve"> mc(1000, -PI()/2,PI()/2, 0, 1, "sin(cos(x + y))")-1.48235</f>
        <v>1.1770506103784939E-2</v>
      </c>
    </row>
    <row r="917" spans="1:16" x14ac:dyDescent="0.3">
      <c r="A917">
        <v>887</v>
      </c>
      <c r="B917" cm="1">
        <f t="array" ref="B917" xml:space="preserve"> mc(100, 0, 4, 1, 2, "x^2+y^2")-92/3</f>
        <v>0.41028567747702382</v>
      </c>
      <c r="C917" cm="1">
        <f t="array" ref="C917" xml:space="preserve"> mc(500, 0, 4, 1, 2, "x^2+y^2")-92/3</f>
        <v>0.471491628674368</v>
      </c>
      <c r="D917" cm="1">
        <f t="array" ref="D917" xml:space="preserve"> mc(1000, 0, 4, 1, 2, "x^2+y^2")-92/3</f>
        <v>0.37092417798674049</v>
      </c>
      <c r="F917" cm="1">
        <f t="array" ref="F917" xml:space="preserve"> ( mc(100, 3, 4, -1, 1, "EXP(x * sin(y))") ) - 7.39981</f>
        <v>0.1816908070409422</v>
      </c>
      <c r="G917" cm="1">
        <f t="array" ref="G917" xml:space="preserve"> ( mc(500, 3, 4, -1, 1, "EXP(x * sin(y))") ) - 7.39981</f>
        <v>-0.5775665248273425</v>
      </c>
      <c r="H917" cm="1">
        <f t="array" ref="H917" xml:space="preserve"> ( mc(1000, 3, 4, -1, 1, "EXP(x * sin(y))") ) - 7.39981</f>
        <v>0.2081006389508655</v>
      </c>
      <c r="J917" cm="1">
        <f t="array" ref="J917" xml:space="preserve"> mc(100, -PI()/2,0,-1, 1, "ln(EXP(x * y))")</f>
        <v>2.3201954905932611E-2</v>
      </c>
      <c r="K917" cm="1">
        <f t="array" ref="K917" xml:space="preserve"> mc(500, -PI()/2,0,-1, 1, "ln(EXP(x * y))")</f>
        <v>1.5242100666016022E-2</v>
      </c>
      <c r="L917" cm="1">
        <f t="array" ref="L917" xml:space="preserve"> mc(1000, -PI()/2,0,-1, 1, "ln(EXP(x * y))")</f>
        <v>2.5658701976420558E-2</v>
      </c>
      <c r="N917" cm="1">
        <f t="array" ref="N917" xml:space="preserve"> mc(100, -PI()/2,PI()/2, 0, 1, "sin(cos(x + y))")-1.48235</f>
        <v>-0.16729433310414588</v>
      </c>
      <c r="O917" cm="1">
        <f t="array" ref="O917" xml:space="preserve"> mc(500, -PI()/2,PI()/2, 0, 1, "sin(cos(x + y))")-1.48235</f>
        <v>-3.42696629302357E-2</v>
      </c>
      <c r="P917" cm="1">
        <f t="array" ref="P917" xml:space="preserve"> mc(1000, -PI()/2,PI()/2, 0, 1, "sin(cos(x + y))")-1.48235</f>
        <v>-2.5570425857360135E-2</v>
      </c>
    </row>
    <row r="918" spans="1:16" x14ac:dyDescent="0.3">
      <c r="A918">
        <v>888</v>
      </c>
      <c r="B918" cm="1">
        <f t="array" ref="B918" xml:space="preserve"> mc(100, 0, 4, 1, 2, "x^2+y^2")-92/3</f>
        <v>0.5603257524001819</v>
      </c>
      <c r="C918" cm="1">
        <f t="array" ref="C918" xml:space="preserve"> mc(500, 0, 4, 1, 2, "x^2+y^2")-92/3</f>
        <v>-2.201199664803017</v>
      </c>
      <c r="D918" cm="1">
        <f t="array" ref="D918" xml:space="preserve"> mc(1000, 0, 4, 1, 2, "x^2+y^2")-92/3</f>
        <v>-0.44739020601159396</v>
      </c>
      <c r="F918" cm="1">
        <f t="array" ref="F918" xml:space="preserve"> ( mc(100, 3, 4, -1, 1, "EXP(x * sin(y))") ) - 7.39981</f>
        <v>1.4410489270351956</v>
      </c>
      <c r="G918" cm="1">
        <f t="array" ref="G918" xml:space="preserve"> ( mc(500, 3, 4, -1, 1, "EXP(x * sin(y))") ) - 7.39981</f>
        <v>0.41371774018361407</v>
      </c>
      <c r="H918" cm="1">
        <f t="array" ref="H918" xml:space="preserve"> ( mc(1000, 3, 4, -1, 1, "EXP(x * sin(y))") ) - 7.39981</f>
        <v>1.7004613536052204E-2</v>
      </c>
      <c r="J918" cm="1">
        <f t="array" ref="J918" xml:space="preserve"> mc(100, -PI()/2,0,-1, 1, "ln(EXP(x * y))")</f>
        <v>-6.9083219801832907E-2</v>
      </c>
      <c r="K918" cm="1">
        <f t="array" ref="K918" xml:space="preserve"> mc(500, -PI()/2,0,-1, 1, "ln(EXP(x * y))")</f>
        <v>-1.2041777632301444E-2</v>
      </c>
      <c r="L918" cm="1">
        <f t="array" ref="L918" xml:space="preserve"> mc(1000, -PI()/2,0,-1, 1, "ln(EXP(x * y))")</f>
        <v>-6.4042288404206477E-2</v>
      </c>
      <c r="N918" cm="1">
        <f t="array" ref="N918" xml:space="preserve"> mc(100, -PI()/2,PI()/2, 0, 1, "sin(cos(x + y))")-1.48235</f>
        <v>-9.5276031181945386E-2</v>
      </c>
      <c r="O918" cm="1">
        <f t="array" ref="O918" xml:space="preserve"> mc(500, -PI()/2,PI()/2, 0, 1, "sin(cos(x + y))")-1.48235</f>
        <v>-5.138733181890065E-2</v>
      </c>
      <c r="P918" cm="1">
        <f t="array" ref="P918" xml:space="preserve"> mc(1000, -PI()/2,PI()/2, 0, 1, "sin(cos(x + y))")-1.48235</f>
        <v>2.9973140562297829E-2</v>
      </c>
    </row>
    <row r="919" spans="1:16" x14ac:dyDescent="0.3">
      <c r="A919">
        <v>889</v>
      </c>
      <c r="B919" cm="1">
        <f t="array" ref="B919" xml:space="preserve"> mc(100, 0, 4, 1, 2, "x^2+y^2")-92/3</f>
        <v>1.701930679500709</v>
      </c>
      <c r="C919" cm="1">
        <f t="array" ref="C919" xml:space="preserve"> mc(500, 0, 4, 1, 2, "x^2+y^2")-92/3</f>
        <v>0.36893261813001033</v>
      </c>
      <c r="D919" cm="1">
        <f t="array" ref="D919" xml:space="preserve"> mc(1000, 0, 4, 1, 2, "x^2+y^2")-92/3</f>
        <v>0.51301979810290987</v>
      </c>
      <c r="F919" cm="1">
        <f t="array" ref="F919" xml:space="preserve"> ( mc(100, 3, 4, -1, 1, "EXP(x * sin(y))") ) - 7.39981</f>
        <v>1.4057308326047462</v>
      </c>
      <c r="G919" cm="1">
        <f t="array" ref="G919" xml:space="preserve"> ( mc(500, 3, 4, -1, 1, "EXP(x * sin(y))") ) - 7.39981</f>
        <v>0.20951635039987426</v>
      </c>
      <c r="H919" cm="1">
        <f t="array" ref="H919" xml:space="preserve"> ( mc(1000, 3, 4, -1, 1, "EXP(x * sin(y))") ) - 7.39981</f>
        <v>0.37123133578298262</v>
      </c>
      <c r="J919" cm="1">
        <f t="array" ref="J919" xml:space="preserve"> mc(100, -PI()/2,0,-1, 1, "ln(EXP(x * y))")</f>
        <v>-6.8957676190562339E-2</v>
      </c>
      <c r="K919" cm="1">
        <f t="array" ref="K919" xml:space="preserve"> mc(500, -PI()/2,0,-1, 1, "ln(EXP(x * y))")</f>
        <v>-7.7052690600762072E-2</v>
      </c>
      <c r="L919" cm="1">
        <f t="array" ref="L919" xml:space="preserve"> mc(1000, -PI()/2,0,-1, 1, "ln(EXP(x * y))")</f>
        <v>4.8084545741295219E-2</v>
      </c>
      <c r="N919" cm="1">
        <f t="array" ref="N919" xml:space="preserve"> mc(100, -PI()/2,PI()/2, 0, 1, "sin(cos(x + y))")-1.48235</f>
        <v>6.2724992690227355E-2</v>
      </c>
      <c r="O919" cm="1">
        <f t="array" ref="O919" xml:space="preserve"> mc(500, -PI()/2,PI()/2, 0, 1, "sin(cos(x + y))")-1.48235</f>
        <v>4.4676933608919001E-2</v>
      </c>
      <c r="P919" cm="1">
        <f t="array" ref="P919" xml:space="preserve"> mc(1000, -PI()/2,PI()/2, 0, 1, "sin(cos(x + y))")-1.48235</f>
        <v>-4.1242849521726077E-2</v>
      </c>
    </row>
    <row r="920" spans="1:16" x14ac:dyDescent="0.3">
      <c r="A920">
        <v>890</v>
      </c>
      <c r="B920" cm="1">
        <f t="array" ref="B920" xml:space="preserve"> mc(100, 0, 4, 1, 2, "x^2+y^2")-92/3</f>
        <v>0.23329942893894184</v>
      </c>
      <c r="C920" cm="1">
        <f t="array" ref="C920" xml:space="preserve"> mc(500, 0, 4, 1, 2, "x^2+y^2")-92/3</f>
        <v>5.4933088836197186E-2</v>
      </c>
      <c r="D920" cm="1">
        <f t="array" ref="D920" xml:space="preserve"> mc(1000, 0, 4, 1, 2, "x^2+y^2")-92/3</f>
        <v>0.58296413340779552</v>
      </c>
      <c r="F920" cm="1">
        <f t="array" ref="F920" xml:space="preserve"> ( mc(100, 3, 4, -1, 1, "EXP(x * sin(y))") ) - 7.39981</f>
        <v>-0.94557906452997642</v>
      </c>
      <c r="G920" cm="1">
        <f t="array" ref="G920" xml:space="preserve"> ( mc(500, 3, 4, -1, 1, "EXP(x * sin(y))") ) - 7.39981</f>
        <v>0.88733718494808222</v>
      </c>
      <c r="H920" cm="1">
        <f t="array" ref="H920" xml:space="preserve"> ( mc(1000, 3, 4, -1, 1, "EXP(x * sin(y))") ) - 7.39981</f>
        <v>-2.7373556821196132E-2</v>
      </c>
      <c r="J920" cm="1">
        <f t="array" ref="J920" xml:space="preserve"> mc(100, -PI()/2,0,-1, 1, "ln(EXP(x * y))")</f>
        <v>5.5492552120632602E-2</v>
      </c>
      <c r="K920" cm="1">
        <f t="array" ref="K920" xml:space="preserve"> mc(500, -PI()/2,0,-1, 1, "ln(EXP(x * y))")</f>
        <v>-1.8051786112648207E-2</v>
      </c>
      <c r="L920" cm="1">
        <f t="array" ref="L920" xml:space="preserve"> mc(1000, -PI()/2,0,-1, 1, "ln(EXP(x * y))")</f>
        <v>7.4206587131102217E-2</v>
      </c>
      <c r="N920" cm="1">
        <f t="array" ref="N920" xml:space="preserve"> mc(100, -PI()/2,PI()/2, 0, 1, "sin(cos(x + y))")-1.48235</f>
        <v>-8.5512045154008121E-3</v>
      </c>
      <c r="O920" cm="1">
        <f t="array" ref="O920" xml:space="preserve"> mc(500, -PI()/2,PI()/2, 0, 1, "sin(cos(x + y))")-1.48235</f>
        <v>3.3482869851626962E-2</v>
      </c>
      <c r="P920" cm="1">
        <f t="array" ref="P920" xml:space="preserve"> mc(1000, -PI()/2,PI()/2, 0, 1, "sin(cos(x + y))")-1.48235</f>
        <v>-6.8875693092760981E-2</v>
      </c>
    </row>
    <row r="921" spans="1:16" x14ac:dyDescent="0.3">
      <c r="A921">
        <v>891</v>
      </c>
      <c r="B921" cm="1">
        <f t="array" ref="B921" xml:space="preserve"> mc(100, 0, 4, 1, 2, "x^2+y^2")-92/3</f>
        <v>2.6946430660976013</v>
      </c>
      <c r="C921" cm="1">
        <f t="array" ref="C921" xml:space="preserve"> mc(500, 0, 4, 1, 2, "x^2+y^2")-92/3</f>
        <v>-1.8655765255206873</v>
      </c>
      <c r="D921" cm="1">
        <f t="array" ref="D921" xml:space="preserve"> mc(1000, 0, 4, 1, 2, "x^2+y^2")-92/3</f>
        <v>-0.65398304463396428</v>
      </c>
      <c r="F921" cm="1">
        <f t="array" ref="F921" xml:space="preserve"> ( mc(100, 3, 4, -1, 1, "EXP(x * sin(y))") ) - 7.39981</f>
        <v>-9.7604492471097259E-2</v>
      </c>
      <c r="G921" cm="1">
        <f t="array" ref="G921" xml:space="preserve"> ( mc(500, 3, 4, -1, 1, "EXP(x * sin(y))") ) - 7.39981</f>
        <v>0.4430711268780394</v>
      </c>
      <c r="H921" cm="1">
        <f t="array" ref="H921" xml:space="preserve"> ( mc(1000, 3, 4, -1, 1, "EXP(x * sin(y))") ) - 7.39981</f>
        <v>0.26536088797895463</v>
      </c>
      <c r="J921" cm="1">
        <f t="array" ref="J921" xml:space="preserve"> mc(100, -PI()/2,0,-1, 1, "ln(EXP(x * y))")</f>
        <v>-6.8808020476698664E-2</v>
      </c>
      <c r="K921" cm="1">
        <f t="array" ref="K921" xml:space="preserve"> mc(500, -PI()/2,0,-1, 1, "ln(EXP(x * y))")</f>
        <v>5.1647961751175912E-2</v>
      </c>
      <c r="L921" cm="1">
        <f t="array" ref="L921" xml:space="preserve"> mc(1000, -PI()/2,0,-1, 1, "ln(EXP(x * y))")</f>
        <v>-1.6882555419273474E-2</v>
      </c>
      <c r="N921" cm="1">
        <f t="array" ref="N921" xml:space="preserve"> mc(100, -PI()/2,PI()/2, 0, 1, "sin(cos(x + y))")-1.48235</f>
        <v>-0.15628960445861173</v>
      </c>
      <c r="O921" cm="1">
        <f t="array" ref="O921" xml:space="preserve"> mc(500, -PI()/2,PI()/2, 0, 1, "sin(cos(x + y))")-1.48235</f>
        <v>4.0375941671214832E-2</v>
      </c>
      <c r="P921" cm="1">
        <f t="array" ref="P921" xml:space="preserve"> mc(1000, -PI()/2,PI()/2, 0, 1, "sin(cos(x + y))")-1.48235</f>
        <v>-1.6089816847998595E-2</v>
      </c>
    </row>
    <row r="922" spans="1:16" x14ac:dyDescent="0.3">
      <c r="A922">
        <v>892</v>
      </c>
      <c r="B922" cm="1">
        <f t="array" ref="B922" xml:space="preserve"> mc(100, 0, 4, 1, 2, "x^2+y^2")-92/3</f>
        <v>0.96023813342964104</v>
      </c>
      <c r="C922" cm="1">
        <f t="array" ref="C922" xml:space="preserve"> mc(500, 0, 4, 1, 2, "x^2+y^2")-92/3</f>
        <v>-1.7173694798293475</v>
      </c>
      <c r="D922" cm="1">
        <f t="array" ref="D922" xml:space="preserve"> mc(1000, 0, 4, 1, 2, "x^2+y^2")-92/3</f>
        <v>1.1010433383598901</v>
      </c>
      <c r="F922" cm="1">
        <f t="array" ref="F922" xml:space="preserve"> ( mc(100, 3, 4, -1, 1, "EXP(x * sin(y))") ) - 7.39981</f>
        <v>0.32540000278624515</v>
      </c>
      <c r="G922" cm="1">
        <f t="array" ref="G922" xml:space="preserve"> ( mc(500, 3, 4, -1, 1, "EXP(x * sin(y))") ) - 7.39981</f>
        <v>0.16607625329824405</v>
      </c>
      <c r="H922" cm="1">
        <f t="array" ref="H922" xml:space="preserve"> ( mc(1000, 3, 4, -1, 1, "EXP(x * sin(y))") ) - 7.39981</f>
        <v>-3.8651712175419739E-2</v>
      </c>
      <c r="J922" cm="1">
        <f t="array" ref="J922" xml:space="preserve"> mc(100, -PI()/2,0,-1, 1, "ln(EXP(x * y))")</f>
        <v>-1.7680778488108166E-3</v>
      </c>
      <c r="K922" cm="1">
        <f t="array" ref="K922" xml:space="preserve"> mc(500, -PI()/2,0,-1, 1, "ln(EXP(x * y))")</f>
        <v>3.8452551491123137E-2</v>
      </c>
      <c r="L922" cm="1">
        <f t="array" ref="L922" xml:space="preserve"> mc(1000, -PI()/2,0,-1, 1, "ln(EXP(x * y))")</f>
        <v>6.2815404834872853E-3</v>
      </c>
      <c r="N922" cm="1">
        <f t="array" ref="N922" xml:space="preserve"> mc(100, -PI()/2,PI()/2, 0, 1, "sin(cos(x + y))")-1.48235</f>
        <v>0.20203973303125666</v>
      </c>
      <c r="O922" cm="1">
        <f t="array" ref="O922" xml:space="preserve"> mc(500, -PI()/2,PI()/2, 0, 1, "sin(cos(x + y))")-1.48235</f>
        <v>-4.4503315185732362E-2</v>
      </c>
      <c r="P922" cm="1">
        <f t="array" ref="P922" xml:space="preserve"> mc(1000, -PI()/2,PI()/2, 0, 1, "sin(cos(x + y))")-1.48235</f>
        <v>-5.0252895370086481E-3</v>
      </c>
    </row>
    <row r="923" spans="1:16" x14ac:dyDescent="0.3">
      <c r="A923">
        <v>893</v>
      </c>
      <c r="B923" cm="1">
        <f t="array" ref="B923" xml:space="preserve"> mc(100, 0, 4, 1, 2, "x^2+y^2")-92/3</f>
        <v>-0.34122667060520584</v>
      </c>
      <c r="C923" cm="1">
        <f t="array" ref="C923" xml:space="preserve"> mc(500, 0, 4, 1, 2, "x^2+y^2")-92/3</f>
        <v>0.86315489311572335</v>
      </c>
      <c r="D923" cm="1">
        <f t="array" ref="D923" xml:space="preserve"> mc(1000, 0, 4, 1, 2, "x^2+y^2")-92/3</f>
        <v>-0.191902405832586</v>
      </c>
      <c r="F923" cm="1">
        <f t="array" ref="F923" xml:space="preserve"> ( mc(100, 3, 4, -1, 1, "EXP(x * sin(y))") ) - 7.39981</f>
        <v>6.5597234830402584E-2</v>
      </c>
      <c r="G923" cm="1">
        <f t="array" ref="G923" xml:space="preserve"> ( mc(500, 3, 4, -1, 1, "EXP(x * sin(y))") ) - 7.39981</f>
        <v>-1.0960220331343642</v>
      </c>
      <c r="H923" cm="1">
        <f t="array" ref="H923" xml:space="preserve"> ( mc(1000, 3, 4, -1, 1, "EXP(x * sin(y))") ) - 7.39981</f>
        <v>0.20282732629767697</v>
      </c>
      <c r="J923" cm="1">
        <f t="array" ref="J923" xml:space="preserve"> mc(100, -PI()/2,0,-1, 1, "ln(EXP(x * y))")</f>
        <v>0.24126551613426814</v>
      </c>
      <c r="K923" cm="1">
        <f t="array" ref="K923" xml:space="preserve"> mc(500, -PI()/2,0,-1, 1, "ln(EXP(x * y))")</f>
        <v>5.8938013677853181E-2</v>
      </c>
      <c r="L923" cm="1">
        <f t="array" ref="L923" xml:space="preserve"> mc(1000, -PI()/2,0,-1, 1, "ln(EXP(x * y))")</f>
        <v>3.9443180560669458E-3</v>
      </c>
      <c r="N923" cm="1">
        <f t="array" ref="N923" xml:space="preserve"> mc(100, -PI()/2,PI()/2, 0, 1, "sin(cos(x + y))")-1.48235</f>
        <v>0.17783440183138688</v>
      </c>
      <c r="O923" cm="1">
        <f t="array" ref="O923" xml:space="preserve"> mc(500, -PI()/2,PI()/2, 0, 1, "sin(cos(x + y))")-1.48235</f>
        <v>1.2569430148698491E-2</v>
      </c>
      <c r="P923" cm="1">
        <f t="array" ref="P923" xml:space="preserve"> mc(1000, -PI()/2,PI()/2, 0, 1, "sin(cos(x + y))")-1.48235</f>
        <v>4.6815566806495124E-2</v>
      </c>
    </row>
    <row r="924" spans="1:16" x14ac:dyDescent="0.3">
      <c r="A924">
        <v>894</v>
      </c>
      <c r="B924" cm="1">
        <f t="array" ref="B924" xml:space="preserve"> mc(100, 0, 4, 1, 2, "x^2+y^2")-92/3</f>
        <v>-3.0031588453901463</v>
      </c>
      <c r="C924" cm="1">
        <f t="array" ref="C924" xml:space="preserve"> mc(500, 0, 4, 1, 2, "x^2+y^2")-92/3</f>
        <v>0.71247479090363441</v>
      </c>
      <c r="D924" cm="1">
        <f t="array" ref="D924" xml:space="preserve"> mc(1000, 0, 4, 1, 2, "x^2+y^2")-92/3</f>
        <v>-7.2505897176750267E-2</v>
      </c>
      <c r="F924" cm="1">
        <f t="array" ref="F924" xml:space="preserve"> ( mc(100, 3, 4, -1, 1, "EXP(x * sin(y))") ) - 7.39981</f>
        <v>2.1147922232891325</v>
      </c>
      <c r="G924" cm="1">
        <f t="array" ref="G924" xml:space="preserve"> ( mc(500, 3, 4, -1, 1, "EXP(x * sin(y))") ) - 7.39981</f>
        <v>6.6352163487408689E-3</v>
      </c>
      <c r="H924" cm="1">
        <f t="array" ref="H924" xml:space="preserve"> ( mc(1000, 3, 4, -1, 1, "EXP(x * sin(y))") ) - 7.39981</f>
        <v>0.4696261181906296</v>
      </c>
      <c r="J924" cm="1">
        <f t="array" ref="J924" xml:space="preserve"> mc(100, -PI()/2,0,-1, 1, "ln(EXP(x * y))")</f>
        <v>-0.17049403144003814</v>
      </c>
      <c r="K924" cm="1">
        <f t="array" ref="K924" xml:space="preserve"> mc(500, -PI()/2,0,-1, 1, "ln(EXP(x * y))")</f>
        <v>4.6847666334423728E-2</v>
      </c>
      <c r="L924" cm="1">
        <f t="array" ref="L924" xml:space="preserve"> mc(1000, -PI()/2,0,-1, 1, "ln(EXP(x * y))")</f>
        <v>5.5709830783926127E-2</v>
      </c>
      <c r="N924" cm="1">
        <f t="array" ref="N924" xml:space="preserve"> mc(100, -PI()/2,PI()/2, 0, 1, "sin(cos(x + y))")-1.48235</f>
        <v>0.13141050994495562</v>
      </c>
      <c r="O924" cm="1">
        <f t="array" ref="O924" xml:space="preserve"> mc(500, -PI()/2,PI()/2, 0, 1, "sin(cos(x + y))")-1.48235</f>
        <v>1.1717195793625734E-3</v>
      </c>
      <c r="P924" cm="1">
        <f t="array" ref="P924" xml:space="preserve"> mc(1000, -PI()/2,PI()/2, 0, 1, "sin(cos(x + y))")-1.48235</f>
        <v>2.6359449182596917E-2</v>
      </c>
    </row>
    <row r="925" spans="1:16" x14ac:dyDescent="0.3">
      <c r="A925">
        <v>895</v>
      </c>
      <c r="B925" cm="1">
        <f t="array" ref="B925" xml:space="preserve"> mc(100, 0, 4, 1, 2, "x^2+y^2")-92/3</f>
        <v>-1.9569693400568831</v>
      </c>
      <c r="C925" cm="1">
        <f t="array" ref="C925" xml:space="preserve"> mc(500, 0, 4, 1, 2, "x^2+y^2")-92/3</f>
        <v>-1.0802626110311024</v>
      </c>
      <c r="D925" cm="1">
        <f t="array" ref="D925" xml:space="preserve"> mc(1000, 0, 4, 1, 2, "x^2+y^2")-92/3</f>
        <v>-4.9017203289629663E-3</v>
      </c>
      <c r="F925" cm="1">
        <f t="array" ref="F925" xml:space="preserve"> ( mc(100, 3, 4, -1, 1, "EXP(x * sin(y))") ) - 7.39981</f>
        <v>1.0868871766257335</v>
      </c>
      <c r="G925" cm="1">
        <f t="array" ref="G925" xml:space="preserve"> ( mc(500, 3, 4, -1, 1, "EXP(x * sin(y))") ) - 7.39981</f>
        <v>0.17541848774697666</v>
      </c>
      <c r="H925" cm="1">
        <f t="array" ref="H925" xml:space="preserve"> ( mc(1000, 3, 4, -1, 1, "EXP(x * sin(y))") ) - 7.39981</f>
        <v>-0.11812203425063572</v>
      </c>
      <c r="J925" cm="1">
        <f t="array" ref="J925" xml:space="preserve"> mc(100, -PI()/2,0,-1, 1, "ln(EXP(x * y))")</f>
        <v>4.9656576374809844E-2</v>
      </c>
      <c r="K925" cm="1">
        <f t="array" ref="K925" xml:space="preserve"> mc(500, -PI()/2,0,-1, 1, "ln(EXP(x * y))")</f>
        <v>7.7131144388801989E-2</v>
      </c>
      <c r="L925" cm="1">
        <f t="array" ref="L925" xml:space="preserve"> mc(1000, -PI()/2,0,-1, 1, "ln(EXP(x * y))")</f>
        <v>-1.0349495198149232E-3</v>
      </c>
      <c r="N925" cm="1">
        <f t="array" ref="N925" xml:space="preserve"> mc(100, -PI()/2,PI()/2, 0, 1, "sin(cos(x + y))")-1.48235</f>
        <v>-2.2429487094866696E-2</v>
      </c>
      <c r="O925" cm="1">
        <f t="array" ref="O925" xml:space="preserve"> mc(500, -PI()/2,PI()/2, 0, 1, "sin(cos(x + y))")-1.48235</f>
        <v>4.9043300244548949E-3</v>
      </c>
      <c r="P925" cm="1">
        <f t="array" ref="P925" xml:space="preserve"> mc(1000, -PI()/2,PI()/2, 0, 1, "sin(cos(x + y))")-1.48235</f>
        <v>9.4616173643822243E-3</v>
      </c>
    </row>
    <row r="926" spans="1:16" x14ac:dyDescent="0.3">
      <c r="A926">
        <v>896</v>
      </c>
      <c r="B926" cm="1">
        <f t="array" ref="B926" xml:space="preserve"> mc(100, 0, 4, 1, 2, "x^2+y^2")-92/3</f>
        <v>-0.60332954916909998</v>
      </c>
      <c r="C926" cm="1">
        <f t="array" ref="C926" xml:space="preserve"> mc(500, 0, 4, 1, 2, "x^2+y^2")-92/3</f>
        <v>0.54085899088324751</v>
      </c>
      <c r="D926" cm="1">
        <f t="array" ref="D926" xml:space="preserve"> mc(1000, 0, 4, 1, 2, "x^2+y^2")-92/3</f>
        <v>0.16410737419518284</v>
      </c>
      <c r="F926" cm="1">
        <f t="array" ref="F926" xml:space="preserve"> ( mc(100, 3, 4, -1, 1, "EXP(x * sin(y))") ) - 7.39981</f>
        <v>-0.68199606564724746</v>
      </c>
      <c r="G926" cm="1">
        <f t="array" ref="G926" xml:space="preserve"> ( mc(500, 3, 4, -1, 1, "EXP(x * sin(y))") ) - 7.39981</f>
        <v>0.71142536976983983</v>
      </c>
      <c r="H926" cm="1">
        <f t="array" ref="H926" xml:space="preserve"> ( mc(1000, 3, 4, -1, 1, "EXP(x * sin(y))") ) - 7.39981</f>
        <v>-4.8386917750871561E-2</v>
      </c>
      <c r="J926" cm="1">
        <f t="array" ref="J926" xml:space="preserve"> mc(100, -PI()/2,0,-1, 1, "ln(EXP(x * y))")</f>
        <v>-5.4726741106068032E-2</v>
      </c>
      <c r="K926" cm="1">
        <f t="array" ref="K926" xml:space="preserve"> mc(500, -PI()/2,0,-1, 1, "ln(EXP(x * y))")</f>
        <v>6.3764041607496144E-2</v>
      </c>
      <c r="L926" cm="1">
        <f t="array" ref="L926" xml:space="preserve"> mc(1000, -PI()/2,0,-1, 1, "ln(EXP(x * y))")</f>
        <v>1.2526627953437517E-3</v>
      </c>
      <c r="N926" cm="1">
        <f t="array" ref="N926" xml:space="preserve"> mc(100, -PI()/2,PI()/2, 0, 1, "sin(cos(x + y))")-1.48235</f>
        <v>-4.1735560460374854E-2</v>
      </c>
      <c r="O926" cm="1">
        <f t="array" ref="O926" xml:space="preserve"> mc(500, -PI()/2,PI()/2, 0, 1, "sin(cos(x + y))")-1.48235</f>
        <v>7.9987719420524517E-3</v>
      </c>
      <c r="P926" cm="1">
        <f t="array" ref="P926" xml:space="preserve"> mc(1000, -PI()/2,PI()/2, 0, 1, "sin(cos(x + y))")-1.48235</f>
        <v>3.5919776532808756E-2</v>
      </c>
    </row>
    <row r="927" spans="1:16" x14ac:dyDescent="0.3">
      <c r="A927">
        <v>897</v>
      </c>
      <c r="B927" cm="1">
        <f t="array" ref="B927" xml:space="preserve"> mc(100, 0, 4, 1, 2, "x^2+y^2")-92/3</f>
        <v>1.590086982008561</v>
      </c>
      <c r="C927" cm="1">
        <f t="array" ref="C927" xml:space="preserve"> mc(500, 0, 4, 1, 2, "x^2+y^2")-92/3</f>
        <v>1.309176270533932</v>
      </c>
      <c r="D927" cm="1">
        <f t="array" ref="D927" xml:space="preserve"> mc(1000, 0, 4, 1, 2, "x^2+y^2")-92/3</f>
        <v>5.5925291748049943E-2</v>
      </c>
      <c r="F927" cm="1">
        <f t="array" ref="F927" xml:space="preserve"> ( mc(100, 3, 4, -1, 1, "EXP(x * sin(y))") ) - 7.39981</f>
        <v>7.4983712591528473E-2</v>
      </c>
      <c r="G927" cm="1">
        <f t="array" ref="G927" xml:space="preserve"> ( mc(500, 3, 4, -1, 1, "EXP(x * sin(y))") ) - 7.39981</f>
        <v>-0.20274413328991425</v>
      </c>
      <c r="H927" cm="1">
        <f t="array" ref="H927" xml:space="preserve"> ( mc(1000, 3, 4, -1, 1, "EXP(x * sin(y))") ) - 7.39981</f>
        <v>6.5639155129279203E-2</v>
      </c>
      <c r="J927" cm="1">
        <f t="array" ref="J927" xml:space="preserve"> mc(100, -PI()/2,0,-1, 1, "ln(EXP(x * y))")</f>
        <v>-0.11841670433502106</v>
      </c>
      <c r="K927" cm="1">
        <f t="array" ref="K927" xml:space="preserve"> mc(500, -PI()/2,0,-1, 1, "ln(EXP(x * y))")</f>
        <v>2.8299112895470886E-2</v>
      </c>
      <c r="L927" cm="1">
        <f t="array" ref="L927" xml:space="preserve"> mc(1000, -PI()/2,0,-1, 1, "ln(EXP(x * y))")</f>
        <v>-2.1154975845511487E-2</v>
      </c>
      <c r="N927" cm="1">
        <f t="array" ref="N927" xml:space="preserve"> mc(100, -PI()/2,PI()/2, 0, 1, "sin(cos(x + y))")-1.48235</f>
        <v>0.10823879627496802</v>
      </c>
      <c r="O927" cm="1">
        <f t="array" ref="O927" xml:space="preserve"> mc(500, -PI()/2,PI()/2, 0, 1, "sin(cos(x + y))")-1.48235</f>
        <v>7.5231736585010811E-3</v>
      </c>
      <c r="P927" cm="1">
        <f t="array" ref="P927" xml:space="preserve"> mc(1000, -PI()/2,PI()/2, 0, 1, "sin(cos(x + y))")-1.48235</f>
        <v>-5.7690661066716054E-3</v>
      </c>
    </row>
    <row r="928" spans="1:16" x14ac:dyDescent="0.3">
      <c r="A928">
        <v>898</v>
      </c>
      <c r="B928" cm="1">
        <f t="array" ref="B928" xml:space="preserve"> mc(100, 0, 4, 1, 2, "x^2+y^2")-92/3</f>
        <v>-2.1891023059807111</v>
      </c>
      <c r="C928" cm="1">
        <f t="array" ref="C928" xml:space="preserve"> mc(500, 0, 4, 1, 2, "x^2+y^2")-92/3</f>
        <v>1.005233686801688</v>
      </c>
      <c r="D928" cm="1">
        <f t="array" ref="D928" xml:space="preserve"> mc(1000, 0, 4, 1, 2, "x^2+y^2")-92/3</f>
        <v>-3.5873491361183341E-2</v>
      </c>
      <c r="F928" cm="1">
        <f t="array" ref="F928" xml:space="preserve"> ( mc(100, 3, 4, -1, 1, "EXP(x * sin(y))") ) - 7.39981</f>
        <v>0.85554314149831434</v>
      </c>
      <c r="G928" cm="1">
        <f t="array" ref="G928" xml:space="preserve"> ( mc(500, 3, 4, -1, 1, "EXP(x * sin(y))") ) - 7.39981</f>
        <v>0.60946483923019024</v>
      </c>
      <c r="H928" cm="1">
        <f t="array" ref="H928" xml:space="preserve"> ( mc(1000, 3, 4, -1, 1, "EXP(x * sin(y))") ) - 7.39981</f>
        <v>-0.1322253385005423</v>
      </c>
      <c r="J928" cm="1">
        <f t="array" ref="J928" xml:space="preserve"> mc(100, -PI()/2,0,-1, 1, "ln(EXP(x * y))")</f>
        <v>7.5754722403134356E-2</v>
      </c>
      <c r="K928" cm="1">
        <f t="array" ref="K928" xml:space="preserve"> mc(500, -PI()/2,0,-1, 1, "ln(EXP(x * y))")</f>
        <v>-2.6489265179811705E-2</v>
      </c>
      <c r="L928" cm="1">
        <f t="array" ref="L928" xml:space="preserve"> mc(1000, -PI()/2,0,-1, 1, "ln(EXP(x * y))")</f>
        <v>-2.6530006465424871E-2</v>
      </c>
      <c r="N928" cm="1">
        <f t="array" ref="N928" xml:space="preserve"> mc(100, -PI()/2,PI()/2, 0, 1, "sin(cos(x + y))")-1.48235</f>
        <v>6.9818771040768723E-2</v>
      </c>
      <c r="O928" cm="1">
        <f t="array" ref="O928" xml:space="preserve"> mc(500, -PI()/2,PI()/2, 0, 1, "sin(cos(x + y))")-1.48235</f>
        <v>-8.3539826625016467E-3</v>
      </c>
      <c r="P928" cm="1">
        <f t="array" ref="P928" xml:space="preserve"> mc(1000, -PI()/2,PI()/2, 0, 1, "sin(cos(x + y))")-1.48235</f>
        <v>-6.1265694044359442E-2</v>
      </c>
    </row>
    <row r="929" spans="1:16" x14ac:dyDescent="0.3">
      <c r="A929">
        <v>899</v>
      </c>
      <c r="B929" cm="1">
        <f t="array" ref="B929" xml:space="preserve"> mc(100, 0, 4, 1, 2, "x^2+y^2")-92/3</f>
        <v>0.33324444631754702</v>
      </c>
      <c r="C929" cm="1">
        <f t="array" ref="C929" xml:space="preserve"> mc(500, 0, 4, 1, 2, "x^2+y^2")-92/3</f>
        <v>0.35590366594052369</v>
      </c>
      <c r="D929" cm="1">
        <f t="array" ref="D929" xml:space="preserve"> mc(1000, 0, 4, 1, 2, "x^2+y^2")-92/3</f>
        <v>0.82126012765055378</v>
      </c>
      <c r="F929" cm="1">
        <f t="array" ref="F929" xml:space="preserve"> ( mc(100, 3, 4, -1, 1, "EXP(x * sin(y))") ) - 7.39981</f>
        <v>-0.33477141292712798</v>
      </c>
      <c r="G929" cm="1">
        <f t="array" ref="G929" xml:space="preserve"> ( mc(500, 3, 4, -1, 1, "EXP(x * sin(y))") ) - 7.39981</f>
        <v>0.2461833965256579</v>
      </c>
      <c r="H929" cm="1">
        <f t="array" ref="H929" xml:space="preserve"> ( mc(1000, 3, 4, -1, 1, "EXP(x * sin(y))") ) - 7.39981</f>
        <v>-0.36586337212214737</v>
      </c>
      <c r="J929" cm="1">
        <f t="array" ref="J929" xml:space="preserve"> mc(100, -PI()/2,0,-1, 1, "ln(EXP(x * y))")</f>
        <v>8.342549570781313E-2</v>
      </c>
      <c r="K929" cm="1">
        <f t="array" ref="K929" xml:space="preserve"> mc(500, -PI()/2,0,-1, 1, "ln(EXP(x * y))")</f>
        <v>4.204729434138342E-2</v>
      </c>
      <c r="L929" cm="1">
        <f t="array" ref="L929" xml:space="preserve"> mc(1000, -PI()/2,0,-1, 1, "ln(EXP(x * y))")</f>
        <v>-4.7451744351868635E-2</v>
      </c>
      <c r="N929" cm="1">
        <f t="array" ref="N929" xml:space="preserve"> mc(100, -PI()/2,PI()/2, 0, 1, "sin(cos(x + y))")-1.48235</f>
        <v>-0.24962461932599544</v>
      </c>
      <c r="O929" cm="1">
        <f t="array" ref="O929" xml:space="preserve"> mc(500, -PI()/2,PI()/2, 0, 1, "sin(cos(x + y))")-1.48235</f>
        <v>-0.10945009779576309</v>
      </c>
      <c r="P929" cm="1">
        <f t="array" ref="P929" xml:space="preserve"> mc(1000, -PI()/2,PI()/2, 0, 1, "sin(cos(x + y))")-1.48235</f>
        <v>-1.2571063057951859E-2</v>
      </c>
    </row>
    <row r="930" spans="1:16" x14ac:dyDescent="0.3">
      <c r="A930">
        <v>900</v>
      </c>
      <c r="B930" cm="1">
        <f t="array" ref="B930" xml:space="preserve"> mc(100, 0, 4, 1, 2, "x^2+y^2")-92/3</f>
        <v>2.9000534091450056</v>
      </c>
      <c r="C930" cm="1">
        <f t="array" ref="C930" xml:space="preserve"> mc(500, 0, 4, 1, 2, "x^2+y^2")-92/3</f>
        <v>0.4048253708972176</v>
      </c>
      <c r="D930" cm="1">
        <f t="array" ref="D930" xml:space="preserve"> mc(1000, 0, 4, 1, 2, "x^2+y^2")-92/3</f>
        <v>0.15444287567662229</v>
      </c>
      <c r="F930" cm="1">
        <f t="array" ref="F930" xml:space="preserve"> ( mc(100, 3, 4, -1, 1, "EXP(x * sin(y))") ) - 7.39981</f>
        <v>0.63919705853624897</v>
      </c>
      <c r="G930" cm="1">
        <f t="array" ref="G930" xml:space="preserve"> ( mc(500, 3, 4, -1, 1, "EXP(x * sin(y))") ) - 7.39981</f>
        <v>-0.32767156935602859</v>
      </c>
      <c r="H930" cm="1">
        <f t="array" ref="H930" xml:space="preserve"> ( mc(1000, 3, 4, -1, 1, "EXP(x * sin(y))") ) - 7.39981</f>
        <v>0.15176474091036685</v>
      </c>
      <c r="J930" cm="1">
        <f t="array" ref="J930" xml:space="preserve"> mc(100, -PI()/2,0,-1, 1, "ln(EXP(x * y))")</f>
        <v>-4.5634845427935451E-2</v>
      </c>
      <c r="K930" cm="1">
        <f t="array" ref="K930" xml:space="preserve"> mc(500, -PI()/2,0,-1, 1, "ln(EXP(x * y))")</f>
        <v>2.7235477071025936E-2</v>
      </c>
      <c r="L930" cm="1">
        <f t="array" ref="L930" xml:space="preserve"> mc(1000, -PI()/2,0,-1, 1, "ln(EXP(x * y))")</f>
        <v>3.7451466659506653E-2</v>
      </c>
      <c r="N930" cm="1">
        <f t="array" ref="N930" xml:space="preserve"> mc(100, -PI()/2,PI()/2, 0, 1, "sin(cos(x + y))")-1.48235</f>
        <v>-7.1015726083649477E-2</v>
      </c>
      <c r="O930" cm="1">
        <f t="array" ref="O930" xml:space="preserve"> mc(500, -PI()/2,PI()/2, 0, 1, "sin(cos(x + y))")-1.48235</f>
        <v>1.805490933320586E-2</v>
      </c>
      <c r="P930" cm="1">
        <f t="array" ref="P930" xml:space="preserve"> mc(1000, -PI()/2,PI()/2, 0, 1, "sin(cos(x + y))")-1.48235</f>
        <v>-1.9853273882863398E-2</v>
      </c>
    </row>
    <row r="931" spans="1:16" x14ac:dyDescent="0.3">
      <c r="A931">
        <v>901</v>
      </c>
      <c r="B931" cm="1">
        <f t="array" ref="B931" xml:space="preserve"> mc(100, 0, 4, 1, 2, "x^2+y^2")-92/3</f>
        <v>4.8232411052131248</v>
      </c>
      <c r="C931" cm="1">
        <f t="array" ref="C931" xml:space="preserve"> mc(500, 0, 4, 1, 2, "x^2+y^2")-92/3</f>
        <v>-0.12739194112287322</v>
      </c>
      <c r="D931" cm="1">
        <f t="array" ref="D931" xml:space="preserve"> mc(1000, 0, 4, 1, 2, "x^2+y^2")-92/3</f>
        <v>-0.8133168873959562</v>
      </c>
      <c r="F931" cm="1">
        <f t="array" ref="F931" xml:space="preserve"> ( mc(100, 3, 4, -1, 1, "EXP(x * sin(y))") ) - 7.39981</f>
        <v>-0.76361258373906971</v>
      </c>
      <c r="G931" cm="1">
        <f t="array" ref="G931" xml:space="preserve"> ( mc(500, 3, 4, -1, 1, "EXP(x * sin(y))") ) - 7.39981</f>
        <v>-0.13467288724091286</v>
      </c>
      <c r="H931" cm="1">
        <f t="array" ref="H931" xml:space="preserve"> ( mc(1000, 3, 4, -1, 1, "EXP(x * sin(y))") ) - 7.39981</f>
        <v>-0.33586474171090774</v>
      </c>
      <c r="J931" cm="1">
        <f t="array" ref="J931" xml:space="preserve"> mc(100, -PI()/2,0,-1, 1, "ln(EXP(x * y))")</f>
        <v>-7.2531866008402501E-2</v>
      </c>
      <c r="K931" cm="1">
        <f t="array" ref="K931" xml:space="preserve"> mc(500, -PI()/2,0,-1, 1, "ln(EXP(x * y))")</f>
        <v>7.3132685948315443E-2</v>
      </c>
      <c r="L931" cm="1">
        <f t="array" ref="L931" xml:space="preserve"> mc(1000, -PI()/2,0,-1, 1, "ln(EXP(x * y))")</f>
        <v>5.3244542391883021E-3</v>
      </c>
      <c r="N931" cm="1">
        <f t="array" ref="N931" xml:space="preserve"> mc(100, -PI()/2,PI()/2, 0, 1, "sin(cos(x + y))")-1.48235</f>
        <v>0.11446539266776079</v>
      </c>
      <c r="O931" cm="1">
        <f t="array" ref="O931" xml:space="preserve"> mc(500, -PI()/2,PI()/2, 0, 1, "sin(cos(x + y))")-1.48235</f>
        <v>3.5635572316454978E-2</v>
      </c>
      <c r="P931" cm="1">
        <f t="array" ref="P931" xml:space="preserve"> mc(1000, -PI()/2,PI()/2, 0, 1, "sin(cos(x + y))")-1.48235</f>
        <v>-2.0421174756951821E-2</v>
      </c>
    </row>
    <row r="932" spans="1:16" x14ac:dyDescent="0.3">
      <c r="A932">
        <v>902</v>
      </c>
      <c r="B932" cm="1">
        <f t="array" ref="B932" xml:space="preserve"> mc(100, 0, 4, 1, 2, "x^2+y^2")-92/3</f>
        <v>0.19549419606720519</v>
      </c>
      <c r="C932" cm="1">
        <f t="array" ref="C932" xml:space="preserve"> mc(500, 0, 4, 1, 2, "x^2+y^2")-92/3</f>
        <v>-0.37754282139464834</v>
      </c>
      <c r="D932" cm="1">
        <f t="array" ref="D932" xml:space="preserve"> mc(1000, 0, 4, 1, 2, "x^2+y^2")-92/3</f>
        <v>0.30135246028554974</v>
      </c>
      <c r="F932" cm="1">
        <f t="array" ref="F932" xml:space="preserve"> ( mc(100, 3, 4, -1, 1, "EXP(x * sin(y))") ) - 7.39981</f>
        <v>7.93012717661572E-2</v>
      </c>
      <c r="G932" cm="1">
        <f t="array" ref="G932" xml:space="preserve"> ( mc(500, 3, 4, -1, 1, "EXP(x * sin(y))") ) - 7.39981</f>
        <v>0.21573741833428617</v>
      </c>
      <c r="H932" cm="1">
        <f t="array" ref="H932" xml:space="preserve"> ( mc(1000, 3, 4, -1, 1, "EXP(x * sin(y))") ) - 7.39981</f>
        <v>-0.12681642639282575</v>
      </c>
      <c r="J932" cm="1">
        <f t="array" ref="J932" xml:space="preserve"> mc(100, -PI()/2,0,-1, 1, "ln(EXP(x * y))")</f>
        <v>3.2293754519281431E-2</v>
      </c>
      <c r="K932" cm="1">
        <f t="array" ref="K932" xml:space="preserve"> mc(500, -PI()/2,0,-1, 1, "ln(EXP(x * y))")</f>
        <v>4.851450122561678E-3</v>
      </c>
      <c r="L932" cm="1">
        <f t="array" ref="L932" xml:space="preserve"> mc(1000, -PI()/2,0,-1, 1, "ln(EXP(x * y))")</f>
        <v>-8.8198379694378104E-2</v>
      </c>
      <c r="N932" cm="1">
        <f t="array" ref="N932" xml:space="preserve"> mc(100, -PI()/2,PI()/2, 0, 1, "sin(cos(x + y))")-1.48235</f>
        <v>-8.4908865009701184E-2</v>
      </c>
      <c r="O932" cm="1">
        <f t="array" ref="O932" xml:space="preserve"> mc(500, -PI()/2,PI()/2, 0, 1, "sin(cos(x + y))")-1.48235</f>
        <v>-3.7445639410838671E-2</v>
      </c>
      <c r="P932" cm="1">
        <f t="array" ref="P932" xml:space="preserve"> mc(1000, -PI()/2,PI()/2, 0, 1, "sin(cos(x + y))")-1.48235</f>
        <v>-2.1160975290933859E-2</v>
      </c>
    </row>
    <row r="933" spans="1:16" x14ac:dyDescent="0.3">
      <c r="A933">
        <v>903</v>
      </c>
      <c r="B933" cm="1">
        <f t="array" ref="B933" xml:space="preserve"> mc(100, 0, 4, 1, 2, "x^2+y^2")-92/3</f>
        <v>-3.2919865898119873</v>
      </c>
      <c r="C933" cm="1">
        <f t="array" ref="C933" xml:space="preserve"> mc(500, 0, 4, 1, 2, "x^2+y^2")-92/3</f>
        <v>-0.23810194046814814</v>
      </c>
      <c r="D933" cm="1">
        <f t="array" ref="D933" xml:space="preserve"> mc(1000, 0, 4, 1, 2, "x^2+y^2")-92/3</f>
        <v>0.1078094443280726</v>
      </c>
      <c r="F933" cm="1">
        <f t="array" ref="F933" xml:space="preserve"> ( mc(100, 3, 4, -1, 1, "EXP(x * sin(y))") ) - 7.39981</f>
        <v>-1.5306528189145538</v>
      </c>
      <c r="G933" cm="1">
        <f t="array" ref="G933" xml:space="preserve"> ( mc(500, 3, 4, -1, 1, "EXP(x * sin(y))") ) - 7.39981</f>
        <v>0.64463804483419729</v>
      </c>
      <c r="H933" cm="1">
        <f t="array" ref="H933" xml:space="preserve"> ( mc(1000, 3, 4, -1, 1, "EXP(x * sin(y))") ) - 7.39981</f>
        <v>-0.73740866551296236</v>
      </c>
      <c r="J933" cm="1">
        <f t="array" ref="J933" xml:space="preserve"> mc(100, -PI()/2,0,-1, 1, "ln(EXP(x * y))")</f>
        <v>-3.2007336120503015E-2</v>
      </c>
      <c r="K933" cm="1">
        <f t="array" ref="K933" xml:space="preserve"> mc(500, -PI()/2,0,-1, 1, "ln(EXP(x * y))")</f>
        <v>3.1261578181716299E-3</v>
      </c>
      <c r="L933" cm="1">
        <f t="array" ref="L933" xml:space="preserve"> mc(1000, -PI()/2,0,-1, 1, "ln(EXP(x * y))")</f>
        <v>1.5997416994505811E-2</v>
      </c>
      <c r="N933" cm="1">
        <f t="array" ref="N933" xml:space="preserve"> mc(100, -PI()/2,PI()/2, 0, 1, "sin(cos(x + y))")-1.48235</f>
        <v>-4.8555548212898536E-3</v>
      </c>
      <c r="O933" cm="1">
        <f t="array" ref="O933" xml:space="preserve"> mc(500, -PI()/2,PI()/2, 0, 1, "sin(cos(x + y))")-1.48235</f>
        <v>-7.0912339324022966E-2</v>
      </c>
      <c r="P933" cm="1">
        <f t="array" ref="P933" xml:space="preserve"> mc(1000, -PI()/2,PI()/2, 0, 1, "sin(cos(x + y))")-1.48235</f>
        <v>3.4972447134253626E-2</v>
      </c>
    </row>
    <row r="934" spans="1:16" x14ac:dyDescent="0.3">
      <c r="A934">
        <v>904</v>
      </c>
      <c r="B934" cm="1">
        <f t="array" ref="B934" xml:space="preserve"> mc(100, 0, 4, 1, 2, "x^2+y^2")-92/3</f>
        <v>-2.3321581645337091</v>
      </c>
      <c r="C934" cm="1">
        <f t="array" ref="C934" xml:space="preserve"> mc(500, 0, 4, 1, 2, "x^2+y^2")-92/3</f>
        <v>0.26667313708450635</v>
      </c>
      <c r="D934" cm="1">
        <f t="array" ref="D934" xml:space="preserve"> mc(1000, 0, 4, 1, 2, "x^2+y^2")-92/3</f>
        <v>-0.43156264606395567</v>
      </c>
      <c r="F934" cm="1">
        <f t="array" ref="F934" xml:space="preserve"> ( mc(100, 3, 4, -1, 1, "EXP(x * sin(y))") ) - 7.39981</f>
        <v>-0.41157906440140479</v>
      </c>
      <c r="G934" cm="1">
        <f t="array" ref="G934" xml:space="preserve"> ( mc(500, 3, 4, -1, 1, "EXP(x * sin(y))") ) - 7.39981</f>
        <v>0.35068672253648803</v>
      </c>
      <c r="H934" cm="1">
        <f t="array" ref="H934" xml:space="preserve"> ( mc(1000, 3, 4, -1, 1, "EXP(x * sin(y))") ) - 7.39981</f>
        <v>0.35679104728352939</v>
      </c>
      <c r="J934" cm="1">
        <f t="array" ref="J934" xml:space="preserve"> mc(100, -PI()/2,0,-1, 1, "ln(EXP(x * y))")</f>
        <v>-3.38160064991043E-3</v>
      </c>
      <c r="K934" cm="1">
        <f t="array" ref="K934" xml:space="preserve"> mc(500, -PI()/2,0,-1, 1, "ln(EXP(x * y))")</f>
        <v>-7.083120259108304E-2</v>
      </c>
      <c r="L934" cm="1">
        <f t="array" ref="L934" xml:space="preserve"> mc(1000, -PI()/2,0,-1, 1, "ln(EXP(x * y))")</f>
        <v>-3.5115628831554335E-2</v>
      </c>
      <c r="N934" cm="1">
        <f t="array" ref="N934" xml:space="preserve"> mc(100, -PI()/2,PI()/2, 0, 1, "sin(cos(x + y))")-1.48235</f>
        <v>0.25338282244659349</v>
      </c>
      <c r="O934" cm="1">
        <f t="array" ref="O934" xml:space="preserve"> mc(500, -PI()/2,PI()/2, 0, 1, "sin(cos(x + y))")-1.48235</f>
        <v>0.12086878888997177</v>
      </c>
      <c r="P934" cm="1">
        <f t="array" ref="P934" xml:space="preserve"> mc(1000, -PI()/2,PI()/2, 0, 1, "sin(cos(x + y))")-1.48235</f>
        <v>7.5614209612672623E-2</v>
      </c>
    </row>
    <row r="935" spans="1:16" x14ac:dyDescent="0.3">
      <c r="A935">
        <v>905</v>
      </c>
      <c r="B935" cm="1">
        <f t="array" ref="B935" xml:space="preserve"> mc(100, 0, 4, 1, 2, "x^2+y^2")-92/3</f>
        <v>1.1905145937217831</v>
      </c>
      <c r="C935" cm="1">
        <f t="array" ref="C935" xml:space="preserve"> mc(500, 0, 4, 1, 2, "x^2+y^2")-92/3</f>
        <v>-0.29533631788216397</v>
      </c>
      <c r="D935" cm="1">
        <f t="array" ref="D935" xml:space="preserve"> mc(1000, 0, 4, 1, 2, "x^2+y^2")-92/3</f>
        <v>0.18730698643470589</v>
      </c>
      <c r="F935" cm="1">
        <f t="array" ref="F935" xml:space="preserve"> ( mc(100, 3, 4, -1, 1, "EXP(x * sin(y))") ) - 7.39981</f>
        <v>-0.73917210846373127</v>
      </c>
      <c r="G935" cm="1">
        <f t="array" ref="G935" xml:space="preserve"> ( mc(500, 3, 4, -1, 1, "EXP(x * sin(y))") ) - 7.39981</f>
        <v>-0.5791500304355548</v>
      </c>
      <c r="H935" cm="1">
        <f t="array" ref="H935" xml:space="preserve"> ( mc(1000, 3, 4, -1, 1, "EXP(x * sin(y))") ) - 7.39981</f>
        <v>-4.7518083012721313E-2</v>
      </c>
      <c r="J935" cm="1">
        <f t="array" ref="J935" xml:space="preserve"> mc(100, -PI()/2,0,-1, 1, "ln(EXP(x * y))")</f>
        <v>0.14636501980386366</v>
      </c>
      <c r="K935" cm="1">
        <f t="array" ref="K935" xml:space="preserve"> mc(500, -PI()/2,0,-1, 1, "ln(EXP(x * y))")</f>
        <v>-0.11565843220648649</v>
      </c>
      <c r="L935" cm="1">
        <f t="array" ref="L935" xml:space="preserve"> mc(1000, -PI()/2,0,-1, 1, "ln(EXP(x * y))")</f>
        <v>2.4582805997660301E-2</v>
      </c>
      <c r="N935" cm="1">
        <f t="array" ref="N935" xml:space="preserve"> mc(100, -PI()/2,PI()/2, 0, 1, "sin(cos(x + y))")-1.48235</f>
        <v>0.19282113833512926</v>
      </c>
      <c r="O935" cm="1">
        <f t="array" ref="O935" xml:space="preserve"> mc(500, -PI()/2,PI()/2, 0, 1, "sin(cos(x + y))")-1.48235</f>
        <v>9.2404200414116122E-2</v>
      </c>
      <c r="P935" cm="1">
        <f t="array" ref="P935" xml:space="preserve"> mc(1000, -PI()/2,PI()/2, 0, 1, "sin(cos(x + y))")-1.48235</f>
        <v>-2.1657181075645626E-2</v>
      </c>
    </row>
    <row r="936" spans="1:16" x14ac:dyDescent="0.3">
      <c r="A936">
        <v>906</v>
      </c>
      <c r="B936" cm="1">
        <f t="array" ref="B936" xml:space="preserve"> mc(100, 0, 4, 1, 2, "x^2+y^2")-92/3</f>
        <v>2.1848610747569417</v>
      </c>
      <c r="C936" cm="1">
        <f t="array" ref="C936" xml:space="preserve"> mc(500, 0, 4, 1, 2, "x^2+y^2")-92/3</f>
        <v>-0.11601744762192823</v>
      </c>
      <c r="D936" cm="1">
        <f t="array" ref="D936" xml:space="preserve"> mc(1000, 0, 4, 1, 2, "x^2+y^2")-92/3</f>
        <v>3.9594026376878588E-2</v>
      </c>
      <c r="F936" cm="1">
        <f t="array" ref="F936" xml:space="preserve"> ( mc(100, 3, 4, -1, 1, "EXP(x * sin(y))") ) - 7.39981</f>
        <v>-0.31585163163281571</v>
      </c>
      <c r="G936" cm="1">
        <f t="array" ref="G936" xml:space="preserve"> ( mc(500, 3, 4, -1, 1, "EXP(x * sin(y))") ) - 7.39981</f>
        <v>0.41173496729340719</v>
      </c>
      <c r="H936" cm="1">
        <f t="array" ref="H936" xml:space="preserve"> ( mc(1000, 3, 4, -1, 1, "EXP(x * sin(y))") ) - 7.39981</f>
        <v>0.50234898169650233</v>
      </c>
      <c r="J936" cm="1">
        <f t="array" ref="J936" xml:space="preserve"> mc(100, -PI()/2,0,-1, 1, "ln(EXP(x * y))")</f>
        <v>1.4517386833129401E-2</v>
      </c>
      <c r="K936" cm="1">
        <f t="array" ref="K936" xml:space="preserve"> mc(500, -PI()/2,0,-1, 1, "ln(EXP(x * y))")</f>
        <v>-4.7173150277534978E-2</v>
      </c>
      <c r="L936" cm="1">
        <f t="array" ref="L936" xml:space="preserve"> mc(1000, -PI()/2,0,-1, 1, "ln(EXP(x * y))")</f>
        <v>-5.7159727794717013E-3</v>
      </c>
      <c r="N936" cm="1">
        <f t="array" ref="N936" xml:space="preserve"> mc(100, -PI()/2,PI()/2, 0, 1, "sin(cos(x + y))")-1.48235</f>
        <v>-1.1546821355720827E-2</v>
      </c>
      <c r="O936" cm="1">
        <f t="array" ref="O936" xml:space="preserve"> mc(500, -PI()/2,PI()/2, 0, 1, "sin(cos(x + y))")-1.48235</f>
        <v>-5.9999660893481188E-2</v>
      </c>
      <c r="P936" cm="1">
        <f t="array" ref="P936" xml:space="preserve"> mc(1000, -PI()/2,PI()/2, 0, 1, "sin(cos(x + y))")-1.48235</f>
        <v>-5.3336716830307607E-2</v>
      </c>
    </row>
    <row r="937" spans="1:16" x14ac:dyDescent="0.3">
      <c r="A937">
        <v>907</v>
      </c>
      <c r="B937" cm="1">
        <f t="array" ref="B937" xml:space="preserve"> mc(100, 0, 4, 1, 2, "x^2+y^2")-92/3</f>
        <v>1.0119221110131598</v>
      </c>
      <c r="C937" cm="1">
        <f t="array" ref="C937" xml:space="preserve"> mc(500, 0, 4, 1, 2, "x^2+y^2")-92/3</f>
        <v>0.70406104875265285</v>
      </c>
      <c r="D937" cm="1">
        <f t="array" ref="D937" xml:space="preserve"> mc(1000, 0, 4, 1, 2, "x^2+y^2")-92/3</f>
        <v>-0.54790747520486605</v>
      </c>
      <c r="F937" cm="1">
        <f t="array" ref="F937" xml:space="preserve"> ( mc(100, 3, 4, -1, 1, "EXP(x * sin(y))") ) - 7.39981</f>
        <v>-1.3765235946429204</v>
      </c>
      <c r="G937" cm="1">
        <f t="array" ref="G937" xml:space="preserve"> ( mc(500, 3, 4, -1, 1, "EXP(x * sin(y))") ) - 7.39981</f>
        <v>0.13249648015692284</v>
      </c>
      <c r="H937" cm="1">
        <f t="array" ref="H937" xml:space="preserve"> ( mc(1000, 3, 4, -1, 1, "EXP(x * sin(y))") ) - 7.39981</f>
        <v>0.32579404372341525</v>
      </c>
      <c r="J937" cm="1">
        <f t="array" ref="J937" xml:space="preserve"> mc(100, -PI()/2,0,-1, 1, "ln(EXP(x * y))")</f>
        <v>4.0883510968145631E-2</v>
      </c>
      <c r="K937" cm="1">
        <f t="array" ref="K937" xml:space="preserve"> mc(500, -PI()/2,0,-1, 1, "ln(EXP(x * y))")</f>
        <v>-4.7545504265376071E-2</v>
      </c>
      <c r="L937" cm="1">
        <f t="array" ref="L937" xml:space="preserve"> mc(1000, -PI()/2,0,-1, 1, "ln(EXP(x * y))")</f>
        <v>5.3330815531586029E-2</v>
      </c>
      <c r="N937" cm="1">
        <f t="array" ref="N937" xml:space="preserve"> mc(100, -PI()/2,PI()/2, 0, 1, "sin(cos(x + y))")-1.48235</f>
        <v>0.15704573258439058</v>
      </c>
      <c r="O937" cm="1">
        <f t="array" ref="O937" xml:space="preserve"> mc(500, -PI()/2,PI()/2, 0, 1, "sin(cos(x + y))")-1.48235</f>
        <v>7.3973643000555978E-2</v>
      </c>
      <c r="P937" cm="1">
        <f t="array" ref="P937" xml:space="preserve"> mc(1000, -PI()/2,PI()/2, 0, 1, "sin(cos(x + y))")-1.48235</f>
        <v>-1.4490824139461456E-3</v>
      </c>
    </row>
    <row r="938" spans="1:16" x14ac:dyDescent="0.3">
      <c r="A938">
        <v>908</v>
      </c>
      <c r="B938" cm="1">
        <f t="array" ref="B938" xml:space="preserve"> mc(100, 0, 4, 1, 2, "x^2+y^2")-92/3</f>
        <v>-2.1553921612142872</v>
      </c>
      <c r="C938" cm="1">
        <f t="array" ref="C938" xml:space="preserve"> mc(500, 0, 4, 1, 2, "x^2+y^2")-92/3</f>
        <v>8.7804086602034204E-2</v>
      </c>
      <c r="D938" cm="1">
        <f t="array" ref="D938" xml:space="preserve"> mc(1000, 0, 4, 1, 2, "x^2+y^2")-92/3</f>
        <v>0.84647310208044502</v>
      </c>
      <c r="F938" cm="1">
        <f t="array" ref="F938" xml:space="preserve"> ( mc(100, 3, 4, -1, 1, "EXP(x * sin(y))") ) - 7.39981</f>
        <v>-0.14930305046366499</v>
      </c>
      <c r="G938" cm="1">
        <f t="array" ref="G938" xml:space="preserve"> ( mc(500, 3, 4, -1, 1, "EXP(x * sin(y))") ) - 7.39981</f>
        <v>-0.14305909328768784</v>
      </c>
      <c r="H938" cm="1">
        <f t="array" ref="H938" xml:space="preserve"> ( mc(1000, 3, 4, -1, 1, "EXP(x * sin(y))") ) - 7.39981</f>
        <v>0.30917268904439776</v>
      </c>
      <c r="J938" cm="1">
        <f t="array" ref="J938" xml:space="preserve"> mc(100, -PI()/2,0,-1, 1, "ln(EXP(x * y))")</f>
        <v>-0.34424674222284479</v>
      </c>
      <c r="K938" cm="1">
        <f t="array" ref="K938" xml:space="preserve"> mc(500, -PI()/2,0,-1, 1, "ln(EXP(x * y))")</f>
        <v>-3.6350684038637809E-2</v>
      </c>
      <c r="L938" cm="1">
        <f t="array" ref="L938" xml:space="preserve"> mc(1000, -PI()/2,0,-1, 1, "ln(EXP(x * y))")</f>
        <v>7.2299826790510571E-2</v>
      </c>
      <c r="N938" cm="1">
        <f t="array" ref="N938" xml:space="preserve"> mc(100, -PI()/2,PI()/2, 0, 1, "sin(cos(x + y))")-1.48235</f>
        <v>0.28004322173834573</v>
      </c>
      <c r="O938" cm="1">
        <f t="array" ref="O938" xml:space="preserve"> mc(500, -PI()/2,PI()/2, 0, 1, "sin(cos(x + y))")-1.48235</f>
        <v>-4.2983711864893692E-2</v>
      </c>
      <c r="P938" cm="1">
        <f t="array" ref="P938" xml:space="preserve"> mc(1000, -PI()/2,PI()/2, 0, 1, "sin(cos(x + y))")-1.48235</f>
        <v>6.9026364986962907E-2</v>
      </c>
    </row>
    <row r="939" spans="1:16" x14ac:dyDescent="0.3">
      <c r="A939">
        <v>909</v>
      </c>
      <c r="B939" cm="1">
        <f t="array" ref="B939" xml:space="preserve"> mc(100, 0, 4, 1, 2, "x^2+y^2")-92/3</f>
        <v>-7.4945559478791779E-2</v>
      </c>
      <c r="C939" cm="1">
        <f t="array" ref="C939" xml:space="preserve"> mc(500, 0, 4, 1, 2, "x^2+y^2")-92/3</f>
        <v>0.87279502242263263</v>
      </c>
      <c r="D939" cm="1">
        <f t="array" ref="D939" xml:space="preserve"> mc(1000, 0, 4, 1, 2, "x^2+y^2")-92/3</f>
        <v>0.95645982146967512</v>
      </c>
      <c r="F939" cm="1">
        <f t="array" ref="F939" xml:space="preserve"> ( mc(100, 3, 4, -1, 1, "EXP(x * sin(y))") ) - 7.39981</f>
        <v>-0.17820536895333738</v>
      </c>
      <c r="G939" cm="1">
        <f t="array" ref="G939" xml:space="preserve"> ( mc(500, 3, 4, -1, 1, "EXP(x * sin(y))") ) - 7.39981</f>
        <v>-0.82872308608868916</v>
      </c>
      <c r="H939" cm="1">
        <f t="array" ref="H939" xml:space="preserve"> ( mc(1000, 3, 4, -1, 1, "EXP(x * sin(y))") ) - 7.39981</f>
        <v>0.21878425052240402</v>
      </c>
      <c r="J939" cm="1">
        <f t="array" ref="J939" xml:space="preserve"> mc(100, -PI()/2,0,-1, 1, "ln(EXP(x * y))")</f>
        <v>-0.1755095760274055</v>
      </c>
      <c r="K939" cm="1">
        <f t="array" ref="K939" xml:space="preserve"> mc(500, -PI()/2,0,-1, 1, "ln(EXP(x * y))")</f>
        <v>-2.4657054059807126E-2</v>
      </c>
      <c r="L939" cm="1">
        <f t="array" ref="L939" xml:space="preserve"> mc(1000, -PI()/2,0,-1, 1, "ln(EXP(x * y))")</f>
        <v>7.6287406077861969E-2</v>
      </c>
      <c r="N939" cm="1">
        <f t="array" ref="N939" xml:space="preserve"> mc(100, -PI()/2,PI()/2, 0, 1, "sin(cos(x + y))")-1.48235</f>
        <v>3.6293848786870919E-2</v>
      </c>
      <c r="O939" cm="1">
        <f t="array" ref="O939" xml:space="preserve"> mc(500, -PI()/2,PI()/2, 0, 1, "sin(cos(x + y))")-1.48235</f>
        <v>-6.1556833257429222E-2</v>
      </c>
      <c r="P939" cm="1">
        <f t="array" ref="P939" xml:space="preserve"> mc(1000, -PI()/2,PI()/2, 0, 1, "sin(cos(x + y))")-1.48235</f>
        <v>1.0233049787478077E-2</v>
      </c>
    </row>
    <row r="940" spans="1:16" x14ac:dyDescent="0.3">
      <c r="A940">
        <v>910</v>
      </c>
      <c r="B940" cm="1">
        <f t="array" ref="B940" xml:space="preserve"> mc(100, 0, 4, 1, 2, "x^2+y^2")-92/3</f>
        <v>-0.50814987919994081</v>
      </c>
      <c r="C940" cm="1">
        <f t="array" ref="C940" xml:space="preserve"> mc(500, 0, 4, 1, 2, "x^2+y^2")-92/3</f>
        <v>2.2293464376801353E-3</v>
      </c>
      <c r="D940" cm="1">
        <f t="array" ref="D940" xml:space="preserve"> mc(1000, 0, 4, 1, 2, "x^2+y^2")-92/3</f>
        <v>-0.27455877151849606</v>
      </c>
      <c r="F940" cm="1">
        <f t="array" ref="F940" xml:space="preserve"> ( mc(100, 3, 4, -1, 1, "EXP(x * sin(y))") ) - 7.39981</f>
        <v>-0.17877148666019682</v>
      </c>
      <c r="G940" cm="1">
        <f t="array" ref="G940" xml:space="preserve"> ( mc(500, 3, 4, -1, 1, "EXP(x * sin(y))") ) - 7.39981</f>
        <v>0.15976166085381571</v>
      </c>
      <c r="H940" cm="1">
        <f t="array" ref="H940" xml:space="preserve"> ( mc(1000, 3, 4, -1, 1, "EXP(x * sin(y))") ) - 7.39981</f>
        <v>-9.9506846148803341E-2</v>
      </c>
      <c r="J940" cm="1">
        <f t="array" ref="J940" xml:space="preserve"> mc(100, -PI()/2,0,-1, 1, "ln(EXP(x * y))")</f>
        <v>-4.5497585725654661E-2</v>
      </c>
      <c r="K940" cm="1">
        <f t="array" ref="K940" xml:space="preserve"> mc(500, -PI()/2,0,-1, 1, "ln(EXP(x * y))")</f>
        <v>-0.11819361213381498</v>
      </c>
      <c r="L940" cm="1">
        <f t="array" ref="L940" xml:space="preserve"> mc(1000, -PI()/2,0,-1, 1, "ln(EXP(x * y))")</f>
        <v>-5.0796183224965506E-2</v>
      </c>
      <c r="N940" cm="1">
        <f t="array" ref="N940" xml:space="preserve"> mc(100, -PI()/2,PI()/2, 0, 1, "sin(cos(x + y))")-1.48235</f>
        <v>-9.1082283946048781E-2</v>
      </c>
      <c r="O940" cm="1">
        <f t="array" ref="O940" xml:space="preserve"> mc(500, -PI()/2,PI()/2, 0, 1, "sin(cos(x + y))")-1.48235</f>
        <v>-2.3713067224685247E-2</v>
      </c>
      <c r="P940" cm="1">
        <f t="array" ref="P940" xml:space="preserve"> mc(1000, -PI()/2,PI()/2, 0, 1, "sin(cos(x + y))")-1.48235</f>
        <v>-5.2707109743113767E-2</v>
      </c>
    </row>
    <row r="941" spans="1:16" x14ac:dyDescent="0.3">
      <c r="A941">
        <v>911</v>
      </c>
      <c r="B941" cm="1">
        <f t="array" ref="B941" xml:space="preserve"> mc(100, 0, 4, 1, 2, "x^2+y^2")-92/3</f>
        <v>0.75074543935008364</v>
      </c>
      <c r="C941" cm="1">
        <f t="array" ref="C941" xml:space="preserve"> mc(500, 0, 4, 1, 2, "x^2+y^2")-92/3</f>
        <v>-1.5534506390569192E-2</v>
      </c>
      <c r="D941" cm="1">
        <f t="array" ref="D941" xml:space="preserve"> mc(1000, 0, 4, 1, 2, "x^2+y^2")-92/3</f>
        <v>0.20539056998816108</v>
      </c>
      <c r="F941" cm="1">
        <f t="array" ref="F941" xml:space="preserve"> ( mc(100, 3, 4, -1, 1, "EXP(x * sin(y))") ) - 7.39981</f>
        <v>1.8063357281128347</v>
      </c>
      <c r="G941" cm="1">
        <f t="array" ref="G941" xml:space="preserve"> ( mc(500, 3, 4, -1, 1, "EXP(x * sin(y))") ) - 7.39981</f>
        <v>0.86519637025889651</v>
      </c>
      <c r="H941" cm="1">
        <f t="array" ref="H941" xml:space="preserve"> ( mc(1000, 3, 4, -1, 1, "EXP(x * sin(y))") ) - 7.39981</f>
        <v>0.24467413787223879</v>
      </c>
      <c r="J941" cm="1">
        <f t="array" ref="J941" xml:space="preserve"> mc(100, -PI()/2,0,-1, 1, "ln(EXP(x * y))")</f>
        <v>-0.44060099261116392</v>
      </c>
      <c r="K941" cm="1">
        <f t="array" ref="K941" xml:space="preserve"> mc(500, -PI()/2,0,-1, 1, "ln(EXP(x * y))")</f>
        <v>-1.1338424740536418E-2</v>
      </c>
      <c r="L941" cm="1">
        <f t="array" ref="L941" xml:space="preserve"> mc(1000, -PI()/2,0,-1, 1, "ln(EXP(x * y))")</f>
        <v>0.11833793005540902</v>
      </c>
      <c r="N941" cm="1">
        <f t="array" ref="N941" xml:space="preserve"> mc(100, -PI()/2,PI()/2, 0, 1, "sin(cos(x + y))")-1.48235</f>
        <v>0.110423350977497</v>
      </c>
      <c r="O941" cm="1">
        <f t="array" ref="O941" xml:space="preserve"> mc(500, -PI()/2,PI()/2, 0, 1, "sin(cos(x + y))")-1.48235</f>
        <v>5.3118975694587789E-2</v>
      </c>
      <c r="P941" cm="1">
        <f t="array" ref="P941" xml:space="preserve"> mc(1000, -PI()/2,PI()/2, 0, 1, "sin(cos(x + y))")-1.48235</f>
        <v>5.10215879686442E-2</v>
      </c>
    </row>
    <row r="942" spans="1:16" x14ac:dyDescent="0.3">
      <c r="A942">
        <v>912</v>
      </c>
      <c r="B942" cm="1">
        <f t="array" ref="B942" xml:space="preserve"> mc(100, 0, 4, 1, 2, "x^2+y^2")-92/3</f>
        <v>2.5392089104535351</v>
      </c>
      <c r="C942" cm="1">
        <f t="array" ref="C942" xml:space="preserve"> mc(500, 0, 4, 1, 2, "x^2+y^2")-92/3</f>
        <v>-0.4523796741601096</v>
      </c>
      <c r="D942" cm="1">
        <f t="array" ref="D942" xml:space="preserve"> mc(1000, 0, 4, 1, 2, "x^2+y^2")-92/3</f>
        <v>1.4293105259552839</v>
      </c>
      <c r="F942" cm="1">
        <f t="array" ref="F942" xml:space="preserve"> ( mc(100, 3, 4, -1, 1, "EXP(x * sin(y))") ) - 7.39981</f>
        <v>1.8526996585752844</v>
      </c>
      <c r="G942" cm="1">
        <f t="array" ref="G942" xml:space="preserve"> ( mc(500, 3, 4, -1, 1, "EXP(x * sin(y))") ) - 7.39981</f>
        <v>-0.55998527061948256</v>
      </c>
      <c r="H942" cm="1">
        <f t="array" ref="H942" xml:space="preserve"> ( mc(1000, 3, 4, -1, 1, "EXP(x * sin(y))") ) - 7.39981</f>
        <v>4.6455011332312779E-2</v>
      </c>
      <c r="J942" cm="1">
        <f t="array" ref="J942" xml:space="preserve"> mc(100, -PI()/2,0,-1, 1, "ln(EXP(x * y))")</f>
        <v>8.2544485156214223E-2</v>
      </c>
      <c r="K942" cm="1">
        <f t="array" ref="K942" xml:space="preserve"> mc(500, -PI()/2,0,-1, 1, "ln(EXP(x * y))")</f>
        <v>2.1685457471466489E-2</v>
      </c>
      <c r="L942" cm="1">
        <f t="array" ref="L942" xml:space="preserve"> mc(1000, -PI()/2,0,-1, 1, "ln(EXP(x * y))")</f>
        <v>9.6805793257670816E-3</v>
      </c>
      <c r="N942" cm="1">
        <f t="array" ref="N942" xml:space="preserve"> mc(100, -PI()/2,PI()/2, 0, 1, "sin(cos(x + y))")-1.48235</f>
        <v>3.1946793780933014E-2</v>
      </c>
      <c r="O942" cm="1">
        <f t="array" ref="O942" xml:space="preserve"> mc(500, -PI()/2,PI()/2, 0, 1, "sin(cos(x + y))")-1.48235</f>
        <v>5.349320779734823E-3</v>
      </c>
      <c r="P942" cm="1">
        <f t="array" ref="P942" xml:space="preserve"> mc(1000, -PI()/2,PI()/2, 0, 1, "sin(cos(x + y))")-1.48235</f>
        <v>2.6718959716297119E-2</v>
      </c>
    </row>
    <row r="943" spans="1:16" x14ac:dyDescent="0.3">
      <c r="A943">
        <v>913</v>
      </c>
      <c r="B943" cm="1">
        <f t="array" ref="B943" xml:space="preserve"> mc(100, 0, 4, 1, 2, "x^2+y^2")-92/3</f>
        <v>0.59891085535222643</v>
      </c>
      <c r="C943" cm="1">
        <f t="array" ref="C943" xml:space="preserve"> mc(500, 0, 4, 1, 2, "x^2+y^2")-92/3</f>
        <v>0.79295411281178829</v>
      </c>
      <c r="D943" cm="1">
        <f t="array" ref="D943" xml:space="preserve"> mc(1000, 0, 4, 1, 2, "x^2+y^2")-92/3</f>
        <v>1.0495586728511235</v>
      </c>
      <c r="F943" cm="1">
        <f t="array" ref="F943" xml:space="preserve"> ( mc(100, 3, 4, -1, 1, "EXP(x * sin(y))") ) - 7.39981</f>
        <v>-0.64545026798350946</v>
      </c>
      <c r="G943" cm="1">
        <f t="array" ref="G943" xml:space="preserve"> ( mc(500, 3, 4, -1, 1, "EXP(x * sin(y))") ) - 7.39981</f>
        <v>-0.26190895277871018</v>
      </c>
      <c r="H943" cm="1">
        <f t="array" ref="H943" xml:space="preserve"> ( mc(1000, 3, 4, -1, 1, "EXP(x * sin(y))") ) - 7.39981</f>
        <v>-0.54371054451620981</v>
      </c>
      <c r="J943" cm="1">
        <f t="array" ref="J943" xml:space="preserve"> mc(100, -PI()/2,0,-1, 1, "ln(EXP(x * y))")</f>
        <v>-0.13287477090085603</v>
      </c>
      <c r="K943" cm="1">
        <f t="array" ref="K943" xml:space="preserve"> mc(500, -PI()/2,0,-1, 1, "ln(EXP(x * y))")</f>
        <v>-7.9774580769181036E-2</v>
      </c>
      <c r="L943" cm="1">
        <f t="array" ref="L943" xml:space="preserve"> mc(1000, -PI()/2,0,-1, 1, "ln(EXP(x * y))")</f>
        <v>-5.3972731390257732E-2</v>
      </c>
      <c r="N943" cm="1">
        <f t="array" ref="N943" xml:space="preserve"> mc(100, -PI()/2,PI()/2, 0, 1, "sin(cos(x + y))")-1.48235</f>
        <v>0.15024599894310575</v>
      </c>
      <c r="O943" cm="1">
        <f t="array" ref="O943" xml:space="preserve"> mc(500, -PI()/2,PI()/2, 0, 1, "sin(cos(x + y))")-1.48235</f>
        <v>-3.5614694097367838E-2</v>
      </c>
      <c r="P943" cm="1">
        <f t="array" ref="P943" xml:space="preserve"> mc(1000, -PI()/2,PI()/2, 0, 1, "sin(cos(x + y))")-1.48235</f>
        <v>2.0117827447044601E-2</v>
      </c>
    </row>
    <row r="944" spans="1:16" x14ac:dyDescent="0.3">
      <c r="A944">
        <v>914</v>
      </c>
      <c r="B944" cm="1">
        <f t="array" ref="B944" xml:space="preserve"> mc(100, 0, 4, 1, 2, "x^2+y^2")-92/3</f>
        <v>0.35477778003732752</v>
      </c>
      <c r="C944" cm="1">
        <f t="array" ref="C944" xml:space="preserve"> mc(500, 0, 4, 1, 2, "x^2+y^2")-92/3</f>
        <v>-1.519815734612461</v>
      </c>
      <c r="D944" cm="1">
        <f t="array" ref="D944" xml:space="preserve"> mc(1000, 0, 4, 1, 2, "x^2+y^2")-92/3</f>
        <v>1.3651316634127149</v>
      </c>
      <c r="F944" cm="1">
        <f t="array" ref="F944" xml:space="preserve"> ( mc(100, 3, 4, -1, 1, "EXP(x * sin(y))") ) - 7.39981</f>
        <v>-1.0543017303887163</v>
      </c>
      <c r="G944" cm="1">
        <f t="array" ref="G944" xml:space="preserve"> ( mc(500, 3, 4, -1, 1, "EXP(x * sin(y))") ) - 7.39981</f>
        <v>7.7990346112784437E-2</v>
      </c>
      <c r="H944" cm="1">
        <f t="array" ref="H944" xml:space="preserve"> ( mc(1000, 3, 4, -1, 1, "EXP(x * sin(y))") ) - 7.39981</f>
        <v>3.5546594561488121E-2</v>
      </c>
      <c r="J944" cm="1">
        <f t="array" ref="J944" xml:space="preserve"> mc(100, -PI()/2,0,-1, 1, "ln(EXP(x * y))")</f>
        <v>-1.9596166087188352E-2</v>
      </c>
      <c r="K944" cm="1">
        <f t="array" ref="K944" xml:space="preserve"> mc(500, -PI()/2,0,-1, 1, "ln(EXP(x * y))")</f>
        <v>-0.20388859961256611</v>
      </c>
      <c r="L944" cm="1">
        <f t="array" ref="L944" xml:space="preserve"> mc(1000, -PI()/2,0,-1, 1, "ln(EXP(x * y))")</f>
        <v>-8.5252092453686878E-3</v>
      </c>
      <c r="N944" cm="1">
        <f t="array" ref="N944" xml:space="preserve"> mc(100, -PI()/2,PI()/2, 0, 1, "sin(cos(x + y))")-1.48235</f>
        <v>4.8485649453322344E-2</v>
      </c>
      <c r="O944" cm="1">
        <f t="array" ref="O944" xml:space="preserve"> mc(500, -PI()/2,PI()/2, 0, 1, "sin(cos(x + y))")-1.48235</f>
        <v>8.2870654743282923E-2</v>
      </c>
      <c r="P944" cm="1">
        <f t="array" ref="P944" xml:space="preserve"> mc(1000, -PI()/2,PI()/2, 0, 1, "sin(cos(x + y))")-1.48235</f>
        <v>1.4311352231421104E-2</v>
      </c>
    </row>
    <row r="945" spans="1:16" x14ac:dyDescent="0.3">
      <c r="A945">
        <v>915</v>
      </c>
      <c r="B945" cm="1">
        <f t="array" ref="B945" xml:space="preserve"> mc(100, 0, 4, 1, 2, "x^2+y^2")-92/3</f>
        <v>-1.4914838309128413</v>
      </c>
      <c r="C945" cm="1">
        <f t="array" ref="C945" xml:space="preserve"> mc(500, 0, 4, 1, 2, "x^2+y^2")-92/3</f>
        <v>1.0780424811614502</v>
      </c>
      <c r="D945" cm="1">
        <f t="array" ref="D945" xml:space="preserve"> mc(1000, 0, 4, 1, 2, "x^2+y^2")-92/3</f>
        <v>0.25102477155376235</v>
      </c>
      <c r="F945" cm="1">
        <f t="array" ref="F945" xml:space="preserve"> ( mc(100, 3, 4, -1, 1, "EXP(x * sin(y))") ) - 7.39981</f>
        <v>-0.56492148919712992</v>
      </c>
      <c r="G945" cm="1">
        <f t="array" ref="G945" xml:space="preserve"> ( mc(500, 3, 4, -1, 1, "EXP(x * sin(y))") ) - 7.39981</f>
        <v>-0.4587120400801421</v>
      </c>
      <c r="H945" cm="1">
        <f t="array" ref="H945" xml:space="preserve"> ( mc(1000, 3, 4, -1, 1, "EXP(x * sin(y))") ) - 7.39981</f>
        <v>0.1652039593609933</v>
      </c>
      <c r="J945" cm="1">
        <f t="array" ref="J945" xml:space="preserve"> mc(100, -PI()/2,0,-1, 1, "ln(EXP(x * y))")</f>
        <v>5.7748529472246173E-2</v>
      </c>
      <c r="K945" cm="1">
        <f t="array" ref="K945" xml:space="preserve"> mc(500, -PI()/2,0,-1, 1, "ln(EXP(x * y))")</f>
        <v>7.8662285846834615E-2</v>
      </c>
      <c r="L945" cm="1">
        <f t="array" ref="L945" xml:space="preserve"> mc(1000, -PI()/2,0,-1, 1, "ln(EXP(x * y))")</f>
        <v>-7.6539450376798768E-2</v>
      </c>
      <c r="N945" cm="1">
        <f t="array" ref="N945" xml:space="preserve"> mc(100, -PI()/2,PI()/2, 0, 1, "sin(cos(x + y))")-1.48235</f>
        <v>5.4149438645902492E-2</v>
      </c>
      <c r="O945" cm="1">
        <f t="array" ref="O945" xml:space="preserve"> mc(500, -PI()/2,PI()/2, 0, 1, "sin(cos(x + y))")-1.48235</f>
        <v>6.6149766756669726E-2</v>
      </c>
      <c r="P945" cm="1">
        <f t="array" ref="P945" xml:space="preserve"> mc(1000, -PI()/2,PI()/2, 0, 1, "sin(cos(x + y))")-1.48235</f>
        <v>2.4454493073886585E-2</v>
      </c>
    </row>
    <row r="946" spans="1:16" x14ac:dyDescent="0.3">
      <c r="A946">
        <v>916</v>
      </c>
      <c r="B946" cm="1">
        <f t="array" ref="B946" xml:space="preserve"> mc(100, 0, 4, 1, 2, "x^2+y^2")-92/3</f>
        <v>-3.0357310790806551</v>
      </c>
      <c r="C946" cm="1">
        <f t="array" ref="C946" xml:space="preserve"> mc(500, 0, 4, 1, 2, "x^2+y^2")-92/3</f>
        <v>1.5890343952354762</v>
      </c>
      <c r="D946" cm="1">
        <f t="array" ref="D946" xml:space="preserve"> mc(1000, 0, 4, 1, 2, "x^2+y^2")-92/3</f>
        <v>0.1586664236008879</v>
      </c>
      <c r="F946" cm="1">
        <f t="array" ref="F946" xml:space="preserve"> ( mc(100, 3, 4, -1, 1, "EXP(x * sin(y))") ) - 7.39981</f>
        <v>-1.6985630622793675</v>
      </c>
      <c r="G946" cm="1">
        <f t="array" ref="G946" xml:space="preserve"> ( mc(500, 3, 4, -1, 1, "EXP(x * sin(y))") ) - 7.39981</f>
        <v>-0.26958937305749497</v>
      </c>
      <c r="H946" cm="1">
        <f t="array" ref="H946" xml:space="preserve"> ( mc(1000, 3, 4, -1, 1, "EXP(x * sin(y))") ) - 7.39981</f>
        <v>4.221398455249048E-2</v>
      </c>
      <c r="J946" cm="1">
        <f t="array" ref="J946" xml:space="preserve"> mc(100, -PI()/2,0,-1, 1, "ln(EXP(x * y))")</f>
        <v>-0.18635619675437351</v>
      </c>
      <c r="K946" cm="1">
        <f t="array" ref="K946" xml:space="preserve"> mc(500, -PI()/2,0,-1, 1, "ln(EXP(x * y))")</f>
        <v>-3.1826003632766477E-2</v>
      </c>
      <c r="L946" cm="1">
        <f t="array" ref="L946" xml:space="preserve"> mc(1000, -PI()/2,0,-1, 1, "ln(EXP(x * y))")</f>
        <v>-5.9455143766634445E-2</v>
      </c>
      <c r="N946" cm="1">
        <f t="array" ref="N946" xml:space="preserve"> mc(100, -PI()/2,PI()/2, 0, 1, "sin(cos(x + y))")-1.48235</f>
        <v>-0.27382754821533517</v>
      </c>
      <c r="O946" cm="1">
        <f t="array" ref="O946" xml:space="preserve"> mc(500, -PI()/2,PI()/2, 0, 1, "sin(cos(x + y))")-1.48235</f>
        <v>-5.4411173810431368E-3</v>
      </c>
      <c r="P946" cm="1">
        <f t="array" ref="P946" xml:space="preserve"> mc(1000, -PI()/2,PI()/2, 0, 1, "sin(cos(x + y))")-1.48235</f>
        <v>1.6529941073026855E-3</v>
      </c>
    </row>
    <row r="947" spans="1:16" x14ac:dyDescent="0.3">
      <c r="A947">
        <v>917</v>
      </c>
      <c r="B947" cm="1">
        <f t="array" ref="B947" xml:space="preserve"> mc(100, 0, 4, 1, 2, "x^2+y^2")-92/3</f>
        <v>-0.38235980522115298</v>
      </c>
      <c r="C947" cm="1">
        <f t="array" ref="C947" xml:space="preserve"> mc(500, 0, 4, 1, 2, "x^2+y^2")-92/3</f>
        <v>-6.9059927623005279E-2</v>
      </c>
      <c r="D947" cm="1">
        <f t="array" ref="D947" xml:space="preserve"> mc(1000, 0, 4, 1, 2, "x^2+y^2")-92/3</f>
        <v>-0.5777712295930435</v>
      </c>
      <c r="F947" cm="1">
        <f t="array" ref="F947" xml:space="preserve"> ( mc(100, 3, 4, -1, 1, "EXP(x * sin(y))") ) - 7.39981</f>
        <v>-0.1287950469755188</v>
      </c>
      <c r="G947" cm="1">
        <f t="array" ref="G947" xml:space="preserve"> ( mc(500, 3, 4, -1, 1, "EXP(x * sin(y))") ) - 7.39981</f>
        <v>-0.3115201274468955</v>
      </c>
      <c r="H947" cm="1">
        <f t="array" ref="H947" xml:space="preserve"> ( mc(1000, 3, 4, -1, 1, "EXP(x * sin(y))") ) - 7.39981</f>
        <v>-3.1881461464441152E-2</v>
      </c>
      <c r="J947" cm="1">
        <f t="array" ref="J947" xml:space="preserve"> mc(100, -PI()/2,0,-1, 1, "ln(EXP(x * y))")</f>
        <v>-0.20032883423648304</v>
      </c>
      <c r="K947" cm="1">
        <f t="array" ref="K947" xml:space="preserve"> mc(500, -PI()/2,0,-1, 1, "ln(EXP(x * y))")</f>
        <v>3.4204140134663375E-3</v>
      </c>
      <c r="L947" cm="1">
        <f t="array" ref="L947" xml:space="preserve"> mc(1000, -PI()/2,0,-1, 1, "ln(EXP(x * y))")</f>
        <v>-3.8576314788393719E-2</v>
      </c>
      <c r="N947" cm="1">
        <f t="array" ref="N947" xml:space="preserve"> mc(100, -PI()/2,PI()/2, 0, 1, "sin(cos(x + y))")-1.48235</f>
        <v>-3.3055197272682024E-2</v>
      </c>
      <c r="O947" cm="1">
        <f t="array" ref="O947" xml:space="preserve"> mc(500, -PI()/2,PI()/2, 0, 1, "sin(cos(x + y))")-1.48235</f>
        <v>2.8956252243607761E-2</v>
      </c>
      <c r="P947" cm="1">
        <f t="array" ref="P947" xml:space="preserve"> mc(1000, -PI()/2,PI()/2, 0, 1, "sin(cos(x + y))")-1.48235</f>
        <v>-1.521483276480895E-2</v>
      </c>
    </row>
    <row r="948" spans="1:16" x14ac:dyDescent="0.3">
      <c r="A948">
        <v>918</v>
      </c>
      <c r="B948" cm="1">
        <f t="array" ref="B948" xml:space="preserve"> mc(100, 0, 4, 1, 2, "x^2+y^2")-92/3</f>
        <v>-2.8655088432935898</v>
      </c>
      <c r="C948" cm="1">
        <f t="array" ref="C948" xml:space="preserve"> mc(500, 0, 4, 1, 2, "x^2+y^2")-92/3</f>
        <v>0.55407862131372099</v>
      </c>
      <c r="D948" cm="1">
        <f t="array" ref="D948" xml:space="preserve"> mc(1000, 0, 4, 1, 2, "x^2+y^2")-92/3</f>
        <v>-0.1474755876375049</v>
      </c>
      <c r="F948" cm="1">
        <f t="array" ref="F948" xml:space="preserve"> ( mc(100, 3, 4, -1, 1, "EXP(x * sin(y))") ) - 7.39981</f>
        <v>1.3790607307683995</v>
      </c>
      <c r="G948" cm="1">
        <f t="array" ref="G948" xml:space="preserve"> ( mc(500, 3, 4, -1, 1, "EXP(x * sin(y))") ) - 7.39981</f>
        <v>-1.7461372911903084E-2</v>
      </c>
      <c r="H948" cm="1">
        <f t="array" ref="H948" xml:space="preserve"> ( mc(1000, 3, 4, -1, 1, "EXP(x * sin(y))") ) - 7.39981</f>
        <v>0.4741607870488842</v>
      </c>
      <c r="J948" cm="1">
        <f t="array" ref="J948" xml:space="preserve"> mc(100, -PI()/2,0,-1, 1, "ln(EXP(x * y))")</f>
        <v>-8.4458036449215467E-3</v>
      </c>
      <c r="K948" cm="1">
        <f t="array" ref="K948" xml:space="preserve"> mc(500, -PI()/2,0,-1, 1, "ln(EXP(x * y))")</f>
        <v>-4.9338487553716961E-2</v>
      </c>
      <c r="L948" cm="1">
        <f t="array" ref="L948" xml:space="preserve"> mc(1000, -PI()/2,0,-1, 1, "ln(EXP(x * y))")</f>
        <v>-3.3965335960058678E-2</v>
      </c>
      <c r="N948" cm="1">
        <f t="array" ref="N948" xml:space="preserve"> mc(100, -PI()/2,PI()/2, 0, 1, "sin(cos(x + y))")-1.48235</f>
        <v>0.11641787253028402</v>
      </c>
      <c r="O948" cm="1">
        <f t="array" ref="O948" xml:space="preserve"> mc(500, -PI()/2,PI()/2, 0, 1, "sin(cos(x + y))")-1.48235</f>
        <v>4.1814489891235818E-2</v>
      </c>
      <c r="P948" cm="1">
        <f t="array" ref="P948" xml:space="preserve"> mc(1000, -PI()/2,PI()/2, 0, 1, "sin(cos(x + y))")-1.48235</f>
        <v>1.8140973950837358E-2</v>
      </c>
    </row>
    <row r="949" spans="1:16" x14ac:dyDescent="0.3">
      <c r="A949">
        <v>919</v>
      </c>
      <c r="B949" cm="1">
        <f t="array" ref="B949" xml:space="preserve"> mc(100, 0, 4, 1, 2, "x^2+y^2")-92/3</f>
        <v>1.9472909545109722</v>
      </c>
      <c r="C949" cm="1">
        <f t="array" ref="C949" xml:space="preserve"> mc(500, 0, 4, 1, 2, "x^2+y^2")-92/3</f>
        <v>-0.8769843814338536</v>
      </c>
      <c r="D949" cm="1">
        <f t="array" ref="D949" xml:space="preserve"> mc(1000, 0, 4, 1, 2, "x^2+y^2")-92/3</f>
        <v>0.4104171583376548</v>
      </c>
      <c r="F949" cm="1">
        <f t="array" ref="F949" xml:space="preserve"> ( mc(100, 3, 4, -1, 1, "EXP(x * sin(y))") ) - 7.39981</f>
        <v>1.5699907430950919</v>
      </c>
      <c r="G949" cm="1">
        <f t="array" ref="G949" xml:space="preserve"> ( mc(500, 3, 4, -1, 1, "EXP(x * sin(y))") ) - 7.39981</f>
        <v>0.2891031496726999</v>
      </c>
      <c r="H949" cm="1">
        <f t="array" ref="H949" xml:space="preserve"> ( mc(1000, 3, 4, -1, 1, "EXP(x * sin(y))") ) - 7.39981</f>
        <v>-0.38471830941066454</v>
      </c>
      <c r="J949" cm="1">
        <f t="array" ref="J949" xml:space="preserve"> mc(100, -PI()/2,0,-1, 1, "ln(EXP(x * y))")</f>
        <v>0.26586507431312828</v>
      </c>
      <c r="K949" cm="1">
        <f t="array" ref="K949" xml:space="preserve"> mc(500, -PI()/2,0,-1, 1, "ln(EXP(x * y))")</f>
        <v>0.11377751881677271</v>
      </c>
      <c r="L949" cm="1">
        <f t="array" ref="L949" xml:space="preserve"> mc(1000, -PI()/2,0,-1, 1, "ln(EXP(x * y))")</f>
        <v>-0.10901951526090554</v>
      </c>
      <c r="N949" cm="1">
        <f t="array" ref="N949" xml:space="preserve"> mc(100, -PI()/2,PI()/2, 0, 1, "sin(cos(x + y))")-1.48235</f>
        <v>-7.6901382012742214E-2</v>
      </c>
      <c r="O949" cm="1">
        <f t="array" ref="O949" xml:space="preserve"> mc(500, -PI()/2,PI()/2, 0, 1, "sin(cos(x + y))")-1.48235</f>
        <v>6.396197350080346E-3</v>
      </c>
      <c r="P949" cm="1">
        <f t="array" ref="P949" xml:space="preserve"> mc(1000, -PI()/2,PI()/2, 0, 1, "sin(cos(x + y))")-1.48235</f>
        <v>-8.6099350785533435E-2</v>
      </c>
    </row>
    <row r="950" spans="1:16" x14ac:dyDescent="0.3">
      <c r="A950">
        <v>920</v>
      </c>
      <c r="B950" cm="1">
        <f t="array" ref="B950" xml:space="preserve"> mc(100, 0, 4, 1, 2, "x^2+y^2")-92/3</f>
        <v>1.2571114222110573</v>
      </c>
      <c r="C950" cm="1">
        <f t="array" ref="C950" xml:space="preserve"> mc(500, 0, 4, 1, 2, "x^2+y^2")-92/3</f>
        <v>-0.70838135763307619</v>
      </c>
      <c r="D950" cm="1">
        <f t="array" ref="D950" xml:space="preserve"> mc(1000, 0, 4, 1, 2, "x^2+y^2")-92/3</f>
        <v>0.67279239609155184</v>
      </c>
      <c r="F950" cm="1">
        <f t="array" ref="F950" xml:space="preserve"> ( mc(100, 3, 4, -1, 1, "EXP(x * sin(y))") ) - 7.39981</f>
        <v>1.3338298174416234</v>
      </c>
      <c r="G950" cm="1">
        <f t="array" ref="G950" xml:space="preserve"> ( mc(500, 3, 4, -1, 1, "EXP(x * sin(y))") ) - 7.39981</f>
        <v>0.15670446554680417</v>
      </c>
      <c r="H950" cm="1">
        <f t="array" ref="H950" xml:space="preserve"> ( mc(1000, 3, 4, -1, 1, "EXP(x * sin(y))") ) - 7.39981</f>
        <v>-0.46905514702548512</v>
      </c>
      <c r="J950" cm="1">
        <f t="array" ref="J950" xml:space="preserve"> mc(100, -PI()/2,0,-1, 1, "ln(EXP(x * y))")</f>
        <v>-8.2787312713413802E-2</v>
      </c>
      <c r="K950" cm="1">
        <f t="array" ref="K950" xml:space="preserve"> mc(500, -PI()/2,0,-1, 1, "ln(EXP(x * y))")</f>
        <v>-4.1598061387388835E-3</v>
      </c>
      <c r="L950" cm="1">
        <f t="array" ref="L950" xml:space="preserve"> mc(1000, -PI()/2,0,-1, 1, "ln(EXP(x * y))")</f>
        <v>-2.1210367255659258E-2</v>
      </c>
      <c r="N950" cm="1">
        <f t="array" ref="N950" xml:space="preserve"> mc(100, -PI()/2,PI()/2, 0, 1, "sin(cos(x + y))")-1.48235</f>
        <v>1.3594284278268143E-2</v>
      </c>
      <c r="O950" cm="1">
        <f t="array" ref="O950" xml:space="preserve"> mc(500, -PI()/2,PI()/2, 0, 1, "sin(cos(x + y))")-1.48235</f>
        <v>9.9204374718679933E-3</v>
      </c>
      <c r="P950" cm="1">
        <f t="array" ref="P950" xml:space="preserve"> mc(1000, -PI()/2,PI()/2, 0, 1, "sin(cos(x + y))")-1.48235</f>
        <v>2.7877108580336429E-3</v>
      </c>
    </row>
    <row r="951" spans="1:16" x14ac:dyDescent="0.3">
      <c r="A951">
        <v>921</v>
      </c>
      <c r="B951" cm="1">
        <f t="array" ref="B951" xml:space="preserve"> mc(100, 0, 4, 1, 2, "x^2+y^2")-92/3</f>
        <v>0.14035043649610657</v>
      </c>
      <c r="C951" cm="1">
        <f t="array" ref="C951" xml:space="preserve"> mc(500, 0, 4, 1, 2, "x^2+y^2")-92/3</f>
        <v>-3.9600069866164489E-2</v>
      </c>
      <c r="D951" cm="1">
        <f t="array" ref="D951" xml:space="preserve"> mc(1000, 0, 4, 1, 2, "x^2+y^2")-92/3</f>
        <v>-2.9381713722745673E-2</v>
      </c>
      <c r="F951" cm="1">
        <f t="array" ref="F951" xml:space="preserve"> ( mc(100, 3, 4, -1, 1, "EXP(x * sin(y))") ) - 7.39981</f>
        <v>-0.35952554992567087</v>
      </c>
      <c r="G951" cm="1">
        <f t="array" ref="G951" xml:space="preserve"> ( mc(500, 3, 4, -1, 1, "EXP(x * sin(y))") ) - 7.39981</f>
        <v>7.38694688271746E-3</v>
      </c>
      <c r="H951" cm="1">
        <f t="array" ref="H951" xml:space="preserve"> ( mc(1000, 3, 4, -1, 1, "EXP(x * sin(y))") ) - 7.39981</f>
        <v>-7.1356662253512226E-2</v>
      </c>
      <c r="J951" cm="1">
        <f t="array" ref="J951" xml:space="preserve"> mc(100, -PI()/2,0,-1, 1, "ln(EXP(x * y))")</f>
        <v>0.16717410150799264</v>
      </c>
      <c r="K951" cm="1">
        <f t="array" ref="K951" xml:space="preserve"> mc(500, -PI()/2,0,-1, 1, "ln(EXP(x * y))")</f>
        <v>5.1162427896931421E-2</v>
      </c>
      <c r="L951" cm="1">
        <f t="array" ref="L951" xml:space="preserve"> mc(1000, -PI()/2,0,-1, 1, "ln(EXP(x * y))")</f>
        <v>5.3377187650156914E-3</v>
      </c>
      <c r="N951" cm="1">
        <f t="array" ref="N951" xml:space="preserve"> mc(100, -PI()/2,PI()/2, 0, 1, "sin(cos(x + y))")-1.48235</f>
        <v>0.16206475318165325</v>
      </c>
      <c r="O951" cm="1">
        <f t="array" ref="O951" xml:space="preserve"> mc(500, -PI()/2,PI()/2, 0, 1, "sin(cos(x + y))")-1.48235</f>
        <v>-5.3355131832872882E-3</v>
      </c>
      <c r="P951" cm="1">
        <f t="array" ref="P951" xml:space="preserve"> mc(1000, -PI()/2,PI()/2, 0, 1, "sin(cos(x + y))")-1.48235</f>
        <v>-2.2869106378093695E-2</v>
      </c>
    </row>
    <row r="952" spans="1:16" x14ac:dyDescent="0.3">
      <c r="A952">
        <v>922</v>
      </c>
      <c r="B952" cm="1">
        <f t="array" ref="B952" xml:space="preserve"> mc(100, 0, 4, 1, 2, "x^2+y^2")-92/3</f>
        <v>-0.4498114300903282</v>
      </c>
      <c r="C952" cm="1">
        <f t="array" ref="C952" xml:space="preserve"> mc(500, 0, 4, 1, 2, "x^2+y^2")-92/3</f>
        <v>7.9213014331745768E-2</v>
      </c>
      <c r="D952" cm="1">
        <f t="array" ref="D952" xml:space="preserve"> mc(1000, 0, 4, 1, 2, "x^2+y^2")-92/3</f>
        <v>-0.29907748392183464</v>
      </c>
      <c r="F952" cm="1">
        <f t="array" ref="F952" xml:space="preserve"> ( mc(100, 3, 4, -1, 1, "EXP(x * sin(y))") ) - 7.39981</f>
        <v>-1.1035419191318221</v>
      </c>
      <c r="G952" cm="1">
        <f t="array" ref="G952" xml:space="preserve"> ( mc(500, 3, 4, -1, 1, "EXP(x * sin(y))") ) - 7.39981</f>
        <v>-0.27255271313231688</v>
      </c>
      <c r="H952" cm="1">
        <f t="array" ref="H952" xml:space="preserve"> ( mc(1000, 3, 4, -1, 1, "EXP(x * sin(y))") ) - 7.39981</f>
        <v>-8.7158109090886171E-2</v>
      </c>
      <c r="J952" cm="1">
        <f t="array" ref="J952" xml:space="preserve"> mc(100, -PI()/2,0,-1, 1, "ln(EXP(x * y))")</f>
        <v>0.11349504436719825</v>
      </c>
      <c r="K952" cm="1">
        <f t="array" ref="K952" xml:space="preserve"> mc(500, -PI()/2,0,-1, 1, "ln(EXP(x * y))")</f>
        <v>9.6214222934909513E-2</v>
      </c>
      <c r="L952" cm="1">
        <f t="array" ref="L952" xml:space="preserve"> mc(1000, -PI()/2,0,-1, 1, "ln(EXP(x * y))")</f>
        <v>-3.807560080864051E-2</v>
      </c>
      <c r="N952" cm="1">
        <f t="array" ref="N952" xml:space="preserve"> mc(100, -PI()/2,PI()/2, 0, 1, "sin(cos(x + y))")-1.48235</f>
        <v>-8.5286566064624925E-2</v>
      </c>
      <c r="O952" cm="1">
        <f t="array" ref="O952" xml:space="preserve"> mc(500, -PI()/2,PI()/2, 0, 1, "sin(cos(x + y))")-1.48235</f>
        <v>3.2517352466349125E-2</v>
      </c>
      <c r="P952" cm="1">
        <f t="array" ref="P952" xml:space="preserve"> mc(1000, -PI()/2,PI()/2, 0, 1, "sin(cos(x + y))")-1.48235</f>
        <v>-4.9952728302822269E-2</v>
      </c>
    </row>
    <row r="953" spans="1:16" x14ac:dyDescent="0.3">
      <c r="A953">
        <v>923</v>
      </c>
      <c r="B953" cm="1">
        <f t="array" ref="B953" xml:space="preserve"> mc(100, 0, 4, 1, 2, "x^2+y^2")-92/3</f>
        <v>1.2218994264621443</v>
      </c>
      <c r="C953" cm="1">
        <f t="array" ref="C953" xml:space="preserve"> mc(500, 0, 4, 1, 2, "x^2+y^2")-92/3</f>
        <v>2.1910515101526862</v>
      </c>
      <c r="D953" cm="1">
        <f t="array" ref="D953" xml:space="preserve"> mc(1000, 0, 4, 1, 2, "x^2+y^2")-92/3</f>
        <v>0.10089237448470101</v>
      </c>
      <c r="F953" cm="1">
        <f t="array" ref="F953" xml:space="preserve"> ( mc(100, 3, 4, -1, 1, "EXP(x * sin(y))") ) - 7.39981</f>
        <v>-0.81075593790057532</v>
      </c>
      <c r="G953" cm="1">
        <f t="array" ref="G953" xml:space="preserve"> ( mc(500, 3, 4, -1, 1, "EXP(x * sin(y))") ) - 7.39981</f>
        <v>0.34105779083070775</v>
      </c>
      <c r="H953" cm="1">
        <f t="array" ref="H953" xml:space="preserve"> ( mc(1000, 3, 4, -1, 1, "EXP(x * sin(y))") ) - 7.39981</f>
        <v>0.40264542998786723</v>
      </c>
      <c r="J953" cm="1">
        <f t="array" ref="J953" xml:space="preserve"> mc(100, -PI()/2,0,-1, 1, "ln(EXP(x * y))")</f>
        <v>-4.8071773029609917E-2</v>
      </c>
      <c r="K953" cm="1">
        <f t="array" ref="K953" xml:space="preserve"> mc(500, -PI()/2,0,-1, 1, "ln(EXP(x * y))")</f>
        <v>0.1105865020015893</v>
      </c>
      <c r="L953" cm="1">
        <f t="array" ref="L953" xml:space="preserve"> mc(1000, -PI()/2,0,-1, 1, "ln(EXP(x * y))")</f>
        <v>-1.7203100459918901E-2</v>
      </c>
      <c r="N953" cm="1">
        <f t="array" ref="N953" xml:space="preserve"> mc(100, -PI()/2,PI()/2, 0, 1, "sin(cos(x + y))")-1.48235</f>
        <v>-1.8143499735894686E-2</v>
      </c>
      <c r="O953" cm="1">
        <f t="array" ref="O953" xml:space="preserve"> mc(500, -PI()/2,PI()/2, 0, 1, "sin(cos(x + y))")-1.48235</f>
        <v>-5.8135951475050129E-2</v>
      </c>
      <c r="P953" cm="1">
        <f t="array" ref="P953" xml:space="preserve"> mc(1000, -PI()/2,PI()/2, 0, 1, "sin(cos(x + y))")-1.48235</f>
        <v>1.3075208009191597E-2</v>
      </c>
    </row>
    <row r="954" spans="1:16" x14ac:dyDescent="0.3">
      <c r="A954">
        <v>924</v>
      </c>
      <c r="B954" cm="1">
        <f t="array" ref="B954" xml:space="preserve"> mc(100, 0, 4, 1, 2, "x^2+y^2")-92/3</f>
        <v>-1.099772272221923</v>
      </c>
      <c r="C954" cm="1">
        <f t="array" ref="C954" xml:space="preserve"> mc(500, 0, 4, 1, 2, "x^2+y^2")-92/3</f>
        <v>-0.53363270009269925</v>
      </c>
      <c r="D954" cm="1">
        <f t="array" ref="D954" xml:space="preserve"> mc(1000, 0, 4, 1, 2, "x^2+y^2")-92/3</f>
        <v>-0.79985938014335289</v>
      </c>
      <c r="F954" cm="1">
        <f t="array" ref="F954" xml:space="preserve"> ( mc(100, 3, 4, -1, 1, "EXP(x * sin(y))") ) - 7.39981</f>
        <v>2.5090528211255396</v>
      </c>
      <c r="G954" cm="1">
        <f t="array" ref="G954" xml:space="preserve"> ( mc(500, 3, 4, -1, 1, "EXP(x * sin(y))") ) - 7.39981</f>
        <v>0.23441963615127559</v>
      </c>
      <c r="H954" cm="1">
        <f t="array" ref="H954" xml:space="preserve"> ( mc(1000, 3, 4, -1, 1, "EXP(x * sin(y))") ) - 7.39981</f>
        <v>0.42180217063499015</v>
      </c>
      <c r="J954" cm="1">
        <f t="array" ref="J954" xml:space="preserve"> mc(100, -PI()/2,0,-1, 1, "ln(EXP(x * y))")</f>
        <v>9.5685245338528423E-3</v>
      </c>
      <c r="K954" cm="1">
        <f t="array" ref="K954" xml:space="preserve"> mc(500, -PI()/2,0,-1, 1, "ln(EXP(x * y))")</f>
        <v>-8.2758351365063237E-2</v>
      </c>
      <c r="L954" cm="1">
        <f t="array" ref="L954" xml:space="preserve"> mc(1000, -PI()/2,0,-1, 1, "ln(EXP(x * y))")</f>
        <v>2.1317901701871006E-2</v>
      </c>
      <c r="N954" cm="1">
        <f t="array" ref="N954" xml:space="preserve"> mc(100, -PI()/2,PI()/2, 0, 1, "sin(cos(x + y))")-1.48235</f>
        <v>4.521621953891608E-2</v>
      </c>
      <c r="O954" cm="1">
        <f t="array" ref="O954" xml:space="preserve"> mc(500, -PI()/2,PI()/2, 0, 1, "sin(cos(x + y))")-1.48235</f>
        <v>-9.0219417162658022E-2</v>
      </c>
      <c r="P954" cm="1">
        <f t="array" ref="P954" xml:space="preserve"> mc(1000, -PI()/2,PI()/2, 0, 1, "sin(cos(x + y))")-1.48235</f>
        <v>-6.0156596204699486E-2</v>
      </c>
    </row>
    <row r="955" spans="1:16" x14ac:dyDescent="0.3">
      <c r="A955">
        <v>925</v>
      </c>
      <c r="B955" cm="1">
        <f t="array" ref="B955" xml:space="preserve"> mc(100, 0, 4, 1, 2, "x^2+y^2")-92/3</f>
        <v>7.1347827217414341</v>
      </c>
      <c r="C955" cm="1">
        <f t="array" ref="C955" xml:space="preserve"> mc(500, 0, 4, 1, 2, "x^2+y^2")-92/3</f>
        <v>0.71865036798366333</v>
      </c>
      <c r="D955" cm="1">
        <f t="array" ref="D955" xml:space="preserve"> mc(1000, 0, 4, 1, 2, "x^2+y^2")-92/3</f>
        <v>0.81736206423518354</v>
      </c>
      <c r="F955" cm="1">
        <f t="array" ref="F955" xml:space="preserve"> ( mc(100, 3, 4, -1, 1, "EXP(x * sin(y))") ) - 7.39981</f>
        <v>-1.0066260767005968</v>
      </c>
      <c r="G955" cm="1">
        <f t="array" ref="G955" xml:space="preserve"> ( mc(500, 3, 4, -1, 1, "EXP(x * sin(y))") ) - 7.39981</f>
        <v>0.77783863154936483</v>
      </c>
      <c r="H955" cm="1">
        <f t="array" ref="H955" xml:space="preserve"> ( mc(1000, 3, 4, -1, 1, "EXP(x * sin(y))") ) - 7.39981</f>
        <v>-0.22143460306133544</v>
      </c>
      <c r="J955" cm="1">
        <f t="array" ref="J955" xml:space="preserve"> mc(100, -PI()/2,0,-1, 1, "ln(EXP(x * y))")</f>
        <v>0.13952431194259465</v>
      </c>
      <c r="K955" cm="1">
        <f t="array" ref="K955" xml:space="preserve"> mc(500, -PI()/2,0,-1, 1, "ln(EXP(x * y))")</f>
        <v>1.3064264137646822E-2</v>
      </c>
      <c r="L955" cm="1">
        <f t="array" ref="L955" xml:space="preserve"> mc(1000, -PI()/2,0,-1, 1, "ln(EXP(x * y))")</f>
        <v>1.3512548995636364E-2</v>
      </c>
      <c r="N955" cm="1">
        <f t="array" ref="N955" xml:space="preserve"> mc(100, -PI()/2,PI()/2, 0, 1, "sin(cos(x + y))")-1.48235</f>
        <v>9.9121925716117554E-2</v>
      </c>
      <c r="O955" cm="1">
        <f t="array" ref="O955" xml:space="preserve"> mc(500, -PI()/2,PI()/2, 0, 1, "sin(cos(x + y))")-1.48235</f>
        <v>0.10981100396355803</v>
      </c>
      <c r="P955" cm="1">
        <f t="array" ref="P955" xml:space="preserve"> mc(1000, -PI()/2,PI()/2, 0, 1, "sin(cos(x + y))")-1.48235</f>
        <v>-2.8966427795752647E-2</v>
      </c>
    </row>
    <row r="956" spans="1:16" x14ac:dyDescent="0.3">
      <c r="A956">
        <v>926</v>
      </c>
      <c r="B956" cm="1">
        <f t="array" ref="B956" xml:space="preserve"> mc(100, 0, 4, 1, 2, "x^2+y^2")-92/3</f>
        <v>2.2494162818699657</v>
      </c>
      <c r="C956" cm="1">
        <f t="array" ref="C956" xml:space="preserve"> mc(500, 0, 4, 1, 2, "x^2+y^2")-92/3</f>
        <v>1.9222652296825515E-2</v>
      </c>
      <c r="D956" cm="1">
        <f t="array" ref="D956" xml:space="preserve"> mc(1000, 0, 4, 1, 2, "x^2+y^2")-92/3</f>
        <v>-3.6597306929042617E-2</v>
      </c>
      <c r="F956" cm="1">
        <f t="array" ref="F956" xml:space="preserve"> ( mc(100, 3, 4, -1, 1, "EXP(x * sin(y))") ) - 7.39981</f>
        <v>-8.1699889254757352E-2</v>
      </c>
      <c r="G956" cm="1">
        <f t="array" ref="G956" xml:space="preserve"> ( mc(500, 3, 4, -1, 1, "EXP(x * sin(y))") ) - 7.39981</f>
        <v>7.3096709727948017E-2</v>
      </c>
      <c r="H956" cm="1">
        <f t="array" ref="H956" xml:space="preserve"> ( mc(1000, 3, 4, -1, 1, "EXP(x * sin(y))") ) - 7.39981</f>
        <v>-0.11314776067480192</v>
      </c>
      <c r="J956" cm="1">
        <f t="array" ref="J956" xml:space="preserve"> mc(100, -PI()/2,0,-1, 1, "ln(EXP(x * y))")</f>
        <v>0.14607982863582725</v>
      </c>
      <c r="K956" cm="1">
        <f t="array" ref="K956" xml:space="preserve"> mc(500, -PI()/2,0,-1, 1, "ln(EXP(x * y))")</f>
        <v>-1.4092738557829434E-3</v>
      </c>
      <c r="L956" cm="1">
        <f t="array" ref="L956" xml:space="preserve"> mc(1000, -PI()/2,0,-1, 1, "ln(EXP(x * y))")</f>
        <v>3.1828292961164927E-2</v>
      </c>
      <c r="N956" cm="1">
        <f t="array" ref="N956" xml:space="preserve"> mc(100, -PI()/2,PI()/2, 0, 1, "sin(cos(x + y))")-1.48235</f>
        <v>-8.0211033112339347E-2</v>
      </c>
      <c r="O956" cm="1">
        <f t="array" ref="O956" xml:space="preserve"> mc(500, -PI()/2,PI()/2, 0, 1, "sin(cos(x + y))")-1.48235</f>
        <v>1.6217691252714994E-2</v>
      </c>
      <c r="P956" cm="1">
        <f t="array" ref="P956" xml:space="preserve"> mc(1000, -PI()/2,PI()/2, 0, 1, "sin(cos(x + y))")-1.48235</f>
        <v>6.887392197637765E-2</v>
      </c>
    </row>
    <row r="957" spans="1:16" x14ac:dyDescent="0.3">
      <c r="A957">
        <v>927</v>
      </c>
      <c r="B957" cm="1">
        <f t="array" ref="B957" xml:space="preserve"> mc(100, 0, 4, 1, 2, "x^2+y^2")-92/3</f>
        <v>0.69773262632214994</v>
      </c>
      <c r="C957" cm="1">
        <f t="array" ref="C957" xml:space="preserve"> mc(500, 0, 4, 1, 2, "x^2+y^2")-92/3</f>
        <v>7.5967098408121103E-2</v>
      </c>
      <c r="D957" cm="1">
        <f t="array" ref="D957" xml:space="preserve"> mc(1000, 0, 4, 1, 2, "x^2+y^2")-92/3</f>
        <v>-1.0322599847510894</v>
      </c>
      <c r="F957" cm="1">
        <f t="array" ref="F957" xml:space="preserve"> ( mc(100, 3, 4, -1, 1, "EXP(x * sin(y))") ) - 7.39981</f>
        <v>1.7147829057774011</v>
      </c>
      <c r="G957" cm="1">
        <f t="array" ref="G957" xml:space="preserve"> ( mc(500, 3, 4, -1, 1, "EXP(x * sin(y))") ) - 7.39981</f>
        <v>-1.1381364113529244</v>
      </c>
      <c r="H957" cm="1">
        <f t="array" ref="H957" xml:space="preserve"> ( mc(1000, 3, 4, -1, 1, "EXP(x * sin(y))") ) - 7.39981</f>
        <v>-6.463496345028652E-2</v>
      </c>
      <c r="J957" cm="1">
        <f t="array" ref="J957" xml:space="preserve"> mc(100, -PI()/2,0,-1, 1, "ln(EXP(x * y))")</f>
        <v>1.0408313091374207E-2</v>
      </c>
      <c r="K957" cm="1">
        <f t="array" ref="K957" xml:space="preserve"> mc(500, -PI()/2,0,-1, 1, "ln(EXP(x * y))")</f>
        <v>-7.5155547915435772E-2</v>
      </c>
      <c r="L957" cm="1">
        <f t="array" ref="L957" xml:space="preserve"> mc(1000, -PI()/2,0,-1, 1, "ln(EXP(x * y))")</f>
        <v>-2.0928786059001277E-2</v>
      </c>
      <c r="N957" cm="1">
        <f t="array" ref="N957" xml:space="preserve"> mc(100, -PI()/2,PI()/2, 0, 1, "sin(cos(x + y))")-1.48235</f>
        <v>4.1078861221686802E-2</v>
      </c>
      <c r="O957" cm="1">
        <f t="array" ref="O957" xml:space="preserve"> mc(500, -PI()/2,PI()/2, 0, 1, "sin(cos(x + y))")-1.48235</f>
        <v>7.4138459007220936E-2</v>
      </c>
      <c r="P957" cm="1">
        <f t="array" ref="P957" xml:space="preserve"> mc(1000, -PI()/2,PI()/2, 0, 1, "sin(cos(x + y))")-1.48235</f>
        <v>-5.2564344103318117E-2</v>
      </c>
    </row>
    <row r="958" spans="1:16" x14ac:dyDescent="0.3">
      <c r="A958">
        <v>928</v>
      </c>
      <c r="B958" cm="1">
        <f t="array" ref="B958" xml:space="preserve"> mc(100, 0, 4, 1, 2, "x^2+y^2")-92/3</f>
        <v>-3.9520910911232221E-2</v>
      </c>
      <c r="C958" cm="1">
        <f t="array" ref="C958" xml:space="preserve"> mc(500, 0, 4, 1, 2, "x^2+y^2")-92/3</f>
        <v>1.013064203583653</v>
      </c>
      <c r="D958" cm="1">
        <f t="array" ref="D958" xml:space="preserve"> mc(1000, 0, 4, 1, 2, "x^2+y^2")-92/3</f>
        <v>0.20259839256094381</v>
      </c>
      <c r="F958" cm="1">
        <f t="array" ref="F958" xml:space="preserve"> ( mc(100, 3, 4, -1, 1, "EXP(x * sin(y))") ) - 7.39981</f>
        <v>0.62778991557893526</v>
      </c>
      <c r="G958" cm="1">
        <f t="array" ref="G958" xml:space="preserve"> ( mc(500, 3, 4, -1, 1, "EXP(x * sin(y))") ) - 7.39981</f>
        <v>0.13561431842394978</v>
      </c>
      <c r="H958" cm="1">
        <f t="array" ref="H958" xml:space="preserve"> ( mc(1000, 3, 4, -1, 1, "EXP(x * sin(y))") ) - 7.39981</f>
        <v>0.27449054178813359</v>
      </c>
      <c r="J958" cm="1">
        <f t="array" ref="J958" xml:space="preserve"> mc(100, -PI()/2,0,-1, 1, "ln(EXP(x * y))")</f>
        <v>-0.15982746350699786</v>
      </c>
      <c r="K958" cm="1">
        <f t="array" ref="K958" xml:space="preserve"> mc(500, -PI()/2,0,-1, 1, "ln(EXP(x * y))")</f>
        <v>-8.7906140797460133E-2</v>
      </c>
      <c r="L958" cm="1">
        <f t="array" ref="L958" xml:space="preserve"> mc(1000, -PI()/2,0,-1, 1, "ln(EXP(x * y))")</f>
        <v>5.7985403397321666E-2</v>
      </c>
      <c r="N958" cm="1">
        <f t="array" ref="N958" xml:space="preserve"> mc(100, -PI()/2,PI()/2, 0, 1, "sin(cos(x + y))")-1.48235</f>
        <v>3.6368382364901919E-2</v>
      </c>
      <c r="O958" cm="1">
        <f t="array" ref="O958" xml:space="preserve"> mc(500, -PI()/2,PI()/2, 0, 1, "sin(cos(x + y))")-1.48235</f>
        <v>-4.0106045902872811E-2</v>
      </c>
      <c r="P958" cm="1">
        <f t="array" ref="P958" xml:space="preserve"> mc(1000, -PI()/2,PI()/2, 0, 1, "sin(cos(x + y))")-1.48235</f>
        <v>2.7449626001357919E-2</v>
      </c>
    </row>
    <row r="959" spans="1:16" x14ac:dyDescent="0.3">
      <c r="A959">
        <v>929</v>
      </c>
      <c r="B959" cm="1">
        <f t="array" ref="B959" xml:space="preserve"> mc(100, 0, 4, 1, 2, "x^2+y^2")-92/3</f>
        <v>2.1848861545322968</v>
      </c>
      <c r="C959" cm="1">
        <f t="array" ref="C959" xml:space="preserve"> mc(500, 0, 4, 1, 2, "x^2+y^2")-92/3</f>
        <v>-0.72927654295977717</v>
      </c>
      <c r="D959" cm="1">
        <f t="array" ref="D959" xml:space="preserve"> mc(1000, 0, 4, 1, 2, "x^2+y^2")-92/3</f>
        <v>0.20962501224331831</v>
      </c>
      <c r="F959" cm="1">
        <f t="array" ref="F959" xml:space="preserve"> ( mc(100, 3, 4, -1, 1, "EXP(x * sin(y))") ) - 7.39981</f>
        <v>1.6467163565701242</v>
      </c>
      <c r="G959" cm="1">
        <f t="array" ref="G959" xml:space="preserve"> ( mc(500, 3, 4, -1, 1, "EXP(x * sin(y))") ) - 7.39981</f>
        <v>0.32828532698026347</v>
      </c>
      <c r="H959" cm="1">
        <f t="array" ref="H959" xml:space="preserve"> ( mc(1000, 3, 4, -1, 1, "EXP(x * sin(y))") ) - 7.39981</f>
        <v>-0.3148811270366263</v>
      </c>
      <c r="J959" cm="1">
        <f t="array" ref="J959" xml:space="preserve"> mc(100, -PI()/2,0,-1, 1, "ln(EXP(x * y))")</f>
        <v>-0.11494615225558927</v>
      </c>
      <c r="K959" cm="1">
        <f t="array" ref="K959" xml:space="preserve"> mc(500, -PI()/2,0,-1, 1, "ln(EXP(x * y))")</f>
        <v>0.10812538316076492</v>
      </c>
      <c r="L959" cm="1">
        <f t="array" ref="L959" xml:space="preserve"> mc(1000, -PI()/2,0,-1, 1, "ln(EXP(x * y))")</f>
        <v>3.7720979573285109E-2</v>
      </c>
      <c r="N959" cm="1">
        <f t="array" ref="N959" xml:space="preserve"> mc(100, -PI()/2,PI()/2, 0, 1, "sin(cos(x + y))")-1.48235</f>
        <v>0.1341641259512194</v>
      </c>
      <c r="O959" cm="1">
        <f t="array" ref="O959" xml:space="preserve"> mc(500, -PI()/2,PI()/2, 0, 1, "sin(cos(x + y))")-1.48235</f>
        <v>3.1648448298395859E-2</v>
      </c>
      <c r="P959" cm="1">
        <f t="array" ref="P959" xml:space="preserve"> mc(1000, -PI()/2,PI()/2, 0, 1, "sin(cos(x + y))")-1.48235</f>
        <v>-6.0702762822646417E-3</v>
      </c>
    </row>
    <row r="960" spans="1:16" x14ac:dyDescent="0.3">
      <c r="A960">
        <v>930</v>
      </c>
      <c r="B960" cm="1">
        <f t="array" ref="B960" xml:space="preserve"> mc(100, 0, 4, 1, 2, "x^2+y^2")-92/3</f>
        <v>-2.3504183150375013</v>
      </c>
      <c r="C960" cm="1">
        <f t="array" ref="C960" xml:space="preserve"> mc(500, 0, 4, 1, 2, "x^2+y^2")-92/3</f>
        <v>-0.74780040003187409</v>
      </c>
      <c r="D960" cm="1">
        <f t="array" ref="D960" xml:space="preserve"> mc(1000, 0, 4, 1, 2, "x^2+y^2")-92/3</f>
        <v>-1.2583671674290997</v>
      </c>
      <c r="F960" cm="1">
        <f t="array" ref="F960" xml:space="preserve"> ( mc(100, 3, 4, -1, 1, "EXP(x * sin(y))") ) - 7.39981</f>
        <v>0.98348957446155971</v>
      </c>
      <c r="G960" cm="1">
        <f t="array" ref="G960" xml:space="preserve"> ( mc(500, 3, 4, -1, 1, "EXP(x * sin(y))") ) - 7.39981</f>
        <v>0.14627403052427201</v>
      </c>
      <c r="H960" cm="1">
        <f t="array" ref="H960" xml:space="preserve"> ( mc(1000, 3, 4, -1, 1, "EXP(x * sin(y))") ) - 7.39981</f>
        <v>-0.26711603770995573</v>
      </c>
      <c r="J960" cm="1">
        <f t="array" ref="J960" xml:space="preserve"> mc(100, -PI()/2,0,-1, 1, "ln(EXP(x * y))")</f>
        <v>-0.22374420083613214</v>
      </c>
      <c r="K960" cm="1">
        <f t="array" ref="K960" xml:space="preserve"> mc(500, -PI()/2,0,-1, 1, "ln(EXP(x * y))")</f>
        <v>-0.22287885718679362</v>
      </c>
      <c r="L960" cm="1">
        <f t="array" ref="L960" xml:space="preserve"> mc(1000, -PI()/2,0,-1, 1, "ln(EXP(x * y))")</f>
        <v>7.4220637448755289E-2</v>
      </c>
      <c r="N960" cm="1">
        <f t="array" ref="N960" xml:space="preserve"> mc(100, -PI()/2,PI()/2, 0, 1, "sin(cos(x + y))")-1.48235</f>
        <v>0.12041379903683369</v>
      </c>
      <c r="O960" cm="1">
        <f t="array" ref="O960" xml:space="preserve"> mc(500, -PI()/2,PI()/2, 0, 1, "sin(cos(x + y))")-1.48235</f>
        <v>5.1116911225365325E-2</v>
      </c>
      <c r="P960" cm="1">
        <f t="array" ref="P960" xml:space="preserve"> mc(1000, -PI()/2,PI()/2, 0, 1, "sin(cos(x + y))")-1.48235</f>
        <v>-2.1303099618796395E-2</v>
      </c>
    </row>
    <row r="961" spans="1:16" x14ac:dyDescent="0.3">
      <c r="A961">
        <v>931</v>
      </c>
      <c r="B961" cm="1">
        <f t="array" ref="B961" xml:space="preserve"> mc(100, 0, 4, 1, 2, "x^2+y^2")-92/3</f>
        <v>0.11981068987577714</v>
      </c>
      <c r="C961" cm="1">
        <f t="array" ref="C961" xml:space="preserve"> mc(500, 0, 4, 1, 2, "x^2+y^2")-92/3</f>
        <v>-0.4656732043327132</v>
      </c>
      <c r="D961" cm="1">
        <f t="array" ref="D961" xml:space="preserve"> mc(1000, 0, 4, 1, 2, "x^2+y^2")-92/3</f>
        <v>0.73756500268556735</v>
      </c>
      <c r="F961" cm="1">
        <f t="array" ref="F961" xml:space="preserve"> ( mc(100, 3, 4, -1, 1, "EXP(x * sin(y))") ) - 7.39981</f>
        <v>1.2217817859232767</v>
      </c>
      <c r="G961" cm="1">
        <f t="array" ref="G961" xml:space="preserve"> ( mc(500, 3, 4, -1, 1, "EXP(x * sin(y))") ) - 7.39981</f>
        <v>0.37833060947484576</v>
      </c>
      <c r="H961" cm="1">
        <f t="array" ref="H961" xml:space="preserve"> ( mc(1000, 3, 4, -1, 1, "EXP(x * sin(y))") ) - 7.39981</f>
        <v>0.5019675456774193</v>
      </c>
      <c r="J961" cm="1">
        <f t="array" ref="J961" xml:space="preserve"> mc(100, -PI()/2,0,-1, 1, "ln(EXP(x * y))")</f>
        <v>0.17559965783522463</v>
      </c>
      <c r="K961" cm="1">
        <f t="array" ref="K961" xml:space="preserve"> mc(500, -PI()/2,0,-1, 1, "ln(EXP(x * y))")</f>
        <v>1.1116434688064338E-2</v>
      </c>
      <c r="L961" cm="1">
        <f t="array" ref="L961" xml:space="preserve"> mc(1000, -PI()/2,0,-1, 1, "ln(EXP(x * y))")</f>
        <v>1.6382383121567058E-3</v>
      </c>
      <c r="N961" cm="1">
        <f t="array" ref="N961" xml:space="preserve"> mc(100, -PI()/2,PI()/2, 0, 1, "sin(cos(x + y))")-1.48235</f>
        <v>0.10080573099897716</v>
      </c>
      <c r="O961" cm="1">
        <f t="array" ref="O961" xml:space="preserve"> mc(500, -PI()/2,PI()/2, 0, 1, "sin(cos(x + y))")-1.48235</f>
        <v>7.3442474634437316E-2</v>
      </c>
      <c r="P961" cm="1">
        <f t="array" ref="P961" xml:space="preserve"> mc(1000, -PI()/2,PI()/2, 0, 1, "sin(cos(x + y))")-1.48235</f>
        <v>5.4708364067140858E-2</v>
      </c>
    </row>
    <row r="962" spans="1:16" x14ac:dyDescent="0.3">
      <c r="A962">
        <v>932</v>
      </c>
      <c r="B962" cm="1">
        <f t="array" ref="B962" xml:space="preserve"> mc(100, 0, 4, 1, 2, "x^2+y^2")-92/3</f>
        <v>1.0264030622517097</v>
      </c>
      <c r="C962" cm="1">
        <f t="array" ref="C962" xml:space="preserve"> mc(500, 0, 4, 1, 2, "x^2+y^2")-92/3</f>
        <v>-0.48122114481769884</v>
      </c>
      <c r="D962" cm="1">
        <f t="array" ref="D962" xml:space="preserve"> mc(1000, 0, 4, 1, 2, "x^2+y^2")-92/3</f>
        <v>-1.576422369372132</v>
      </c>
      <c r="F962" cm="1">
        <f t="array" ref="F962" xml:space="preserve"> ( mc(100, 3, 4, -1, 1, "EXP(x * sin(y))") ) - 7.39981</f>
        <v>-0.32905723185241165</v>
      </c>
      <c r="G962" cm="1">
        <f t="array" ref="G962" xml:space="preserve"> ( mc(500, 3, 4, -1, 1, "EXP(x * sin(y))") ) - 7.39981</f>
        <v>-0.94524346334011344</v>
      </c>
      <c r="H962" cm="1">
        <f t="array" ref="H962" xml:space="preserve"> ( mc(1000, 3, 4, -1, 1, "EXP(x * sin(y))") ) - 7.39981</f>
        <v>-0.18491951301126175</v>
      </c>
      <c r="J962" cm="1">
        <f t="array" ref="J962" xml:space="preserve"> mc(100, -PI()/2,0,-1, 1, "ln(EXP(x * y))")</f>
        <v>0.13470582535245529</v>
      </c>
      <c r="K962" cm="1">
        <f t="array" ref="K962" xml:space="preserve"> mc(500, -PI()/2,0,-1, 1, "ln(EXP(x * y))")</f>
        <v>-1.4057240545234389E-2</v>
      </c>
      <c r="L962" cm="1">
        <f t="array" ref="L962" xml:space="preserve"> mc(1000, -PI()/2,0,-1, 1, "ln(EXP(x * y))")</f>
        <v>7.083896699643745E-2</v>
      </c>
      <c r="N962" cm="1">
        <f t="array" ref="N962" xml:space="preserve"> mc(100, -PI()/2,PI()/2, 0, 1, "sin(cos(x + y))")-1.48235</f>
        <v>-8.1159778399370497E-2</v>
      </c>
      <c r="O962" cm="1">
        <f t="array" ref="O962" xml:space="preserve"> mc(500, -PI()/2,PI()/2, 0, 1, "sin(cos(x + y))")-1.48235</f>
        <v>-0.11697207604408866</v>
      </c>
      <c r="P962" cm="1">
        <f t="array" ref="P962" xml:space="preserve"> mc(1000, -PI()/2,PI()/2, 0, 1, "sin(cos(x + y))")-1.48235</f>
        <v>4.8164281442357737E-3</v>
      </c>
    </row>
    <row r="963" spans="1:16" x14ac:dyDescent="0.3">
      <c r="A963">
        <v>933</v>
      </c>
      <c r="B963" cm="1">
        <f t="array" ref="B963" xml:space="preserve"> mc(100, 0, 4, 1, 2, "x^2+y^2")-92/3</f>
        <v>4.7921355361705054E-2</v>
      </c>
      <c r="C963" cm="1">
        <f t="array" ref="C963" xml:space="preserve"> mc(500, 0, 4, 1, 2, "x^2+y^2")-92/3</f>
        <v>0.72802482579119143</v>
      </c>
      <c r="D963" cm="1">
        <f t="array" ref="D963" xml:space="preserve"> mc(1000, 0, 4, 1, 2, "x^2+y^2")-92/3</f>
        <v>0.89527866678562162</v>
      </c>
      <c r="F963" cm="1">
        <f t="array" ref="F963" xml:space="preserve"> ( mc(100, 3, 4, -1, 1, "EXP(x * sin(y))") ) - 7.39981</f>
        <v>-1.5100104617945087</v>
      </c>
      <c r="G963" cm="1">
        <f t="array" ref="G963" xml:space="preserve"> ( mc(500, 3, 4, -1, 1, "EXP(x * sin(y))") ) - 7.39981</f>
        <v>0.23472248130648321</v>
      </c>
      <c r="H963" cm="1">
        <f t="array" ref="H963" xml:space="preserve"> ( mc(1000, 3, 4, -1, 1, "EXP(x * sin(y))") ) - 7.39981</f>
        <v>-0.17306091088915299</v>
      </c>
      <c r="J963" cm="1">
        <f t="array" ref="J963" xml:space="preserve"> mc(100, -PI()/2,0,-1, 1, "ln(EXP(x * y))")</f>
        <v>5.1054707900920565E-2</v>
      </c>
      <c r="K963" cm="1">
        <f t="array" ref="K963" xml:space="preserve"> mc(500, -PI()/2,0,-1, 1, "ln(EXP(x * y))")</f>
        <v>-3.2485924118660213E-2</v>
      </c>
      <c r="L963" cm="1">
        <f t="array" ref="L963" xml:space="preserve"> mc(1000, -PI()/2,0,-1, 1, "ln(EXP(x * y))")</f>
        <v>2.7980978307020624E-2</v>
      </c>
      <c r="N963" cm="1">
        <f t="array" ref="N963" xml:space="preserve"> mc(100, -PI()/2,PI()/2, 0, 1, "sin(cos(x + y))")-1.48235</f>
        <v>0.14502496702855927</v>
      </c>
      <c r="O963" cm="1">
        <f t="array" ref="O963" xml:space="preserve"> mc(500, -PI()/2,PI()/2, 0, 1, "sin(cos(x + y))")-1.48235</f>
        <v>1.0898335554311522E-2</v>
      </c>
      <c r="P963" cm="1">
        <f t="array" ref="P963" xml:space="preserve"> mc(1000, -PI()/2,PI()/2, 0, 1, "sin(cos(x + y))")-1.48235</f>
        <v>-4.9284853834568043E-3</v>
      </c>
    </row>
    <row r="964" spans="1:16" x14ac:dyDescent="0.3">
      <c r="A964">
        <v>934</v>
      </c>
      <c r="B964" cm="1">
        <f t="array" ref="B964" xml:space="preserve"> mc(100, 0, 4, 1, 2, "x^2+y^2")-92/3</f>
        <v>1.1212722340362475</v>
      </c>
      <c r="C964" cm="1">
        <f t="array" ref="C964" xml:space="preserve"> mc(500, 0, 4, 1, 2, "x^2+y^2")-92/3</f>
        <v>1.5738604705007155</v>
      </c>
      <c r="D964" cm="1">
        <f t="array" ref="D964" xml:space="preserve"> mc(1000, 0, 4, 1, 2, "x^2+y^2")-92/3</f>
        <v>0.61554045271169855</v>
      </c>
      <c r="F964" cm="1">
        <f t="array" ref="F964" xml:space="preserve"> ( mc(100, 3, 4, -1, 1, "EXP(x * sin(y))") ) - 7.39981</f>
        <v>-9.9957461308108009E-2</v>
      </c>
      <c r="G964" cm="1">
        <f t="array" ref="G964" xml:space="preserve"> ( mc(500, 3, 4, -1, 1, "EXP(x * sin(y))") ) - 7.39981</f>
        <v>-0.37244087893482369</v>
      </c>
      <c r="H964" cm="1">
        <f t="array" ref="H964" xml:space="preserve"> ( mc(1000, 3, 4, -1, 1, "EXP(x * sin(y))") ) - 7.39981</f>
        <v>-0.48348697296995979</v>
      </c>
      <c r="J964" cm="1">
        <f t="array" ref="J964" xml:space="preserve"> mc(100, -PI()/2,0,-1, 1, "ln(EXP(x * y))")</f>
        <v>-9.7582013246355261E-3</v>
      </c>
      <c r="K964" cm="1">
        <f t="array" ref="K964" xml:space="preserve"> mc(500, -PI()/2,0,-1, 1, "ln(EXP(x * y))")</f>
        <v>1.4705490889668934E-2</v>
      </c>
      <c r="L964" cm="1">
        <f t="array" ref="L964" xml:space="preserve"> mc(1000, -PI()/2,0,-1, 1, "ln(EXP(x * y))")</f>
        <v>-7.6434117877333188E-2</v>
      </c>
      <c r="N964" cm="1">
        <f t="array" ref="N964" xml:space="preserve"> mc(100, -PI()/2,PI()/2, 0, 1, "sin(cos(x + y))")-1.48235</f>
        <v>-0.14350355138508797</v>
      </c>
      <c r="O964" cm="1">
        <f t="array" ref="O964" xml:space="preserve"> mc(500, -PI()/2,PI()/2, 0, 1, "sin(cos(x + y))")-1.48235</f>
        <v>-0.12295133299783623</v>
      </c>
      <c r="P964" cm="1">
        <f t="array" ref="P964" xml:space="preserve"> mc(1000, -PI()/2,PI()/2, 0, 1, "sin(cos(x + y))")-1.48235</f>
        <v>3.4874646662545583E-2</v>
      </c>
    </row>
    <row r="965" spans="1:16" x14ac:dyDescent="0.3">
      <c r="A965">
        <v>935</v>
      </c>
      <c r="B965" cm="1">
        <f t="array" ref="B965" xml:space="preserve"> mc(100, 0, 4, 1, 2, "x^2+y^2")-92/3</f>
        <v>-3.5754946967421368</v>
      </c>
      <c r="C965" cm="1">
        <f t="array" ref="C965" xml:space="preserve"> mc(500, 0, 4, 1, 2, "x^2+y^2")-92/3</f>
        <v>0.42854732549309205</v>
      </c>
      <c r="D965" cm="1">
        <f t="array" ref="D965" xml:space="preserve"> mc(1000, 0, 4, 1, 2, "x^2+y^2")-92/3</f>
        <v>7.1110675689137537E-2</v>
      </c>
      <c r="F965" cm="1">
        <f t="array" ref="F965" xml:space="preserve"> ( mc(100, 3, 4, -1, 1, "EXP(x * sin(y))") ) - 7.39981</f>
        <v>-0.93962616782757902</v>
      </c>
      <c r="G965" cm="1">
        <f t="array" ref="G965" xml:space="preserve"> ( mc(500, 3, 4, -1, 1, "EXP(x * sin(y))") ) - 7.39981</f>
        <v>0.2504587473722717</v>
      </c>
      <c r="H965" cm="1">
        <f t="array" ref="H965" xml:space="preserve"> ( mc(1000, 3, 4, -1, 1, "EXP(x * sin(y))") ) - 7.39981</f>
        <v>-0.54570322980613106</v>
      </c>
      <c r="J965" cm="1">
        <f t="array" ref="J965" xml:space="preserve"> mc(100, -PI()/2,0,-1, 1, "ln(EXP(x * y))")</f>
        <v>-0.11677604739247441</v>
      </c>
      <c r="K965" cm="1">
        <f t="array" ref="K965" xml:space="preserve"> mc(500, -PI()/2,0,-1, 1, "ln(EXP(x * y))")</f>
        <v>-7.2586999040189878E-2</v>
      </c>
      <c r="L965" cm="1">
        <f t="array" ref="L965" xml:space="preserve"> mc(1000, -PI()/2,0,-1, 1, "ln(EXP(x * y))")</f>
        <v>8.7704302860450542E-2</v>
      </c>
      <c r="N965" cm="1">
        <f t="array" ref="N965" xml:space="preserve"> mc(100, -PI()/2,PI()/2, 0, 1, "sin(cos(x + y))")-1.48235</f>
        <v>-5.6363120750030804E-2</v>
      </c>
      <c r="O965" cm="1">
        <f t="array" ref="O965" xml:space="preserve"> mc(500, -PI()/2,PI()/2, 0, 1, "sin(cos(x + y))")-1.48235</f>
        <v>-0.17268441522745315</v>
      </c>
      <c r="P965" cm="1">
        <f t="array" ref="P965" xml:space="preserve"> mc(1000, -PI()/2,PI()/2, 0, 1, "sin(cos(x + y))")-1.48235</f>
        <v>-2.7497755643868471E-2</v>
      </c>
    </row>
    <row r="966" spans="1:16" x14ac:dyDescent="0.3">
      <c r="A966">
        <v>936</v>
      </c>
      <c r="B966" cm="1">
        <f t="array" ref="B966" xml:space="preserve"> mc(100, 0, 4, 1, 2, "x^2+y^2")-92/3</f>
        <v>-6.215302256279287E-2</v>
      </c>
      <c r="C966" cm="1">
        <f t="array" ref="C966" xml:space="preserve"> mc(500, 0, 4, 1, 2, "x^2+y^2")-92/3</f>
        <v>-2.2316913388793189</v>
      </c>
      <c r="D966" cm="1">
        <f t="array" ref="D966" xml:space="preserve"> mc(1000, 0, 4, 1, 2, "x^2+y^2")-92/3</f>
        <v>-0.57583107639770503</v>
      </c>
      <c r="F966" cm="1">
        <f t="array" ref="F966" xml:space="preserve"> ( mc(100, 3, 4, -1, 1, "EXP(x * sin(y))") ) - 7.39981</f>
        <v>0.39568883401326538</v>
      </c>
      <c r="G966" cm="1">
        <f t="array" ref="G966" xml:space="preserve"> ( mc(500, 3, 4, -1, 1, "EXP(x * sin(y))") ) - 7.39981</f>
        <v>-0.36570344472164784</v>
      </c>
      <c r="H966" cm="1">
        <f t="array" ref="H966" xml:space="preserve"> ( mc(1000, 3, 4, -1, 1, "EXP(x * sin(y))") ) - 7.39981</f>
        <v>0.25918045015757851</v>
      </c>
      <c r="J966" cm="1">
        <f t="array" ref="J966" xml:space="preserve"> mc(100, -PI()/2,0,-1, 1, "ln(EXP(x * y))")</f>
        <v>5.9478046898477681E-2</v>
      </c>
      <c r="K966" cm="1">
        <f t="array" ref="K966" xml:space="preserve"> mc(500, -PI()/2,0,-1, 1, "ln(EXP(x * y))")</f>
        <v>-3.5910037489828371E-2</v>
      </c>
      <c r="L966" cm="1">
        <f t="array" ref="L966" xml:space="preserve"> mc(1000, -PI()/2,0,-1, 1, "ln(EXP(x * y))")</f>
        <v>7.3738620532247209E-2</v>
      </c>
      <c r="N966" cm="1">
        <f t="array" ref="N966" xml:space="preserve"> mc(100, -PI()/2,PI()/2, 0, 1, "sin(cos(x + y))")-1.48235</f>
        <v>1.7606448932781626E-2</v>
      </c>
      <c r="O966" cm="1">
        <f t="array" ref="O966" xml:space="preserve"> mc(500, -PI()/2,PI()/2, 0, 1, "sin(cos(x + y))")-1.48235</f>
        <v>-9.7830406179225449E-2</v>
      </c>
      <c r="P966" cm="1">
        <f t="array" ref="P966" xml:space="preserve"> mc(1000, -PI()/2,PI()/2, 0, 1, "sin(cos(x + y))")-1.48235</f>
        <v>3.9438053976134091E-2</v>
      </c>
    </row>
    <row r="967" spans="1:16" x14ac:dyDescent="0.3">
      <c r="A967">
        <v>937</v>
      </c>
      <c r="B967" cm="1">
        <f t="array" ref="B967" xml:space="preserve"> mc(100, 0, 4, 1, 2, "x^2+y^2")-92/3</f>
        <v>0.94753450202702183</v>
      </c>
      <c r="C967" cm="1">
        <f t="array" ref="C967" xml:space="preserve"> mc(500, 0, 4, 1, 2, "x^2+y^2")-92/3</f>
        <v>1.1423814489554083</v>
      </c>
      <c r="D967" cm="1">
        <f t="array" ref="D967" xml:space="preserve"> mc(1000, 0, 4, 1, 2, "x^2+y^2")-92/3</f>
        <v>0.36865305065393272</v>
      </c>
      <c r="F967" cm="1">
        <f t="array" ref="F967" xml:space="preserve"> ( mc(100, 3, 4, -1, 1, "EXP(x * sin(y))") ) - 7.39981</f>
        <v>1.2299035306023498E-2</v>
      </c>
      <c r="G967" cm="1">
        <f t="array" ref="G967" xml:space="preserve"> ( mc(500, 3, 4, -1, 1, "EXP(x * sin(y))") ) - 7.39981</f>
        <v>-0.47304663663834035</v>
      </c>
      <c r="H967" cm="1">
        <f t="array" ref="H967" xml:space="preserve"> ( mc(1000, 3, 4, -1, 1, "EXP(x * sin(y))") ) - 7.39981</f>
        <v>-0.70354693168787819</v>
      </c>
      <c r="J967" cm="1">
        <f t="array" ref="J967" xml:space="preserve"> mc(100, -PI()/2,0,-1, 1, "ln(EXP(x * y))")</f>
        <v>-4.7114790404117084E-2</v>
      </c>
      <c r="K967" cm="1">
        <f t="array" ref="K967" xml:space="preserve"> mc(500, -PI()/2,0,-1, 1, "ln(EXP(x * y))")</f>
        <v>-2.1461140484589102E-2</v>
      </c>
      <c r="L967" cm="1">
        <f t="array" ref="L967" xml:space="preserve"> mc(1000, -PI()/2,0,-1, 1, "ln(EXP(x * y))")</f>
        <v>-0.12442243708027616</v>
      </c>
      <c r="N967" cm="1">
        <f t="array" ref="N967" xml:space="preserve"> mc(100, -PI()/2,PI()/2, 0, 1, "sin(cos(x + y))")-1.48235</f>
        <v>0.12414468373188514</v>
      </c>
      <c r="O967" cm="1">
        <f t="array" ref="O967" xml:space="preserve"> mc(500, -PI()/2,PI()/2, 0, 1, "sin(cos(x + y))")-1.48235</f>
        <v>-5.9555150202932117E-2</v>
      </c>
      <c r="P967" cm="1">
        <f t="array" ref="P967" xml:space="preserve"> mc(1000, -PI()/2,PI()/2, 0, 1, "sin(cos(x + y))")-1.48235</f>
        <v>-5.4002444844578168E-2</v>
      </c>
    </row>
    <row r="968" spans="1:16" x14ac:dyDescent="0.3">
      <c r="A968">
        <v>938</v>
      </c>
      <c r="B968" cm="1">
        <f t="array" ref="B968" xml:space="preserve"> mc(100, 0, 4, 1, 2, "x^2+y^2")-92/3</f>
        <v>-2.4494603120424827</v>
      </c>
      <c r="C968" cm="1">
        <f t="array" ref="C968" xml:space="preserve"> mc(500, 0, 4, 1, 2, "x^2+y^2")-92/3</f>
        <v>0.20339674333933644</v>
      </c>
      <c r="D968" cm="1">
        <f t="array" ref="D968" xml:space="preserve"> mc(1000, 0, 4, 1, 2, "x^2+y^2")-92/3</f>
        <v>-0.27327692680545113</v>
      </c>
      <c r="F968" cm="1">
        <f t="array" ref="F968" xml:space="preserve"> ( mc(100, 3, 4, -1, 1, "EXP(x * sin(y))") ) - 7.39981</f>
        <v>0.55238768242985614</v>
      </c>
      <c r="G968" cm="1">
        <f t="array" ref="G968" xml:space="preserve"> ( mc(500, 3, 4, -1, 1, "EXP(x * sin(y))") ) - 7.39981</f>
        <v>-0.8656974769586272</v>
      </c>
      <c r="H968" cm="1">
        <f t="array" ref="H968" xml:space="preserve"> ( mc(1000, 3, 4, -1, 1, "EXP(x * sin(y))") ) - 7.39981</f>
        <v>-0.18690522477597682</v>
      </c>
      <c r="J968" cm="1">
        <f t="array" ref="J968" xml:space="preserve"> mc(100, -PI()/2,0,-1, 1, "ln(EXP(x * y))")</f>
        <v>2.2650343356722849E-2</v>
      </c>
      <c r="K968" cm="1">
        <f t="array" ref="K968" xml:space="preserve"> mc(500, -PI()/2,0,-1, 1, "ln(EXP(x * y))")</f>
        <v>-5.7858640288025051E-2</v>
      </c>
      <c r="L968" cm="1">
        <f t="array" ref="L968" xml:space="preserve"> mc(1000, -PI()/2,0,-1, 1, "ln(EXP(x * y))")</f>
        <v>-6.7908549777776092E-2</v>
      </c>
      <c r="N968" cm="1">
        <f t="array" ref="N968" xml:space="preserve"> mc(100, -PI()/2,PI()/2, 0, 1, "sin(cos(x + y))")-1.48235</f>
        <v>-0.1054976565464063</v>
      </c>
      <c r="O968" cm="1">
        <f t="array" ref="O968" xml:space="preserve"> mc(500, -PI()/2,PI()/2, 0, 1, "sin(cos(x + y))")-1.48235</f>
        <v>-2.7016031239343929E-2</v>
      </c>
      <c r="P968" cm="1">
        <f t="array" ref="P968" xml:space="preserve"> mc(1000, -PI()/2,PI()/2, 0, 1, "sin(cos(x + y))")-1.48235</f>
        <v>-5.8304438617440502E-2</v>
      </c>
    </row>
    <row r="969" spans="1:16" x14ac:dyDescent="0.3">
      <c r="A969">
        <v>939</v>
      </c>
      <c r="B969" cm="1">
        <f t="array" ref="B969" xml:space="preserve"> mc(100, 0, 4, 1, 2, "x^2+y^2")-92/3</f>
        <v>-0.86037414554129299</v>
      </c>
      <c r="C969" cm="1">
        <f t="array" ref="C969" xml:space="preserve"> mc(500, 0, 4, 1, 2, "x^2+y^2")-92/3</f>
        <v>-1.3236448681822957</v>
      </c>
      <c r="D969" cm="1">
        <f t="array" ref="D969" xml:space="preserve"> mc(1000, 0, 4, 1, 2, "x^2+y^2")-92/3</f>
        <v>0.26299061887769781</v>
      </c>
      <c r="F969" cm="1">
        <f t="array" ref="F969" xml:space="preserve"> ( mc(100, 3, 4, -1, 1, "EXP(x * sin(y))") ) - 7.39981</f>
        <v>0.86508899313237642</v>
      </c>
      <c r="G969" cm="1">
        <f t="array" ref="G969" xml:space="preserve"> ( mc(500, 3, 4, -1, 1, "EXP(x * sin(y))") ) - 7.39981</f>
        <v>-0.41346323627891213</v>
      </c>
      <c r="H969" cm="1">
        <f t="array" ref="H969" xml:space="preserve"> ( mc(1000, 3, 4, -1, 1, "EXP(x * sin(y))") ) - 7.39981</f>
        <v>0.3891477328018853</v>
      </c>
      <c r="J969" cm="1">
        <f t="array" ref="J969" xml:space="preserve"> mc(100, -PI()/2,0,-1, 1, "ln(EXP(x * y))")</f>
        <v>-1.3533424489017086E-2</v>
      </c>
      <c r="K969" cm="1">
        <f t="array" ref="K969" xml:space="preserve"> mc(500, -PI()/2,0,-1, 1, "ln(EXP(x * y))")</f>
        <v>6.0889407679538465E-3</v>
      </c>
      <c r="L969" cm="1">
        <f t="array" ref="L969" xml:space="preserve"> mc(1000, -PI()/2,0,-1, 1, "ln(EXP(x * y))")</f>
        <v>-7.1595826979372803E-3</v>
      </c>
      <c r="N969" cm="1">
        <f t="array" ref="N969" xml:space="preserve"> mc(100, -PI()/2,PI()/2, 0, 1, "sin(cos(x + y))")-1.48235</f>
        <v>3.5604814086994008E-2</v>
      </c>
      <c r="O969" cm="1">
        <f t="array" ref="O969" xml:space="preserve"> mc(500, -PI()/2,PI()/2, 0, 1, "sin(cos(x + y))")-1.48235</f>
        <v>2.4422357245634352E-2</v>
      </c>
      <c r="P969" cm="1">
        <f t="array" ref="P969" xml:space="preserve"> mc(1000, -PI()/2,PI()/2, 0, 1, "sin(cos(x + y))")-1.48235</f>
        <v>5.8439497064429524E-2</v>
      </c>
    </row>
    <row r="970" spans="1:16" x14ac:dyDescent="0.3">
      <c r="A970">
        <v>940</v>
      </c>
      <c r="B970" cm="1">
        <f t="array" ref="B970" xml:space="preserve"> mc(100, 0, 4, 1, 2, "x^2+y^2")-92/3</f>
        <v>0.99007713114752605</v>
      </c>
      <c r="C970" cm="1">
        <f t="array" ref="C970" xml:space="preserve"> mc(500, 0, 4, 1, 2, "x^2+y^2")-92/3</f>
        <v>1.6395073109555192</v>
      </c>
      <c r="D970" cm="1">
        <f t="array" ref="D970" xml:space="preserve"> mc(1000, 0, 4, 1, 2, "x^2+y^2")-92/3</f>
        <v>-1.1564069086731941</v>
      </c>
      <c r="F970" cm="1">
        <f t="array" ref="F970" xml:space="preserve"> ( mc(100, 3, 4, -1, 1, "EXP(x * sin(y))") ) - 7.39981</f>
        <v>0.12957632229487093</v>
      </c>
      <c r="G970" cm="1">
        <f t="array" ref="G970" xml:space="preserve"> ( mc(500, 3, 4, -1, 1, "EXP(x * sin(y))") ) - 7.39981</f>
        <v>0.69629893897005068</v>
      </c>
      <c r="H970" cm="1">
        <f t="array" ref="H970" xml:space="preserve"> ( mc(1000, 3, 4, -1, 1, "EXP(x * sin(y))") ) - 7.39981</f>
        <v>0.32439434003650547</v>
      </c>
      <c r="J970" cm="1">
        <f t="array" ref="J970" xml:space="preserve"> mc(100, -PI()/2,0,-1, 1, "ln(EXP(x * y))")</f>
        <v>-0.16400680551108693</v>
      </c>
      <c r="K970" cm="1">
        <f t="array" ref="K970" xml:space="preserve"> mc(500, -PI()/2,0,-1, 1, "ln(EXP(x * y))")</f>
        <v>0.10712794973625758</v>
      </c>
      <c r="L970" cm="1">
        <f t="array" ref="L970" xml:space="preserve"> mc(1000, -PI()/2,0,-1, 1, "ln(EXP(x * y))")</f>
        <v>5.7529314626119037E-2</v>
      </c>
      <c r="N970" cm="1">
        <f t="array" ref="N970" xml:space="preserve"> mc(100, -PI()/2,PI()/2, 0, 1, "sin(cos(x + y))")-1.48235</f>
        <v>-6.9896273305778411E-2</v>
      </c>
      <c r="O970" cm="1">
        <f t="array" ref="O970" xml:space="preserve"> mc(500, -PI()/2,PI()/2, 0, 1, "sin(cos(x + y))")-1.48235</f>
        <v>-1.9229600328840357E-2</v>
      </c>
      <c r="P970" cm="1">
        <f t="array" ref="P970" xml:space="preserve"> mc(1000, -PI()/2,PI()/2, 0, 1, "sin(cos(x + y))")-1.48235</f>
        <v>-2.1868224455696472E-2</v>
      </c>
    </row>
    <row r="971" spans="1:16" x14ac:dyDescent="0.3">
      <c r="A971">
        <v>941</v>
      </c>
      <c r="B971" cm="1">
        <f t="array" ref="B971" xml:space="preserve"> mc(100, 0, 4, 1, 2, "x^2+y^2")-92/3</f>
        <v>-0.52823700215871128</v>
      </c>
      <c r="C971" cm="1">
        <f t="array" ref="C971" xml:space="preserve"> mc(500, 0, 4, 1, 2, "x^2+y^2")-92/3</f>
        <v>0.47135902549524644</v>
      </c>
      <c r="D971" cm="1">
        <f t="array" ref="D971" xml:space="preserve"> mc(1000, 0, 4, 1, 2, "x^2+y^2")-92/3</f>
        <v>-9.9708498951340374E-2</v>
      </c>
      <c r="F971" cm="1">
        <f t="array" ref="F971" xml:space="preserve"> ( mc(100, 3, 4, -1, 1, "EXP(x * sin(y))") ) - 7.39981</f>
        <v>-0.59921154791397679</v>
      </c>
      <c r="G971" cm="1">
        <f t="array" ref="G971" xml:space="preserve"> ( mc(500, 3, 4, -1, 1, "EXP(x * sin(y))") ) - 7.39981</f>
        <v>-8.0395537244245752E-2</v>
      </c>
      <c r="H971" cm="1">
        <f t="array" ref="H971" xml:space="preserve"> ( mc(1000, 3, 4, -1, 1, "EXP(x * sin(y))") ) - 7.39981</f>
        <v>-2.6398031586517767E-2</v>
      </c>
      <c r="J971" cm="1">
        <f t="array" ref="J971" xml:space="preserve"> mc(100, -PI()/2,0,-1, 1, "ln(EXP(x * y))")</f>
        <v>0.12871737551033008</v>
      </c>
      <c r="K971" cm="1">
        <f t="array" ref="K971" xml:space="preserve"> mc(500, -PI()/2,0,-1, 1, "ln(EXP(x * y))")</f>
        <v>-6.4455840144977378E-2</v>
      </c>
      <c r="L971" cm="1">
        <f t="array" ref="L971" xml:space="preserve"> mc(1000, -PI()/2,0,-1, 1, "ln(EXP(x * y))")</f>
        <v>-4.1027212142132887E-3</v>
      </c>
      <c r="N971" cm="1">
        <f t="array" ref="N971" xml:space="preserve"> mc(100, -PI()/2,PI()/2, 0, 1, "sin(cos(x + y))")-1.48235</f>
        <v>-0.18776130931234802</v>
      </c>
      <c r="O971" cm="1">
        <f t="array" ref="O971" xml:space="preserve"> mc(500, -PI()/2,PI()/2, 0, 1, "sin(cos(x + y))")-1.48235</f>
        <v>-9.0761820685325567E-3</v>
      </c>
      <c r="P971" cm="1">
        <f t="array" ref="P971" xml:space="preserve"> mc(1000, -PI()/2,PI()/2, 0, 1, "sin(cos(x + y))")-1.48235</f>
        <v>3.344941240931254E-2</v>
      </c>
    </row>
    <row r="972" spans="1:16" x14ac:dyDescent="0.3">
      <c r="A972">
        <v>942</v>
      </c>
      <c r="B972" cm="1">
        <f t="array" ref="B972" xml:space="preserve"> mc(100, 0, 4, 1, 2, "x^2+y^2")-92/3</f>
        <v>-3.304214959650043</v>
      </c>
      <c r="C972" cm="1">
        <f t="array" ref="C972" xml:space="preserve"> mc(500, 0, 4, 1, 2, "x^2+y^2")-92/3</f>
        <v>-2.8170350091585306E-2</v>
      </c>
      <c r="D972" cm="1">
        <f t="array" ref="D972" xml:space="preserve"> mc(1000, 0, 4, 1, 2, "x^2+y^2")-92/3</f>
        <v>0.37881416821269909</v>
      </c>
      <c r="F972" cm="1">
        <f t="array" ref="F972" xml:space="preserve"> ( mc(100, 3, 4, -1, 1, "EXP(x * sin(y))") ) - 7.39981</f>
        <v>0.32369149625131133</v>
      </c>
      <c r="G972" cm="1">
        <f t="array" ref="G972" xml:space="preserve"> ( mc(500, 3, 4, -1, 1, "EXP(x * sin(y))") ) - 7.39981</f>
        <v>-2.7617165737340521E-2</v>
      </c>
      <c r="H972" cm="1">
        <f t="array" ref="H972" xml:space="preserve"> ( mc(1000, 3, 4, -1, 1, "EXP(x * sin(y))") ) - 7.39981</f>
        <v>0.31731927508202684</v>
      </c>
      <c r="J972" cm="1">
        <f t="array" ref="J972" xml:space="preserve"> mc(100, -PI()/2,0,-1, 1, "ln(EXP(x * y))")</f>
        <v>-0.20797368290359952</v>
      </c>
      <c r="K972" cm="1">
        <f t="array" ref="K972" xml:space="preserve"> mc(500, -PI()/2,0,-1, 1, "ln(EXP(x * y))")</f>
        <v>-0.1009976158013683</v>
      </c>
      <c r="L972" cm="1">
        <f t="array" ref="L972" xml:space="preserve"> mc(1000, -PI()/2,0,-1, 1, "ln(EXP(x * y))")</f>
        <v>-3.5365836184476779E-2</v>
      </c>
      <c r="N972" cm="1">
        <f t="array" ref="N972" xml:space="preserve"> mc(100, -PI()/2,PI()/2, 0, 1, "sin(cos(x + y))")-1.48235</f>
        <v>2.5024427738805866E-2</v>
      </c>
      <c r="O972" cm="1">
        <f t="array" ref="O972" xml:space="preserve"> mc(500, -PI()/2,PI()/2, 0, 1, "sin(cos(x + y))")-1.48235</f>
        <v>1.0840583702881101E-2</v>
      </c>
      <c r="P972" cm="1">
        <f t="array" ref="P972" xml:space="preserve"> mc(1000, -PI()/2,PI()/2, 0, 1, "sin(cos(x + y))")-1.48235</f>
        <v>6.8308567922801267E-3</v>
      </c>
    </row>
    <row r="973" spans="1:16" x14ac:dyDescent="0.3">
      <c r="A973">
        <v>943</v>
      </c>
      <c r="B973" cm="1">
        <f t="array" ref="B973" xml:space="preserve"> mc(100, 0, 4, 1, 2, "x^2+y^2")-92/3</f>
        <v>-2.3527235734600467</v>
      </c>
      <c r="C973" cm="1">
        <f t="array" ref="C973" xml:space="preserve"> mc(500, 0, 4, 1, 2, "x^2+y^2")-92/3</f>
        <v>-1.8048510394312167</v>
      </c>
      <c r="D973" cm="1">
        <f t="array" ref="D973" xml:space="preserve"> mc(1000, 0, 4, 1, 2, "x^2+y^2")-92/3</f>
        <v>1.1633404409389385</v>
      </c>
      <c r="F973" cm="1">
        <f t="array" ref="F973" xml:space="preserve"> ( mc(100, 3, 4, -1, 1, "EXP(x * sin(y))") ) - 7.39981</f>
        <v>1.00031793647595</v>
      </c>
      <c r="G973" cm="1">
        <f t="array" ref="G973" xml:space="preserve"> ( mc(500, 3, 4, -1, 1, "EXP(x * sin(y))") ) - 7.39981</f>
        <v>0.54079533966215276</v>
      </c>
      <c r="H973" cm="1">
        <f t="array" ref="H973" xml:space="preserve"> ( mc(1000, 3, 4, -1, 1, "EXP(x * sin(y))") ) - 7.39981</f>
        <v>0.55582253203037624</v>
      </c>
      <c r="J973" cm="1">
        <f t="array" ref="J973" xml:space="preserve"> mc(100, -PI()/2,0,-1, 1, "ln(EXP(x * y))")</f>
        <v>-0.17907738088154765</v>
      </c>
      <c r="K973" cm="1">
        <f t="array" ref="K973" xml:space="preserve"> mc(500, -PI()/2,0,-1, 1, "ln(EXP(x * y))")</f>
        <v>-2.3456233732490131E-3</v>
      </c>
      <c r="L973" cm="1">
        <f t="array" ref="L973" xml:space="preserve"> mc(1000, -PI()/2,0,-1, 1, "ln(EXP(x * y))")</f>
        <v>-3.4305649206720829E-2</v>
      </c>
      <c r="N973" cm="1">
        <f t="array" ref="N973" xml:space="preserve"> mc(100, -PI()/2,PI()/2, 0, 1, "sin(cos(x + y))")-1.48235</f>
        <v>5.1734092459032155E-2</v>
      </c>
      <c r="O973" cm="1">
        <f t="array" ref="O973" xml:space="preserve"> mc(500, -PI()/2,PI()/2, 0, 1, "sin(cos(x + y))")-1.48235</f>
        <v>3.6113215233876783E-2</v>
      </c>
      <c r="P973" cm="1">
        <f t="array" ref="P973" xml:space="preserve"> mc(1000, -PI()/2,PI()/2, 0, 1, "sin(cos(x + y))")-1.48235</f>
        <v>-4.8428672347496038E-2</v>
      </c>
    </row>
    <row r="974" spans="1:16" x14ac:dyDescent="0.3">
      <c r="A974">
        <v>944</v>
      </c>
      <c r="B974" cm="1">
        <f t="array" ref="B974" xml:space="preserve"> mc(100, 0, 4, 1, 2, "x^2+y^2")-92/3</f>
        <v>-3.0464946038491618</v>
      </c>
      <c r="C974" cm="1">
        <f t="array" ref="C974" xml:space="preserve"> mc(500, 0, 4, 1, 2, "x^2+y^2")-92/3</f>
        <v>6.252388212047677E-2</v>
      </c>
      <c r="D974" cm="1">
        <f t="array" ref="D974" xml:space="preserve"> mc(1000, 0, 4, 1, 2, "x^2+y^2")-92/3</f>
        <v>0.14119512488500163</v>
      </c>
      <c r="F974" cm="1">
        <f t="array" ref="F974" xml:space="preserve"> ( mc(100, 3, 4, -1, 1, "EXP(x * sin(y))") ) - 7.39981</f>
        <v>0.61540334962469956</v>
      </c>
      <c r="G974" cm="1">
        <f t="array" ref="G974" xml:space="preserve"> ( mc(500, 3, 4, -1, 1, "EXP(x * sin(y))") ) - 7.39981</f>
        <v>0.75742238259751993</v>
      </c>
      <c r="H974" cm="1">
        <f t="array" ref="H974" xml:space="preserve"> ( mc(1000, 3, 4, -1, 1, "EXP(x * sin(y))") ) - 7.39981</f>
        <v>0.51153021356025441</v>
      </c>
      <c r="J974" cm="1">
        <f t="array" ref="J974" xml:space="preserve"> mc(100, -PI()/2,0,-1, 1, "ln(EXP(x * y))")</f>
        <v>0.10063299003315267</v>
      </c>
      <c r="K974" cm="1">
        <f t="array" ref="K974" xml:space="preserve"> mc(500, -PI()/2,0,-1, 1, "ln(EXP(x * y))")</f>
        <v>-1.9294413392781009E-2</v>
      </c>
      <c r="L974" cm="1">
        <f t="array" ref="L974" xml:space="preserve"> mc(1000, -PI()/2,0,-1, 1, "ln(EXP(x * y))")</f>
        <v>-8.7413144731880082E-2</v>
      </c>
      <c r="N974" cm="1">
        <f t="array" ref="N974" xml:space="preserve"> mc(100, -PI()/2,PI()/2, 0, 1, "sin(cos(x + y))")-1.48235</f>
        <v>0.13581747617795847</v>
      </c>
      <c r="O974" cm="1">
        <f t="array" ref="O974" xml:space="preserve"> mc(500, -PI()/2,PI()/2, 0, 1, "sin(cos(x + y))")-1.48235</f>
        <v>-2.8522047756217361E-2</v>
      </c>
      <c r="P974" cm="1">
        <f t="array" ref="P974" xml:space="preserve"> mc(1000, -PI()/2,PI()/2, 0, 1, "sin(cos(x + y))")-1.48235</f>
        <v>-8.1463264091058418E-2</v>
      </c>
    </row>
    <row r="975" spans="1:16" x14ac:dyDescent="0.3">
      <c r="A975">
        <v>945</v>
      </c>
      <c r="B975" cm="1">
        <f t="array" ref="B975" xml:space="preserve"> mc(100, 0, 4, 1, 2, "x^2+y^2")-92/3</f>
        <v>-0.34879046872708486</v>
      </c>
      <c r="C975" cm="1">
        <f t="array" ref="C975" xml:space="preserve"> mc(500, 0, 4, 1, 2, "x^2+y^2")-92/3</f>
        <v>-0.79071831094093525</v>
      </c>
      <c r="D975" cm="1">
        <f t="array" ref="D975" xml:space="preserve"> mc(1000, 0, 4, 1, 2, "x^2+y^2")-92/3</f>
        <v>-0.15706570019786881</v>
      </c>
      <c r="F975" cm="1">
        <f t="array" ref="F975" xml:space="preserve"> ( mc(100, 3, 4, -1, 1, "EXP(x * sin(y))") ) - 7.39981</f>
        <v>1.4538551993880571</v>
      </c>
      <c r="G975" cm="1">
        <f t="array" ref="G975" xml:space="preserve"> ( mc(500, 3, 4, -1, 1, "EXP(x * sin(y))") ) - 7.39981</f>
        <v>-0.77380347217506262</v>
      </c>
      <c r="H975" cm="1">
        <f t="array" ref="H975" xml:space="preserve"> ( mc(1000, 3, 4, -1, 1, "EXP(x * sin(y))") ) - 7.39981</f>
        <v>-0.1228216125312942</v>
      </c>
      <c r="J975" cm="1">
        <f t="array" ref="J975" xml:space="preserve"> mc(100, -PI()/2,0,-1, 1, "ln(EXP(x * y))")</f>
        <v>0.17655876387469449</v>
      </c>
      <c r="K975" cm="1">
        <f t="array" ref="K975" xml:space="preserve"> mc(500, -PI()/2,0,-1, 1, "ln(EXP(x * y))")</f>
        <v>3.4104835250198225E-3</v>
      </c>
      <c r="L975" cm="1">
        <f t="array" ref="L975" xml:space="preserve"> mc(1000, -PI()/2,0,-1, 1, "ln(EXP(x * y))")</f>
        <v>1.9691066877867109E-2</v>
      </c>
      <c r="N975" cm="1">
        <f t="array" ref="N975" xml:space="preserve"> mc(100, -PI()/2,PI()/2, 0, 1, "sin(cos(x + y))")-1.48235</f>
        <v>1.3212014128313854E-2</v>
      </c>
      <c r="O975" cm="1">
        <f t="array" ref="O975" xml:space="preserve"> mc(500, -PI()/2,PI()/2, 0, 1, "sin(cos(x + y))")-1.48235</f>
        <v>-5.5592556818386374E-2</v>
      </c>
      <c r="P975" cm="1">
        <f t="array" ref="P975" xml:space="preserve"> mc(1000, -PI()/2,PI()/2, 0, 1, "sin(cos(x + y))")-1.48235</f>
        <v>3.2692364450278344E-2</v>
      </c>
    </row>
    <row r="976" spans="1:16" x14ac:dyDescent="0.3">
      <c r="A976">
        <v>946</v>
      </c>
      <c r="B976" cm="1">
        <f t="array" ref="B976" xml:space="preserve"> mc(100, 0, 4, 1, 2, "x^2+y^2")-92/3</f>
        <v>-1.0439141268003773</v>
      </c>
      <c r="C976" cm="1">
        <f t="array" ref="C976" xml:space="preserve"> mc(500, 0, 4, 1, 2, "x^2+y^2")-92/3</f>
        <v>0.76649279775313062</v>
      </c>
      <c r="D976" cm="1">
        <f t="array" ref="D976" xml:space="preserve"> mc(1000, 0, 4, 1, 2, "x^2+y^2")-92/3</f>
        <v>0.62370295418828192</v>
      </c>
      <c r="F976" cm="1">
        <f t="array" ref="F976" xml:space="preserve"> ( mc(100, 3, 4, -1, 1, "EXP(x * sin(y))") ) - 7.39981</f>
        <v>0.40558441732402528</v>
      </c>
      <c r="G976" cm="1">
        <f t="array" ref="G976" xml:space="preserve"> ( mc(500, 3, 4, -1, 1, "EXP(x * sin(y))") ) - 7.39981</f>
        <v>0.20668752544523983</v>
      </c>
      <c r="H976" cm="1">
        <f t="array" ref="H976" xml:space="preserve"> ( mc(1000, 3, 4, -1, 1, "EXP(x * sin(y))") ) - 7.39981</f>
        <v>-0.35170803369610493</v>
      </c>
      <c r="J976" cm="1">
        <f t="array" ref="J976" xml:space="preserve"> mc(100, -PI()/2,0,-1, 1, "ln(EXP(x * y))")</f>
        <v>9.7119236498270228E-2</v>
      </c>
      <c r="K976" cm="1">
        <f t="array" ref="K976" xml:space="preserve"> mc(500, -PI()/2,0,-1, 1, "ln(EXP(x * y))")</f>
        <v>0.10510656295747635</v>
      </c>
      <c r="L976" cm="1">
        <f t="array" ref="L976" xml:space="preserve"> mc(1000, -PI()/2,0,-1, 1, "ln(EXP(x * y))")</f>
        <v>2.2456038757635442E-2</v>
      </c>
      <c r="N976" cm="1">
        <f t="array" ref="N976" xml:space="preserve"> mc(100, -PI()/2,PI()/2, 0, 1, "sin(cos(x + y))")-1.48235</f>
        <v>0.11252607049654939</v>
      </c>
      <c r="O976" cm="1">
        <f t="array" ref="O976" xml:space="preserve"> mc(500, -PI()/2,PI()/2, 0, 1, "sin(cos(x + y))")-1.48235</f>
        <v>-6.8139513487484704E-2</v>
      </c>
      <c r="P976" cm="1">
        <f t="array" ref="P976" xml:space="preserve"> mc(1000, -PI()/2,PI()/2, 0, 1, "sin(cos(x + y))")-1.48235</f>
        <v>2.3128604873577485E-2</v>
      </c>
    </row>
    <row r="977" spans="1:16" x14ac:dyDescent="0.3">
      <c r="A977">
        <v>947</v>
      </c>
      <c r="B977" cm="1">
        <f t="array" ref="B977" xml:space="preserve"> mc(100, 0, 4, 1, 2, "x^2+y^2")-92/3</f>
        <v>-1.0919455265993037</v>
      </c>
      <c r="C977" cm="1">
        <f t="array" ref="C977" xml:space="preserve"> mc(500, 0, 4, 1, 2, "x^2+y^2")-92/3</f>
        <v>-0.7003889817061193</v>
      </c>
      <c r="D977" cm="1">
        <f t="array" ref="D977" xml:space="preserve"> mc(1000, 0, 4, 1, 2, "x^2+y^2")-92/3</f>
        <v>-0.89654880337958787</v>
      </c>
      <c r="F977" cm="1">
        <f t="array" ref="F977" xml:space="preserve"> ( mc(100, 3, 4, -1, 1, "EXP(x * sin(y))") ) - 7.39981</f>
        <v>-0.8780727139821245</v>
      </c>
      <c r="G977" cm="1">
        <f t="array" ref="G977" xml:space="preserve"> ( mc(500, 3, 4, -1, 1, "EXP(x * sin(y))") ) - 7.39981</f>
        <v>0.47802935785631906</v>
      </c>
      <c r="H977" cm="1">
        <f t="array" ref="H977" xml:space="preserve"> ( mc(1000, 3, 4, -1, 1, "EXP(x * sin(y))") ) - 7.39981</f>
        <v>0.17319638520602876</v>
      </c>
      <c r="J977" cm="1">
        <f t="array" ref="J977" xml:space="preserve"> mc(100, -PI()/2,0,-1, 1, "ln(EXP(x * y))")</f>
        <v>-7.8191981392148016E-2</v>
      </c>
      <c r="K977" cm="1">
        <f t="array" ref="K977" xml:space="preserve"> mc(500, -PI()/2,0,-1, 1, "ln(EXP(x * y))")</f>
        <v>-0.10492826032965048</v>
      </c>
      <c r="L977" cm="1">
        <f t="array" ref="L977" xml:space="preserve"> mc(1000, -PI()/2,0,-1, 1, "ln(EXP(x * y))")</f>
        <v>-1.0055589667431947E-4</v>
      </c>
      <c r="N977" cm="1">
        <f t="array" ref="N977" xml:space="preserve"> mc(100, -PI()/2,PI()/2, 0, 1, "sin(cos(x + y))")-1.48235</f>
        <v>5.5059058532314076E-2</v>
      </c>
      <c r="O977" cm="1">
        <f t="array" ref="O977" xml:space="preserve"> mc(500, -PI()/2,PI()/2, 0, 1, "sin(cos(x + y))")-1.48235</f>
        <v>7.9435617746518083E-2</v>
      </c>
      <c r="P977" cm="1">
        <f t="array" ref="P977" xml:space="preserve"> mc(1000, -PI()/2,PI()/2, 0, 1, "sin(cos(x + y))")-1.48235</f>
        <v>7.711155889036192E-2</v>
      </c>
    </row>
    <row r="978" spans="1:16" x14ac:dyDescent="0.3">
      <c r="A978">
        <v>948</v>
      </c>
      <c r="B978" cm="1">
        <f t="array" ref="B978" xml:space="preserve"> mc(100, 0, 4, 1, 2, "x^2+y^2")-92/3</f>
        <v>0.20251101872365851</v>
      </c>
      <c r="C978" cm="1">
        <f t="array" ref="C978" xml:space="preserve"> mc(500, 0, 4, 1, 2, "x^2+y^2")-92/3</f>
        <v>-8.4501514005843603E-3</v>
      </c>
      <c r="D978" cm="1">
        <f t="array" ref="D978" xml:space="preserve"> mc(1000, 0, 4, 1, 2, "x^2+y^2")-92/3</f>
        <v>0.30731543936886041</v>
      </c>
      <c r="F978" cm="1">
        <f t="array" ref="F978" xml:space="preserve"> ( mc(100, 3, 4, -1, 1, "EXP(x * sin(y))") ) - 7.39981</f>
        <v>-0.23371392228230814</v>
      </c>
      <c r="G978" cm="1">
        <f t="array" ref="G978" xml:space="preserve"> ( mc(500, 3, 4, -1, 1, "EXP(x * sin(y))") ) - 7.39981</f>
        <v>0.37701465931404154</v>
      </c>
      <c r="H978" cm="1">
        <f t="array" ref="H978" xml:space="preserve"> ( mc(1000, 3, 4, -1, 1, "EXP(x * sin(y))") ) - 7.39981</f>
        <v>0.34550326223935635</v>
      </c>
      <c r="J978" cm="1">
        <f t="array" ref="J978" xml:space="preserve"> mc(100, -PI()/2,0,-1, 1, "ln(EXP(x * y))")</f>
        <v>4.9921121613060795E-2</v>
      </c>
      <c r="K978" cm="1">
        <f t="array" ref="K978" xml:space="preserve"> mc(500, -PI()/2,0,-1, 1, "ln(EXP(x * y))")</f>
        <v>-5.8631983582967742E-2</v>
      </c>
      <c r="L978" cm="1">
        <f t="array" ref="L978" xml:space="preserve"> mc(1000, -PI()/2,0,-1, 1, "ln(EXP(x * y))")</f>
        <v>-4.0183219544628127E-2</v>
      </c>
      <c r="N978" cm="1">
        <f t="array" ref="N978" xml:space="preserve"> mc(100, -PI()/2,PI()/2, 0, 1, "sin(cos(x + y))")-1.48235</f>
        <v>-9.8735732073257809E-2</v>
      </c>
      <c r="O978" cm="1">
        <f t="array" ref="O978" xml:space="preserve"> mc(500, -PI()/2,PI()/2, 0, 1, "sin(cos(x + y))")-1.48235</f>
        <v>0.10927711839717436</v>
      </c>
      <c r="P978" cm="1">
        <f t="array" ref="P978" xml:space="preserve"> mc(1000, -PI()/2,PI()/2, 0, 1, "sin(cos(x + y))")-1.48235</f>
        <v>-7.1596181776409695E-2</v>
      </c>
    </row>
    <row r="979" spans="1:16" x14ac:dyDescent="0.3">
      <c r="A979">
        <v>949</v>
      </c>
      <c r="B979" cm="1">
        <f t="array" ref="B979" xml:space="preserve"> mc(100, 0, 4, 1, 2, "x^2+y^2")-92/3</f>
        <v>-0.77379247976567456</v>
      </c>
      <c r="C979" cm="1">
        <f t="array" ref="C979" xml:space="preserve"> mc(500, 0, 4, 1, 2, "x^2+y^2")-92/3</f>
        <v>9.7632436404897049E-2</v>
      </c>
      <c r="D979" cm="1">
        <f t="array" ref="D979" xml:space="preserve"> mc(1000, 0, 4, 1, 2, "x^2+y^2")-92/3</f>
        <v>0.3950188499537397</v>
      </c>
      <c r="F979" cm="1">
        <f t="array" ref="F979" xml:space="preserve"> ( mc(100, 3, 4, -1, 1, "EXP(x * sin(y))") ) - 7.39981</f>
        <v>0.34771062674485531</v>
      </c>
      <c r="G979" cm="1">
        <f t="array" ref="G979" xml:space="preserve"> ( mc(500, 3, 4, -1, 1, "EXP(x * sin(y))") ) - 7.39981</f>
        <v>-9.8904232034346506E-2</v>
      </c>
      <c r="H979" cm="1">
        <f t="array" ref="H979" xml:space="preserve"> ( mc(1000, 3, 4, -1, 1, "EXP(x * sin(y))") ) - 7.39981</f>
        <v>0.35456597689560354</v>
      </c>
      <c r="J979" cm="1">
        <f t="array" ref="J979" xml:space="preserve"> mc(100, -PI()/2,0,-1, 1, "ln(EXP(x * y))")</f>
        <v>3.9875267367735015E-2</v>
      </c>
      <c r="K979" cm="1">
        <f t="array" ref="K979" xml:space="preserve"> mc(500, -PI()/2,0,-1, 1, "ln(EXP(x * y))")</f>
        <v>4.5216924747795186E-2</v>
      </c>
      <c r="L979" cm="1">
        <f t="array" ref="L979" xml:space="preserve"> mc(1000, -PI()/2,0,-1, 1, "ln(EXP(x * y))")</f>
        <v>-1.1967195833792719E-2</v>
      </c>
      <c r="N979" cm="1">
        <f t="array" ref="N979" xml:space="preserve"> mc(100, -PI()/2,PI()/2, 0, 1, "sin(cos(x + y))")-1.48235</f>
        <v>1.0477708331829483E-2</v>
      </c>
      <c r="O979" cm="1">
        <f t="array" ref="O979" xml:space="preserve"> mc(500, -PI()/2,PI()/2, 0, 1, "sin(cos(x + y))")-1.48235</f>
        <v>3.6078221490383422E-2</v>
      </c>
      <c r="P979" cm="1">
        <f t="array" ref="P979" xml:space="preserve"> mc(1000, -PI()/2,PI()/2, 0, 1, "sin(cos(x + y))")-1.48235</f>
        <v>6.5886512762962202E-2</v>
      </c>
    </row>
    <row r="980" spans="1:16" x14ac:dyDescent="0.3">
      <c r="A980">
        <v>950</v>
      </c>
      <c r="B980" cm="1">
        <f t="array" ref="B980" xml:space="preserve"> mc(100, 0, 4, 1, 2, "x^2+y^2")-92/3</f>
        <v>-0.30403647547771584</v>
      </c>
      <c r="C980" cm="1">
        <f t="array" ref="C980" xml:space="preserve"> mc(500, 0, 4, 1, 2, "x^2+y^2")-92/3</f>
        <v>1.5271406043902296</v>
      </c>
      <c r="D980" cm="1">
        <f t="array" ref="D980" xml:space="preserve"> mc(1000, 0, 4, 1, 2, "x^2+y^2")-92/3</f>
        <v>7.5309239698402308E-2</v>
      </c>
      <c r="F980" cm="1">
        <f t="array" ref="F980" xml:space="preserve"> ( mc(100, 3, 4, -1, 1, "EXP(x * sin(y))") ) - 7.39981</f>
        <v>1.8410102877271743</v>
      </c>
      <c r="G980" cm="1">
        <f t="array" ref="G980" xml:space="preserve"> ( mc(500, 3, 4, -1, 1, "EXP(x * sin(y))") ) - 7.39981</f>
        <v>1.0415417337023776</v>
      </c>
      <c r="H980" cm="1">
        <f t="array" ref="H980" xml:space="preserve"> ( mc(1000, 3, 4, -1, 1, "EXP(x * sin(y))") ) - 7.39981</f>
        <v>-0.15864978678700137</v>
      </c>
      <c r="J980" cm="1">
        <f t="array" ref="J980" xml:space="preserve"> mc(100, -PI()/2,0,-1, 1, "ln(EXP(x * y))")</f>
        <v>-0.13051322513201341</v>
      </c>
      <c r="K980" cm="1">
        <f t="array" ref="K980" xml:space="preserve"> mc(500, -PI()/2,0,-1, 1, "ln(EXP(x * y))")</f>
        <v>8.3612248709895157E-2</v>
      </c>
      <c r="L980" cm="1">
        <f t="array" ref="L980" xml:space="preserve"> mc(1000, -PI()/2,0,-1, 1, "ln(EXP(x * y))")</f>
        <v>-6.1775343980588577E-3</v>
      </c>
      <c r="N980" cm="1">
        <f t="array" ref="N980" xml:space="preserve"> mc(100, -PI()/2,PI()/2, 0, 1, "sin(cos(x + y))")-1.48235</f>
        <v>-0.13229161311725757</v>
      </c>
      <c r="O980" cm="1">
        <f t="array" ref="O980" xml:space="preserve"> mc(500, -PI()/2,PI()/2, 0, 1, "sin(cos(x + y))")-1.48235</f>
        <v>-0.10942933233111285</v>
      </c>
      <c r="P980" cm="1">
        <f t="array" ref="P980" xml:space="preserve"> mc(1000, -PI()/2,PI()/2, 0, 1, "sin(cos(x + y))")-1.48235</f>
        <v>-3.5232064320416923E-2</v>
      </c>
    </row>
    <row r="981" spans="1:16" x14ac:dyDescent="0.3">
      <c r="A981">
        <v>951</v>
      </c>
      <c r="B981" cm="1">
        <f t="array" ref="B981" xml:space="preserve"> mc(100, 0, 4, 1, 2, "x^2+y^2")-92/3</f>
        <v>1.3727842185387367</v>
      </c>
      <c r="C981" cm="1">
        <f t="array" ref="C981" xml:space="preserve"> mc(500, 0, 4, 1, 2, "x^2+y^2")-92/3</f>
        <v>0.39237247123473651</v>
      </c>
      <c r="D981" cm="1">
        <f t="array" ref="D981" xml:space="preserve"> mc(1000, 0, 4, 1, 2, "x^2+y^2")-92/3</f>
        <v>0.28475580016975854</v>
      </c>
      <c r="F981" cm="1">
        <f t="array" ref="F981" xml:space="preserve"> ( mc(100, 3, 4, -1, 1, "EXP(x * sin(y))") ) - 7.39981</f>
        <v>-0.58365955281312409</v>
      </c>
      <c r="G981" cm="1">
        <f t="array" ref="G981" xml:space="preserve"> ( mc(500, 3, 4, -1, 1, "EXP(x * sin(y))") ) - 7.39981</f>
        <v>0.94382835167007961</v>
      </c>
      <c r="H981" cm="1">
        <f t="array" ref="H981" xml:space="preserve"> ( mc(1000, 3, 4, -1, 1, "EXP(x * sin(y))") ) - 7.39981</f>
        <v>0.29853396496062867</v>
      </c>
      <c r="J981" cm="1">
        <f t="array" ref="J981" xml:space="preserve"> mc(100, -PI()/2,0,-1, 1, "ln(EXP(x * y))")</f>
        <v>-0.21792971090068819</v>
      </c>
      <c r="K981" cm="1">
        <f t="array" ref="K981" xml:space="preserve"> mc(500, -PI()/2,0,-1, 1, "ln(EXP(x * y))")</f>
        <v>4.1355586872214259E-2</v>
      </c>
      <c r="L981" cm="1">
        <f t="array" ref="L981" xml:space="preserve"> mc(1000, -PI()/2,0,-1, 1, "ln(EXP(x * y))")</f>
        <v>4.4767360687112345E-2</v>
      </c>
      <c r="N981" cm="1">
        <f t="array" ref="N981" xml:space="preserve"> mc(100, -PI()/2,PI()/2, 0, 1, "sin(cos(x + y))")-1.48235</f>
        <v>-6.0548780657269319E-2</v>
      </c>
      <c r="O981" cm="1">
        <f t="array" ref="O981" xml:space="preserve"> mc(500, -PI()/2,PI()/2, 0, 1, "sin(cos(x + y))")-1.48235</f>
        <v>3.5177701029346364E-2</v>
      </c>
      <c r="P981" cm="1">
        <f t="array" ref="P981" xml:space="preserve"> mc(1000, -PI()/2,PI()/2, 0, 1, "sin(cos(x + y))")-1.48235</f>
        <v>-1.1701458689767463E-2</v>
      </c>
    </row>
    <row r="982" spans="1:16" x14ac:dyDescent="0.3">
      <c r="A982">
        <v>952</v>
      </c>
      <c r="B982" cm="1">
        <f t="array" ref="B982" xml:space="preserve"> mc(100, 0, 4, 1, 2, "x^2+y^2")-92/3</f>
        <v>-0.32287542507548039</v>
      </c>
      <c r="C982" cm="1">
        <f t="array" ref="C982" xml:space="preserve"> mc(500, 0, 4, 1, 2, "x^2+y^2")-92/3</f>
        <v>0.27566939073274099</v>
      </c>
      <c r="D982" cm="1">
        <f t="array" ref="D982" xml:space="preserve"> mc(1000, 0, 4, 1, 2, "x^2+y^2")-92/3</f>
        <v>-8.7652370330989271E-2</v>
      </c>
      <c r="F982" cm="1">
        <f t="array" ref="F982" xml:space="preserve"> ( mc(100, 3, 4, -1, 1, "EXP(x * sin(y))") ) - 7.39981</f>
        <v>-1.532341005019827</v>
      </c>
      <c r="G982" cm="1">
        <f t="array" ref="G982" xml:space="preserve"> ( mc(500, 3, 4, -1, 1, "EXP(x * sin(y))") ) - 7.39981</f>
        <v>0.47576420466121938</v>
      </c>
      <c r="H982" cm="1">
        <f t="array" ref="H982" xml:space="preserve"> ( mc(1000, 3, 4, -1, 1, "EXP(x * sin(y))") ) - 7.39981</f>
        <v>0.70331306472194832</v>
      </c>
      <c r="J982" cm="1">
        <f t="array" ref="J982" xml:space="preserve"> mc(100, -PI()/2,0,-1, 1, "ln(EXP(x * y))")</f>
        <v>-0.22514165282122484</v>
      </c>
      <c r="K982" cm="1">
        <f t="array" ref="K982" xml:space="preserve"> mc(500, -PI()/2,0,-1, 1, "ln(EXP(x * y))")</f>
        <v>-3.66116113122485E-2</v>
      </c>
      <c r="L982" cm="1">
        <f t="array" ref="L982" xml:space="preserve"> mc(1000, -PI()/2,0,-1, 1, "ln(EXP(x * y))")</f>
        <v>2.8305380817389605E-2</v>
      </c>
      <c r="N982" cm="1">
        <f t="array" ref="N982" xml:space="preserve"> mc(100, -PI()/2,PI()/2, 0, 1, "sin(cos(x + y))")-1.48235</f>
        <v>-0.21677220583506807</v>
      </c>
      <c r="O982" cm="1">
        <f t="array" ref="O982" xml:space="preserve"> mc(500, -PI()/2,PI()/2, 0, 1, "sin(cos(x + y))")-1.48235</f>
        <v>-5.4733447387859124E-2</v>
      </c>
      <c r="P982" cm="1">
        <f t="array" ref="P982" xml:space="preserve"> mc(1000, -PI()/2,PI()/2, 0, 1, "sin(cos(x + y))")-1.48235</f>
        <v>8.9681939377712627E-3</v>
      </c>
    </row>
    <row r="983" spans="1:16" x14ac:dyDescent="0.3">
      <c r="A983">
        <v>953</v>
      </c>
      <c r="B983" cm="1">
        <f t="array" ref="B983" xml:space="preserve"> mc(100, 0, 4, 1, 2, "x^2+y^2")-92/3</f>
        <v>1.6294977362171714</v>
      </c>
      <c r="C983" cm="1">
        <f t="array" ref="C983" xml:space="preserve"> mc(500, 0, 4, 1, 2, "x^2+y^2")-92/3</f>
        <v>-0.58176301986879508</v>
      </c>
      <c r="D983" cm="1">
        <f t="array" ref="D983" xml:space="preserve"> mc(1000, 0, 4, 1, 2, "x^2+y^2")-92/3</f>
        <v>-0.20911814899762504</v>
      </c>
      <c r="F983" cm="1">
        <f t="array" ref="F983" xml:space="preserve"> ( mc(100, 3, 4, -1, 1, "EXP(x * sin(y))") ) - 7.39981</f>
        <v>-0.52149541592372461</v>
      </c>
      <c r="G983" cm="1">
        <f t="array" ref="G983" xml:space="preserve"> ( mc(500, 3, 4, -1, 1, "EXP(x * sin(y))") ) - 7.39981</f>
        <v>-8.9747131075779585E-2</v>
      </c>
      <c r="H983" cm="1">
        <f t="array" ref="H983" xml:space="preserve"> ( mc(1000, 3, 4, -1, 1, "EXP(x * sin(y))") ) - 7.39981</f>
        <v>0.13343593787770658</v>
      </c>
      <c r="J983" cm="1">
        <f t="array" ref="J983" xml:space="preserve"> mc(100, -PI()/2,0,-1, 1, "ln(EXP(x * y))")</f>
        <v>0.16775229417468032</v>
      </c>
      <c r="K983" cm="1">
        <f t="array" ref="K983" xml:space="preserve"> mc(500, -PI()/2,0,-1, 1, "ln(EXP(x * y))")</f>
        <v>4.0079835434204882E-2</v>
      </c>
      <c r="L983" cm="1">
        <f t="array" ref="L983" xml:space="preserve"> mc(1000, -PI()/2,0,-1, 1, "ln(EXP(x * y))")</f>
        <v>-4.3591600612858272E-2</v>
      </c>
      <c r="N983" cm="1">
        <f t="array" ref="N983" xml:space="preserve"> mc(100, -PI()/2,PI()/2, 0, 1, "sin(cos(x + y))")-1.48235</f>
        <v>2.690687224601529E-3</v>
      </c>
      <c r="O983" cm="1">
        <f t="array" ref="O983" xml:space="preserve"> mc(500, -PI()/2,PI()/2, 0, 1, "sin(cos(x + y))")-1.48235</f>
        <v>1.603386826454245E-2</v>
      </c>
      <c r="P983" cm="1">
        <f t="array" ref="P983" xml:space="preserve"> mc(1000, -PI()/2,PI()/2, 0, 1, "sin(cos(x + y))")-1.48235</f>
        <v>-9.1722632365852874E-2</v>
      </c>
    </row>
    <row r="984" spans="1:16" x14ac:dyDescent="0.3">
      <c r="A984">
        <v>954</v>
      </c>
      <c r="B984" cm="1">
        <f t="array" ref="B984" xml:space="preserve"> mc(100, 0, 4, 1, 2, "x^2+y^2")-92/3</f>
        <v>1.8533322802751719</v>
      </c>
      <c r="C984" cm="1">
        <f t="array" ref="C984" xml:space="preserve"> mc(500, 0, 4, 1, 2, "x^2+y^2")-92/3</f>
        <v>0.39485587407716238</v>
      </c>
      <c r="D984" cm="1">
        <f t="array" ref="D984" xml:space="preserve"> mc(1000, 0, 4, 1, 2, "x^2+y^2")-92/3</f>
        <v>-0.41213181411479383</v>
      </c>
      <c r="F984" cm="1">
        <f t="array" ref="F984" xml:space="preserve"> ( mc(100, 3, 4, -1, 1, "EXP(x * sin(y))") ) - 7.39981</f>
        <v>-1.1073997826915498</v>
      </c>
      <c r="G984" cm="1">
        <f t="array" ref="G984" xml:space="preserve"> ( mc(500, 3, 4, -1, 1, "EXP(x * sin(y))") ) - 7.39981</f>
        <v>-1.1577548400801616</v>
      </c>
      <c r="H984" cm="1">
        <f t="array" ref="H984" xml:space="preserve"> ( mc(1000, 3, 4, -1, 1, "EXP(x * sin(y))") ) - 7.39981</f>
        <v>-0.20401970502771682</v>
      </c>
      <c r="J984" cm="1">
        <f t="array" ref="J984" xml:space="preserve"> mc(100, -PI()/2,0,-1, 1, "ln(EXP(x * y))")</f>
        <v>-1.7160768322996081E-2</v>
      </c>
      <c r="K984" cm="1">
        <f t="array" ref="K984" xml:space="preserve"> mc(500, -PI()/2,0,-1, 1, "ln(EXP(x * y))")</f>
        <v>5.4797631777464897E-2</v>
      </c>
      <c r="L984" cm="1">
        <f t="array" ref="L984" xml:space="preserve"> mc(1000, -PI()/2,0,-1, 1, "ln(EXP(x * y))")</f>
        <v>1.1098584318381538E-2</v>
      </c>
      <c r="N984" cm="1">
        <f t="array" ref="N984" xml:space="preserve"> mc(100, -PI()/2,PI()/2, 0, 1, "sin(cos(x + y))")-1.48235</f>
        <v>6.2408991008019665E-2</v>
      </c>
      <c r="O984" cm="1">
        <f t="array" ref="O984" xml:space="preserve"> mc(500, -PI()/2,PI()/2, 0, 1, "sin(cos(x + y))")-1.48235</f>
        <v>-6.9866339587224546E-2</v>
      </c>
      <c r="P984" cm="1">
        <f t="array" ref="P984" xml:space="preserve"> mc(1000, -PI()/2,PI()/2, 0, 1, "sin(cos(x + y))")-1.48235</f>
        <v>-3.145203854973011E-2</v>
      </c>
    </row>
    <row r="985" spans="1:16" x14ac:dyDescent="0.3">
      <c r="A985">
        <v>955</v>
      </c>
      <c r="B985" cm="1">
        <f t="array" ref="B985" xml:space="preserve"> mc(100, 0, 4, 1, 2, "x^2+y^2")-92/3</f>
        <v>0.68119376641985241</v>
      </c>
      <c r="C985" cm="1">
        <f t="array" ref="C985" xml:space="preserve"> mc(500, 0, 4, 1, 2, "x^2+y^2")-92/3</f>
        <v>0.31436017490596413</v>
      </c>
      <c r="D985" cm="1">
        <f t="array" ref="D985" xml:space="preserve"> mc(1000, 0, 4, 1, 2, "x^2+y^2")-92/3</f>
        <v>-0.54979445467256127</v>
      </c>
      <c r="F985" cm="1">
        <f t="array" ref="F985" xml:space="preserve"> ( mc(100, 3, 4, -1, 1, "EXP(x * sin(y))") ) - 7.39981</f>
        <v>-1.868662184865757</v>
      </c>
      <c r="G985" cm="1">
        <f t="array" ref="G985" xml:space="preserve"> ( mc(500, 3, 4, -1, 1, "EXP(x * sin(y))") ) - 7.39981</f>
        <v>6.7550866528893749E-3</v>
      </c>
      <c r="H985" cm="1">
        <f t="array" ref="H985" xml:space="preserve"> ( mc(1000, 3, 4, -1, 1, "EXP(x * sin(y))") ) - 7.39981</f>
        <v>-1.2655648895000482E-2</v>
      </c>
      <c r="J985" cm="1">
        <f t="array" ref="J985" xml:space="preserve"> mc(100, -PI()/2,0,-1, 1, "ln(EXP(x * y))")</f>
        <v>8.4073307749971127E-2</v>
      </c>
      <c r="K985" cm="1">
        <f t="array" ref="K985" xml:space="preserve"> mc(500, -PI()/2,0,-1, 1, "ln(EXP(x * y))")</f>
        <v>2.1537107931784902E-2</v>
      </c>
      <c r="L985" cm="1">
        <f t="array" ref="L985" xml:space="preserve"> mc(1000, -PI()/2,0,-1, 1, "ln(EXP(x * y))")</f>
        <v>3.0838086246477033E-3</v>
      </c>
      <c r="N985" cm="1">
        <f t="array" ref="N985" xml:space="preserve"> mc(100, -PI()/2,PI()/2, 0, 1, "sin(cos(x + y))")-1.48235</f>
        <v>0.26543233175444114</v>
      </c>
      <c r="O985" cm="1">
        <f t="array" ref="O985" xml:space="preserve"> mc(500, -PI()/2,PI()/2, 0, 1, "sin(cos(x + y))")-1.48235</f>
        <v>4.2397553333482385E-2</v>
      </c>
      <c r="P985" cm="1">
        <f t="array" ref="P985" xml:space="preserve"> mc(1000, -PI()/2,PI()/2, 0, 1, "sin(cos(x + y))")-1.48235</f>
        <v>-8.8617115159488336E-3</v>
      </c>
    </row>
    <row r="986" spans="1:16" x14ac:dyDescent="0.3">
      <c r="A986">
        <v>956</v>
      </c>
      <c r="B986" cm="1">
        <f t="array" ref="B986" xml:space="preserve"> mc(100, 0, 4, 1, 2, "x^2+y^2")-92/3</f>
        <v>0.46327515417958054</v>
      </c>
      <c r="C986" cm="1">
        <f t="array" ref="C986" xml:space="preserve"> mc(500, 0, 4, 1, 2, "x^2+y^2")-92/3</f>
        <v>6.5199967567590278E-2</v>
      </c>
      <c r="D986" cm="1">
        <f t="array" ref="D986" xml:space="preserve"> mc(1000, 0, 4, 1, 2, "x^2+y^2")-92/3</f>
        <v>-3.1657890019815227E-2</v>
      </c>
      <c r="F986" cm="1">
        <f t="array" ref="F986" xml:space="preserve"> ( mc(100, 3, 4, -1, 1, "EXP(x * sin(y))") ) - 7.39981</f>
        <v>-0.37975745024795149</v>
      </c>
      <c r="G986" cm="1">
        <f t="array" ref="G986" xml:space="preserve"> ( mc(500, 3, 4, -1, 1, "EXP(x * sin(y))") ) - 7.39981</f>
        <v>-0.32546131978028381</v>
      </c>
      <c r="H986" cm="1">
        <f t="array" ref="H986" xml:space="preserve"> ( mc(1000, 3, 4, -1, 1, "EXP(x * sin(y))") ) - 7.39981</f>
        <v>3.8191465626908894E-3</v>
      </c>
      <c r="J986" cm="1">
        <f t="array" ref="J986" xml:space="preserve"> mc(100, -PI()/2,0,-1, 1, "ln(EXP(x * y))")</f>
        <v>-6.884589642330588E-2</v>
      </c>
      <c r="K986" cm="1">
        <f t="array" ref="K986" xml:space="preserve"> mc(500, -PI()/2,0,-1, 1, "ln(EXP(x * y))")</f>
        <v>-7.4180816646939096E-2</v>
      </c>
      <c r="L986" cm="1">
        <f t="array" ref="L986" xml:space="preserve"> mc(1000, -PI()/2,0,-1, 1, "ln(EXP(x * y))")</f>
        <v>7.2529113235107759E-2</v>
      </c>
      <c r="N986" cm="1">
        <f t="array" ref="N986" xml:space="preserve"> mc(100, -PI()/2,PI()/2, 0, 1, "sin(cos(x + y))")-1.48235</f>
        <v>-1.0672323922529481E-2</v>
      </c>
      <c r="O986" cm="1">
        <f t="array" ref="O986" xml:space="preserve"> mc(500, -PI()/2,PI()/2, 0, 1, "sin(cos(x + y))")-1.48235</f>
        <v>6.3119572714904315E-2</v>
      </c>
      <c r="P986" cm="1">
        <f t="array" ref="P986" xml:space="preserve"> mc(1000, -PI()/2,PI()/2, 0, 1, "sin(cos(x + y))")-1.48235</f>
        <v>2.2084918368500572E-2</v>
      </c>
    </row>
    <row r="987" spans="1:16" x14ac:dyDescent="0.3">
      <c r="A987">
        <v>957</v>
      </c>
      <c r="B987" cm="1">
        <f t="array" ref="B987" xml:space="preserve"> mc(100, 0, 4, 1, 2, "x^2+y^2")-92/3</f>
        <v>0.81308808241793784</v>
      </c>
      <c r="C987" cm="1">
        <f t="array" ref="C987" xml:space="preserve"> mc(500, 0, 4, 1, 2, "x^2+y^2")-92/3</f>
        <v>-0.20843801798047679</v>
      </c>
      <c r="D987" cm="1">
        <f t="array" ref="D987" xml:space="preserve"> mc(1000, 0, 4, 1, 2, "x^2+y^2")-92/3</f>
        <v>-0.72254788538744563</v>
      </c>
      <c r="F987" cm="1">
        <f t="array" ref="F987" xml:space="preserve"> ( mc(100, 3, 4, -1, 1, "EXP(x * sin(y))") ) - 7.39981</f>
        <v>-6.7491799967920763E-2</v>
      </c>
      <c r="G987" cm="1">
        <f t="array" ref="G987" xml:space="preserve"> ( mc(500, 3, 4, -1, 1, "EXP(x * sin(y))") ) - 7.39981</f>
        <v>-0.52003785920794954</v>
      </c>
      <c r="H987" cm="1">
        <f t="array" ref="H987" xml:space="preserve"> ( mc(1000, 3, 4, -1, 1, "EXP(x * sin(y))") ) - 7.39981</f>
        <v>7.0386673889696105E-2</v>
      </c>
      <c r="J987" cm="1">
        <f t="array" ref="J987" xml:space="preserve"> mc(100, -PI()/2,0,-1, 1, "ln(EXP(x * y))")</f>
        <v>0.25384319508028519</v>
      </c>
      <c r="K987" cm="1">
        <f t="array" ref="K987" xml:space="preserve"> mc(500, -PI()/2,0,-1, 1, "ln(EXP(x * y))")</f>
        <v>-9.4446228925374409E-2</v>
      </c>
      <c r="L987" cm="1">
        <f t="array" ref="L987" xml:space="preserve"> mc(1000, -PI()/2,0,-1, 1, "ln(EXP(x * y))")</f>
        <v>8.292474646807028E-6</v>
      </c>
      <c r="N987" cm="1">
        <f t="array" ref="N987" xml:space="preserve"> mc(100, -PI()/2,PI()/2, 0, 1, "sin(cos(x + y))")-1.48235</f>
        <v>0.16528771338514181</v>
      </c>
      <c r="O987" cm="1">
        <f t="array" ref="O987" xml:space="preserve"> mc(500, -PI()/2,PI()/2, 0, 1, "sin(cos(x + y))")-1.48235</f>
        <v>-4.0444070095476015E-2</v>
      </c>
      <c r="P987" cm="1">
        <f t="array" ref="P987" xml:space="preserve"> mc(1000, -PI()/2,PI()/2, 0, 1, "sin(cos(x + y))")-1.48235</f>
        <v>1.0888851812665967E-2</v>
      </c>
    </row>
    <row r="988" spans="1:16" x14ac:dyDescent="0.3">
      <c r="A988">
        <v>958</v>
      </c>
      <c r="B988" cm="1">
        <f t="array" ref="B988" xml:space="preserve"> mc(100, 0, 4, 1, 2, "x^2+y^2")-92/3</f>
        <v>-2.2785168462524936</v>
      </c>
      <c r="C988" cm="1">
        <f t="array" ref="C988" xml:space="preserve"> mc(500, 0, 4, 1, 2, "x^2+y^2")-92/3</f>
        <v>0.66611080722691085</v>
      </c>
      <c r="D988" cm="1">
        <f t="array" ref="D988" xml:space="preserve"> mc(1000, 0, 4, 1, 2, "x^2+y^2")-92/3</f>
        <v>-0.86205831829319379</v>
      </c>
      <c r="F988" cm="1">
        <f t="array" ref="F988" xml:space="preserve"> ( mc(100, 3, 4, -1, 1, "EXP(x * sin(y))") ) - 7.39981</f>
        <v>-2.2504198402047351</v>
      </c>
      <c r="G988" cm="1">
        <f t="array" ref="G988" xml:space="preserve"> ( mc(500, 3, 4, -1, 1, "EXP(x * sin(y))") ) - 7.39981</f>
        <v>-0.12574171852573901</v>
      </c>
      <c r="H988" cm="1">
        <f t="array" ref="H988" xml:space="preserve"> ( mc(1000, 3, 4, -1, 1, "EXP(x * sin(y))") ) - 7.39981</f>
        <v>0.17638691978513155</v>
      </c>
      <c r="J988" cm="1">
        <f t="array" ref="J988" xml:space="preserve"> mc(100, -PI()/2,0,-1, 1, "ln(EXP(x * y))")</f>
        <v>0.1854188096765321</v>
      </c>
      <c r="K988" cm="1">
        <f t="array" ref="K988" xml:space="preserve"> mc(500, -PI()/2,0,-1, 1, "ln(EXP(x * y))")</f>
        <v>-5.8628625733607616E-3</v>
      </c>
      <c r="L988" cm="1">
        <f t="array" ref="L988" xml:space="preserve"> mc(1000, -PI()/2,0,-1, 1, "ln(EXP(x * y))")</f>
        <v>-4.7940958247770775E-2</v>
      </c>
      <c r="N988" cm="1">
        <f t="array" ref="N988" xml:space="preserve"> mc(100, -PI()/2,PI()/2, 0, 1, "sin(cos(x + y))")-1.48235</f>
        <v>-0.17880133315109226</v>
      </c>
      <c r="O988" cm="1">
        <f t="array" ref="O988" xml:space="preserve"> mc(500, -PI()/2,PI()/2, 0, 1, "sin(cos(x + y))")-1.48235</f>
        <v>4.2330154821474952E-3</v>
      </c>
      <c r="P988" cm="1">
        <f t="array" ref="P988" xml:space="preserve"> mc(1000, -PI()/2,PI()/2, 0, 1, "sin(cos(x + y))")-1.48235</f>
        <v>9.1600611881399452E-3</v>
      </c>
    </row>
    <row r="989" spans="1:16" x14ac:dyDescent="0.3">
      <c r="A989">
        <v>959</v>
      </c>
      <c r="B989" cm="1">
        <f t="array" ref="B989" xml:space="preserve"> mc(100, 0, 4, 1, 2, "x^2+y^2")-92/3</f>
        <v>-1.5665098477598107</v>
      </c>
      <c r="C989" cm="1">
        <f t="array" ref="C989" xml:space="preserve"> mc(500, 0, 4, 1, 2, "x^2+y^2")-92/3</f>
        <v>-6.5729559783811453E-3</v>
      </c>
      <c r="D989" cm="1">
        <f t="array" ref="D989" xml:space="preserve"> mc(1000, 0, 4, 1, 2, "x^2+y^2")-92/3</f>
        <v>-2.0526535740494012E-2</v>
      </c>
      <c r="F989" cm="1">
        <f t="array" ref="F989" xml:space="preserve"> ( mc(100, 3, 4, -1, 1, "EXP(x * sin(y))") ) - 7.39981</f>
        <v>0.43687359117714486</v>
      </c>
      <c r="G989" cm="1">
        <f t="array" ref="G989" xml:space="preserve"> ( mc(500, 3, 4, -1, 1, "EXP(x * sin(y))") ) - 7.39981</f>
        <v>0.41648684019026838</v>
      </c>
      <c r="H989" cm="1">
        <f t="array" ref="H989" xml:space="preserve"> ( mc(1000, 3, 4, -1, 1, "EXP(x * sin(y))") ) - 7.39981</f>
        <v>1.4468370747890091E-2</v>
      </c>
      <c r="J989" cm="1">
        <f t="array" ref="J989" xml:space="preserve"> mc(100, -PI()/2,0,-1, 1, "ln(EXP(x * y))")</f>
        <v>-6.740062955512599E-2</v>
      </c>
      <c r="K989" cm="1">
        <f t="array" ref="K989" xml:space="preserve"> mc(500, -PI()/2,0,-1, 1, "ln(EXP(x * y))")</f>
        <v>2.7877724588688006E-3</v>
      </c>
      <c r="L989" cm="1">
        <f t="array" ref="L989" xml:space="preserve"> mc(1000, -PI()/2,0,-1, 1, "ln(EXP(x * y))")</f>
        <v>2.074897708088605E-2</v>
      </c>
      <c r="N989" cm="1">
        <f t="array" ref="N989" xml:space="preserve"> mc(100, -PI()/2,PI()/2, 0, 1, "sin(cos(x + y))")-1.48235</f>
        <v>0.17652543112513053</v>
      </c>
      <c r="O989" cm="1">
        <f t="array" ref="O989" xml:space="preserve"> mc(500, -PI()/2,PI()/2, 0, 1, "sin(cos(x + y))")-1.48235</f>
        <v>-0.15349530307243198</v>
      </c>
      <c r="P989" cm="1">
        <f t="array" ref="P989" xml:space="preserve"> mc(1000, -PI()/2,PI()/2, 0, 1, "sin(cos(x + y))")-1.48235</f>
        <v>-2.4929928791314948E-2</v>
      </c>
    </row>
    <row r="990" spans="1:16" x14ac:dyDescent="0.3">
      <c r="A990">
        <v>960</v>
      </c>
      <c r="B990" cm="1">
        <f t="array" ref="B990" xml:space="preserve"> mc(100, 0, 4, 1, 2, "x^2+y^2")-92/3</f>
        <v>-0.89330886570729007</v>
      </c>
      <c r="C990" cm="1">
        <f t="array" ref="C990" xml:space="preserve"> mc(500, 0, 4, 1, 2, "x^2+y^2")-92/3</f>
        <v>-0.41163778622783909</v>
      </c>
      <c r="D990" cm="1">
        <f t="array" ref="D990" xml:space="preserve"> mc(1000, 0, 4, 1, 2, "x^2+y^2")-92/3</f>
        <v>-4.2957676755271734E-2</v>
      </c>
      <c r="F990" cm="1">
        <f t="array" ref="F990" xml:space="preserve"> ( mc(100, 3, 4, -1, 1, "EXP(x * sin(y))") ) - 7.39981</f>
        <v>0.29977620041988562</v>
      </c>
      <c r="G990" cm="1">
        <f t="array" ref="G990" xml:space="preserve"> ( mc(500, 3, 4, -1, 1, "EXP(x * sin(y))") ) - 7.39981</f>
        <v>-0.17531337146073067</v>
      </c>
      <c r="H990" cm="1">
        <f t="array" ref="H990" xml:space="preserve"> ( mc(1000, 3, 4, -1, 1, "EXP(x * sin(y))") ) - 7.39981</f>
        <v>0.13297890282025904</v>
      </c>
      <c r="J990" cm="1">
        <f t="array" ref="J990" xml:space="preserve"> mc(100, -PI()/2,0,-1, 1, "ln(EXP(x * y))")</f>
        <v>-2.1613222259112084E-2</v>
      </c>
      <c r="K990" cm="1">
        <f t="array" ref="K990" xml:space="preserve"> mc(500, -PI()/2,0,-1, 1, "ln(EXP(x * y))")</f>
        <v>-6.729106617308904E-2</v>
      </c>
      <c r="L990" cm="1">
        <f t="array" ref="L990" xml:space="preserve"> mc(1000, -PI()/2,0,-1, 1, "ln(EXP(x * y))")</f>
        <v>-7.1771980420669207E-2</v>
      </c>
      <c r="N990" cm="1">
        <f t="array" ref="N990" xml:space="preserve"> mc(100, -PI()/2,PI()/2, 0, 1, "sin(cos(x + y))")-1.48235</f>
        <v>-0.24687270451799903</v>
      </c>
      <c r="O990" cm="1">
        <f t="array" ref="O990" xml:space="preserve"> mc(500, -PI()/2,PI()/2, 0, 1, "sin(cos(x + y))")-1.48235</f>
        <v>9.5619925785001225E-2</v>
      </c>
      <c r="P990" cm="1">
        <f t="array" ref="P990" xml:space="preserve"> mc(1000, -PI()/2,PI()/2, 0, 1, "sin(cos(x + y))")-1.48235</f>
        <v>-2.5240402167916676E-2</v>
      </c>
    </row>
    <row r="991" spans="1:16" x14ac:dyDescent="0.3">
      <c r="A991">
        <v>961</v>
      </c>
      <c r="B991" cm="1">
        <f t="array" ref="B991" xml:space="preserve"> mc(100, 0, 4, 1, 2, "x^2+y^2")-92/3</f>
        <v>0.77910526059381269</v>
      </c>
      <c r="C991" cm="1">
        <f t="array" ref="C991" xml:space="preserve"> mc(500, 0, 4, 1, 2, "x^2+y^2")-92/3</f>
        <v>-0.10214539739757811</v>
      </c>
      <c r="D991" cm="1">
        <f t="array" ref="D991" xml:space="preserve"> mc(1000, 0, 4, 1, 2, "x^2+y^2")-92/3</f>
        <v>-0.3365703273960321</v>
      </c>
      <c r="F991" cm="1">
        <f t="array" ref="F991" xml:space="preserve"> ( mc(100, 3, 4, -1, 1, "EXP(x * sin(y))") ) - 7.39981</f>
        <v>2.6776214917609131</v>
      </c>
      <c r="G991" cm="1">
        <f t="array" ref="G991" xml:space="preserve"> ( mc(500, 3, 4, -1, 1, "EXP(x * sin(y))") ) - 7.39981</f>
        <v>0.93681333939604805</v>
      </c>
      <c r="H991" cm="1">
        <f t="array" ref="H991" xml:space="preserve"> ( mc(1000, 3, 4, -1, 1, "EXP(x * sin(y))") ) - 7.39981</f>
        <v>0.58463731667608787</v>
      </c>
      <c r="J991" cm="1">
        <f t="array" ref="J991" xml:space="preserve"> mc(100, -PI()/2,0,-1, 1, "ln(EXP(x * y))")</f>
        <v>6.4948891715744805E-2</v>
      </c>
      <c r="K991" cm="1">
        <f t="array" ref="K991" xml:space="preserve"> mc(500, -PI()/2,0,-1, 1, "ln(EXP(x * y))")</f>
        <v>-4.3643239497917083E-2</v>
      </c>
      <c r="L991" cm="1">
        <f t="array" ref="L991" xml:space="preserve"> mc(1000, -PI()/2,0,-1, 1, "ln(EXP(x * y))")</f>
        <v>-5.6135972626894813E-2</v>
      </c>
      <c r="N991" cm="1">
        <f t="array" ref="N991" xml:space="preserve"> mc(100, -PI()/2,PI()/2, 0, 1, "sin(cos(x + y))")-1.48235</f>
        <v>-0.32302017776608616</v>
      </c>
      <c r="O991" cm="1">
        <f t="array" ref="O991" xml:space="preserve"> mc(500, -PI()/2,PI()/2, 0, 1, "sin(cos(x + y))")-1.48235</f>
        <v>0.10285992234532548</v>
      </c>
      <c r="P991" cm="1">
        <f t="array" ref="P991" xml:space="preserve"> mc(1000, -PI()/2,PI()/2, 0, 1, "sin(cos(x + y))")-1.48235</f>
        <v>5.0496049532100518E-3</v>
      </c>
    </row>
    <row r="992" spans="1:16" x14ac:dyDescent="0.3">
      <c r="A992">
        <v>962</v>
      </c>
      <c r="B992" cm="1">
        <f t="array" ref="B992" xml:space="preserve"> mc(100, 0, 4, 1, 2, "x^2+y^2")-92/3</f>
        <v>1.0977753324204294</v>
      </c>
      <c r="C992" cm="1">
        <f t="array" ref="C992" xml:space="preserve"> mc(500, 0, 4, 1, 2, "x^2+y^2")-92/3</f>
        <v>0.33452707314330965</v>
      </c>
      <c r="D992" cm="1">
        <f t="array" ref="D992" xml:space="preserve"> mc(1000, 0, 4, 1, 2, "x^2+y^2")-92/3</f>
        <v>0.99343232295027306</v>
      </c>
      <c r="F992" cm="1">
        <f t="array" ref="F992" xml:space="preserve"> ( mc(100, 3, 4, -1, 1, "EXP(x * sin(y))") ) - 7.39981</f>
        <v>0.43894179467549677</v>
      </c>
      <c r="G992" cm="1">
        <f t="array" ref="G992" xml:space="preserve"> ( mc(500, 3, 4, -1, 1, "EXP(x * sin(y))") ) - 7.39981</f>
        <v>0.24284311060673769</v>
      </c>
      <c r="H992" cm="1">
        <f t="array" ref="H992" xml:space="preserve"> ( mc(1000, 3, 4, -1, 1, "EXP(x * sin(y))") ) - 7.39981</f>
        <v>-0.20068571206703556</v>
      </c>
      <c r="J992" cm="1">
        <f t="array" ref="J992" xml:space="preserve"> mc(100, -PI()/2,0,-1, 1, "ln(EXP(x * y))")</f>
        <v>-0.22731170844254375</v>
      </c>
      <c r="K992" cm="1">
        <f t="array" ref="K992" xml:space="preserve"> mc(500, -PI()/2,0,-1, 1, "ln(EXP(x * y))")</f>
        <v>1.2163412789489628E-2</v>
      </c>
      <c r="L992" cm="1">
        <f t="array" ref="L992" xml:space="preserve"> mc(1000, -PI()/2,0,-1, 1, "ln(EXP(x * y))")</f>
        <v>-4.043233010552879E-2</v>
      </c>
      <c r="N992" cm="1">
        <f t="array" ref="N992" xml:space="preserve"> mc(100, -PI()/2,PI()/2, 0, 1, "sin(cos(x + y))")-1.48235</f>
        <v>5.0919740954099346E-2</v>
      </c>
      <c r="O992" cm="1">
        <f t="array" ref="O992" xml:space="preserve"> mc(500, -PI()/2,PI()/2, 0, 1, "sin(cos(x + y))")-1.48235</f>
        <v>8.0205444972615947E-2</v>
      </c>
      <c r="P992" cm="1">
        <f t="array" ref="P992" xml:space="preserve"> mc(1000, -PI()/2,PI()/2, 0, 1, "sin(cos(x + y))")-1.48235</f>
        <v>2.7324467138141184E-3</v>
      </c>
    </row>
    <row r="993" spans="1:16" x14ac:dyDescent="0.3">
      <c r="A993">
        <v>963</v>
      </c>
      <c r="B993" cm="1">
        <f t="array" ref="B993" xml:space="preserve"> mc(100, 0, 4, 1, 2, "x^2+y^2")-92/3</f>
        <v>0.98572050867886318</v>
      </c>
      <c r="C993" cm="1">
        <f t="array" ref="C993" xml:space="preserve"> mc(500, 0, 4, 1, 2, "x^2+y^2")-92/3</f>
        <v>-1.1726601698574619</v>
      </c>
      <c r="D993" cm="1">
        <f t="array" ref="D993" xml:space="preserve"> mc(1000, 0, 4, 1, 2, "x^2+y^2")-92/3</f>
        <v>0.68316728219097911</v>
      </c>
      <c r="F993" cm="1">
        <f t="array" ref="F993" xml:space="preserve"> ( mc(100, 3, 4, -1, 1, "EXP(x * sin(y))") ) - 7.39981</f>
        <v>-0.32756748680594061</v>
      </c>
      <c r="G993" cm="1">
        <f t="array" ref="G993" xml:space="preserve"> ( mc(500, 3, 4, -1, 1, "EXP(x * sin(y))") ) - 7.39981</f>
        <v>-0.21055680904687435</v>
      </c>
      <c r="H993" cm="1">
        <f t="array" ref="H993" xml:space="preserve"> ( mc(1000, 3, 4, -1, 1, "EXP(x * sin(y))") ) - 7.39981</f>
        <v>0.36027236530801154</v>
      </c>
      <c r="J993" cm="1">
        <f t="array" ref="J993" xml:space="preserve"> mc(100, -PI()/2,0,-1, 1, "ln(EXP(x * y))")</f>
        <v>0.5464830045117165</v>
      </c>
      <c r="K993" cm="1">
        <f t="array" ref="K993" xml:space="preserve"> mc(500, -PI()/2,0,-1, 1, "ln(EXP(x * y))")</f>
        <v>5.7166010712183524E-2</v>
      </c>
      <c r="L993" cm="1">
        <f t="array" ref="L993" xml:space="preserve"> mc(1000, -PI()/2,0,-1, 1, "ln(EXP(x * y))")</f>
        <v>1.3784172141103232E-2</v>
      </c>
      <c r="N993" cm="1">
        <f t="array" ref="N993" xml:space="preserve"> mc(100, -PI()/2,PI()/2, 0, 1, "sin(cos(x + y))")-1.48235</f>
        <v>-0.12832745278944313</v>
      </c>
      <c r="O993" cm="1">
        <f t="array" ref="O993" xml:space="preserve"> mc(500, -PI()/2,PI()/2, 0, 1, "sin(cos(x + y))")-1.48235</f>
        <v>-6.7275207889768707E-2</v>
      </c>
      <c r="P993" cm="1">
        <f t="array" ref="P993" xml:space="preserve"> mc(1000, -PI()/2,PI()/2, 0, 1, "sin(cos(x + y))")-1.48235</f>
        <v>3.0014153337372562E-2</v>
      </c>
    </row>
    <row r="994" spans="1:16" x14ac:dyDescent="0.3">
      <c r="A994">
        <v>964</v>
      </c>
      <c r="B994" cm="1">
        <f t="array" ref="B994" xml:space="preserve"> mc(100, 0, 4, 1, 2, "x^2+y^2")-92/3</f>
        <v>0.97434548490159045</v>
      </c>
      <c r="C994" cm="1">
        <f t="array" ref="C994" xml:space="preserve"> mc(500, 0, 4, 1, 2, "x^2+y^2")-92/3</f>
        <v>1.5555548914042596</v>
      </c>
      <c r="D994" cm="1">
        <f t="array" ref="D994" xml:space="preserve"> mc(1000, 0, 4, 1, 2, "x^2+y^2")-92/3</f>
        <v>-4.0720718317253102E-2</v>
      </c>
      <c r="F994" cm="1">
        <f t="array" ref="F994" xml:space="preserve"> ( mc(100, 3, 4, -1, 1, "EXP(x * sin(y))") ) - 7.39981</f>
        <v>-0.46994360772934396</v>
      </c>
      <c r="G994" cm="1">
        <f t="array" ref="G994" xml:space="preserve"> ( mc(500, 3, 4, -1, 1, "EXP(x * sin(y))") ) - 7.39981</f>
        <v>-5.8486771240909619E-2</v>
      </c>
      <c r="H994" cm="1">
        <f t="array" ref="H994" xml:space="preserve"> ( mc(1000, 3, 4, -1, 1, "EXP(x * sin(y))") ) - 7.39981</f>
        <v>-0.40349559647049471</v>
      </c>
      <c r="J994" cm="1">
        <f t="array" ref="J994" xml:space="preserve"> mc(100, -PI()/2,0,-1, 1, "ln(EXP(x * y))")</f>
        <v>-2.6384583829079416E-2</v>
      </c>
      <c r="K994" cm="1">
        <f t="array" ref="K994" xml:space="preserve"> mc(500, -PI()/2,0,-1, 1, "ln(EXP(x * y))")</f>
        <v>-0.10977024791759427</v>
      </c>
      <c r="L994" cm="1">
        <f t="array" ref="L994" xml:space="preserve"> mc(1000, -PI()/2,0,-1, 1, "ln(EXP(x * y))")</f>
        <v>-4.1039861110266668E-2</v>
      </c>
      <c r="N994" cm="1">
        <f t="array" ref="N994" xml:space="preserve"> mc(100, -PI()/2,PI()/2, 0, 1, "sin(cos(x + y))")-1.48235</f>
        <v>-0.22199501896109841</v>
      </c>
      <c r="O994" cm="1">
        <f t="array" ref="O994" xml:space="preserve"> mc(500, -PI()/2,PI()/2, 0, 1, "sin(cos(x + y))")-1.48235</f>
        <v>2.086544135661228E-2</v>
      </c>
      <c r="P994" cm="1">
        <f t="array" ref="P994" xml:space="preserve"> mc(1000, -PI()/2,PI()/2, 0, 1, "sin(cos(x + y))")-1.48235</f>
        <v>-5.0299693398577983E-2</v>
      </c>
    </row>
    <row r="995" spans="1:16" x14ac:dyDescent="0.3">
      <c r="A995">
        <v>965</v>
      </c>
      <c r="B995" cm="1">
        <f t="array" ref="B995" xml:space="preserve"> mc(100, 0, 4, 1, 2, "x^2+y^2")-92/3</f>
        <v>0.10045446810617875</v>
      </c>
      <c r="C995" cm="1">
        <f t="array" ref="C995" xml:space="preserve"> mc(500, 0, 4, 1, 2, "x^2+y^2")-92/3</f>
        <v>-2.1010803868975358E-2</v>
      </c>
      <c r="D995" cm="1">
        <f t="array" ref="D995" xml:space="preserve"> mc(1000, 0, 4, 1, 2, "x^2+y^2")-92/3</f>
        <v>-0.67566099448137962</v>
      </c>
      <c r="F995" cm="1">
        <f t="array" ref="F995" xml:space="preserve"> ( mc(100, 3, 4, -1, 1, "EXP(x * sin(y))") ) - 7.39981</f>
        <v>-0.98032605875381851</v>
      </c>
      <c r="G995" cm="1">
        <f t="array" ref="G995" xml:space="preserve"> ( mc(500, 3, 4, -1, 1, "EXP(x * sin(y))") ) - 7.39981</f>
        <v>0.16385867330767923</v>
      </c>
      <c r="H995" cm="1">
        <f t="array" ref="H995" xml:space="preserve"> ( mc(1000, 3, 4, -1, 1, "EXP(x * sin(y))") ) - 7.39981</f>
        <v>0.25655456586521908</v>
      </c>
      <c r="J995" cm="1">
        <f t="array" ref="J995" xml:space="preserve"> mc(100, -PI()/2,0,-1, 1, "ln(EXP(x * y))")</f>
        <v>2.411434845989667E-2</v>
      </c>
      <c r="K995" cm="1">
        <f t="array" ref="K995" xml:space="preserve"> mc(500, -PI()/2,0,-1, 1, "ln(EXP(x * y))")</f>
        <v>-3.2273226620244296E-2</v>
      </c>
      <c r="L995" cm="1">
        <f t="array" ref="L995" xml:space="preserve"> mc(1000, -PI()/2,0,-1, 1, "ln(EXP(x * y))")</f>
        <v>1.2323582960381827E-2</v>
      </c>
      <c r="N995" cm="1">
        <f t="array" ref="N995" xml:space="preserve"> mc(100, -PI()/2,PI()/2, 0, 1, "sin(cos(x + y))")-1.48235</f>
        <v>3.5236660128359798E-2</v>
      </c>
      <c r="O995" cm="1">
        <f t="array" ref="O995" xml:space="preserve"> mc(500, -PI()/2,PI()/2, 0, 1, "sin(cos(x + y))")-1.48235</f>
        <v>-3.248038258971464E-2</v>
      </c>
      <c r="P995" cm="1">
        <f t="array" ref="P995" xml:space="preserve"> mc(1000, -PI()/2,PI()/2, 0, 1, "sin(cos(x + y))")-1.48235</f>
        <v>1.4018718936520624E-2</v>
      </c>
    </row>
    <row r="996" spans="1:16" x14ac:dyDescent="0.3">
      <c r="A996">
        <v>966</v>
      </c>
      <c r="B996" cm="1">
        <f t="array" ref="B996" xml:space="preserve"> mc(100, 0, 4, 1, 2, "x^2+y^2")-92/3</f>
        <v>-0.84642030993452977</v>
      </c>
      <c r="C996" cm="1">
        <f t="array" ref="C996" xml:space="preserve"> mc(500, 0, 4, 1, 2, "x^2+y^2")-92/3</f>
        <v>-0.42431489671790601</v>
      </c>
      <c r="D996" cm="1">
        <f t="array" ref="D996" xml:space="preserve"> mc(1000, 0, 4, 1, 2, "x^2+y^2")-92/3</f>
        <v>0.14609492562456694</v>
      </c>
      <c r="F996" cm="1">
        <f t="array" ref="F996" xml:space="preserve"> ( mc(100, 3, 4, -1, 1, "EXP(x * sin(y))") ) - 7.39981</f>
        <v>-1.403278689394579</v>
      </c>
      <c r="G996" cm="1">
        <f t="array" ref="G996" xml:space="preserve"> ( mc(500, 3, 4, -1, 1, "EXP(x * sin(y))") ) - 7.39981</f>
        <v>0.26777802260460248</v>
      </c>
      <c r="H996" cm="1">
        <f t="array" ref="H996" xml:space="preserve"> ( mc(1000, 3, 4, -1, 1, "EXP(x * sin(y))") ) - 7.39981</f>
        <v>-0.21126659417810778</v>
      </c>
      <c r="J996" cm="1">
        <f t="array" ref="J996" xml:space="preserve"> mc(100, -PI()/2,0,-1, 1, "ln(EXP(x * y))")</f>
        <v>0.22437972161577294</v>
      </c>
      <c r="K996" cm="1">
        <f t="array" ref="K996" xml:space="preserve"> mc(500, -PI()/2,0,-1, 1, "ln(EXP(x * y))")</f>
        <v>4.8062912180441918E-2</v>
      </c>
      <c r="L996" cm="1">
        <f t="array" ref="L996" xml:space="preserve"> mc(1000, -PI()/2,0,-1, 1, "ln(EXP(x * y))")</f>
        <v>-2.3920386474495715E-2</v>
      </c>
      <c r="N996" cm="1">
        <f t="array" ref="N996" xml:space="preserve"> mc(100, -PI()/2,PI()/2, 0, 1, "sin(cos(x + y))")-1.48235</f>
        <v>9.9274929232612497E-2</v>
      </c>
      <c r="O996" cm="1">
        <f t="array" ref="O996" xml:space="preserve"> mc(500, -PI()/2,PI()/2, 0, 1, "sin(cos(x + y))")-1.48235</f>
        <v>2.0874590709075935E-2</v>
      </c>
      <c r="P996" cm="1">
        <f t="array" ref="P996" xml:space="preserve"> mc(1000, -PI()/2,PI()/2, 0, 1, "sin(cos(x + y))")-1.48235</f>
        <v>5.9312370496441336E-2</v>
      </c>
    </row>
    <row r="997" spans="1:16" x14ac:dyDescent="0.3">
      <c r="A997">
        <v>967</v>
      </c>
      <c r="B997" cm="1">
        <f t="array" ref="B997" xml:space="preserve"> mc(100, 0, 4, 1, 2, "x^2+y^2")-92/3</f>
        <v>1.8716335839492153</v>
      </c>
      <c r="C997" cm="1">
        <f t="array" ref="C997" xml:space="preserve"> mc(500, 0, 4, 1, 2, "x^2+y^2")-92/3</f>
        <v>-1.3450476389831074</v>
      </c>
      <c r="D997" cm="1">
        <f t="array" ref="D997" xml:space="preserve"> mc(1000, 0, 4, 1, 2, "x^2+y^2")-92/3</f>
        <v>-0.19025976448664395</v>
      </c>
      <c r="F997" cm="1">
        <f t="array" ref="F997" xml:space="preserve"> ( mc(100, 3, 4, -1, 1, "EXP(x * sin(y))") ) - 7.39981</f>
        <v>-0.97152505833954539</v>
      </c>
      <c r="G997" cm="1">
        <f t="array" ref="G997" xml:space="preserve"> ( mc(500, 3, 4, -1, 1, "EXP(x * sin(y))") ) - 7.39981</f>
        <v>-6.3479076126203182E-2</v>
      </c>
      <c r="H997" cm="1">
        <f t="array" ref="H997" xml:space="preserve"> ( mc(1000, 3, 4, -1, 1, "EXP(x * sin(y))") ) - 7.39981</f>
        <v>-1.1762138871795003E-2</v>
      </c>
      <c r="J997" cm="1">
        <f t="array" ref="J997" xml:space="preserve"> mc(100, -PI()/2,0,-1, 1, "ln(EXP(x * y))")</f>
        <v>7.200733979580197E-2</v>
      </c>
      <c r="K997" cm="1">
        <f t="array" ref="K997" xml:space="preserve"> mc(500, -PI()/2,0,-1, 1, "ln(EXP(x * y))")</f>
        <v>2.9722515716940463E-2</v>
      </c>
      <c r="L997" cm="1">
        <f t="array" ref="L997" xml:space="preserve"> mc(1000, -PI()/2,0,-1, 1, "ln(EXP(x * y))")</f>
        <v>-2.8355972157824098E-2</v>
      </c>
      <c r="N997" cm="1">
        <f t="array" ref="N997" xml:space="preserve"> mc(100, -PI()/2,PI()/2, 0, 1, "sin(cos(x + y))")-1.48235</f>
        <v>8.1714265454855939E-2</v>
      </c>
      <c r="O997" cm="1">
        <f t="array" ref="O997" xml:space="preserve"> mc(500, -PI()/2,PI()/2, 0, 1, "sin(cos(x + y))")-1.48235</f>
        <v>6.2001572506077407E-2</v>
      </c>
      <c r="P997" cm="1">
        <f t="array" ref="P997" xml:space="preserve"> mc(1000, -PI()/2,PI()/2, 0, 1, "sin(cos(x + y))")-1.48235</f>
        <v>-4.8415706448872164E-3</v>
      </c>
    </row>
    <row r="998" spans="1:16" x14ac:dyDescent="0.3">
      <c r="A998">
        <v>968</v>
      </c>
      <c r="B998" cm="1">
        <f t="array" ref="B998" xml:space="preserve"> mc(100, 0, 4, 1, 2, "x^2+y^2")-92/3</f>
        <v>-2.1189260980351001</v>
      </c>
      <c r="C998" cm="1">
        <f t="array" ref="C998" xml:space="preserve"> mc(500, 0, 4, 1, 2, "x^2+y^2")-92/3</f>
        <v>0.91657861183601597</v>
      </c>
      <c r="D998" cm="1">
        <f t="array" ref="D998" xml:space="preserve"> mc(1000, 0, 4, 1, 2, "x^2+y^2")-92/3</f>
        <v>-0.45518177157515538</v>
      </c>
      <c r="F998" cm="1">
        <f t="array" ref="F998" xml:space="preserve"> ( mc(100, 3, 4, -1, 1, "EXP(x * sin(y))") ) - 7.39981</f>
        <v>-0.35563022705501712</v>
      </c>
      <c r="G998" cm="1">
        <f t="array" ref="G998" xml:space="preserve"> ( mc(500, 3, 4, -1, 1, "EXP(x * sin(y))") ) - 7.39981</f>
        <v>0.19828445733603761</v>
      </c>
      <c r="H998" cm="1">
        <f t="array" ref="H998" xml:space="preserve"> ( mc(1000, 3, 4, -1, 1, "EXP(x * sin(y))") ) - 7.39981</f>
        <v>8.688443752649011E-2</v>
      </c>
      <c r="J998" cm="1">
        <f t="array" ref="J998" xml:space="preserve"> mc(100, -PI()/2,0,-1, 1, "ln(EXP(x * y))")</f>
        <v>0.50010145954116414</v>
      </c>
      <c r="K998" cm="1">
        <f t="array" ref="K998" xml:space="preserve"> mc(500, -PI()/2,0,-1, 1, "ln(EXP(x * y))")</f>
        <v>-0.11172584235729516</v>
      </c>
      <c r="L998" cm="1">
        <f t="array" ref="L998" xml:space="preserve"> mc(1000, -PI()/2,0,-1, 1, "ln(EXP(x * y))")</f>
        <v>-2.3867221666981537E-2</v>
      </c>
      <c r="N998" cm="1">
        <f t="array" ref="N998" xml:space="preserve"> mc(100, -PI()/2,PI()/2, 0, 1, "sin(cos(x + y))")-1.48235</f>
        <v>7.1172406621647255E-2</v>
      </c>
      <c r="O998" cm="1">
        <f t="array" ref="O998" xml:space="preserve"> mc(500, -PI()/2,PI()/2, 0, 1, "sin(cos(x + y))")-1.48235</f>
        <v>-5.5767663274534529E-2</v>
      </c>
      <c r="P998" cm="1">
        <f t="array" ref="P998" xml:space="preserve"> mc(1000, -PI()/2,PI()/2, 0, 1, "sin(cos(x + y))")-1.48235</f>
        <v>5.2453678321271457E-3</v>
      </c>
    </row>
    <row r="999" spans="1:16" x14ac:dyDescent="0.3">
      <c r="A999">
        <v>969</v>
      </c>
      <c r="B999" cm="1">
        <f t="array" ref="B999" xml:space="preserve"> mc(100, 0, 4, 1, 2, "x^2+y^2")-92/3</f>
        <v>-2.2846163609602534</v>
      </c>
      <c r="C999" cm="1">
        <f t="array" ref="C999" xml:space="preserve"> mc(500, 0, 4, 1, 2, "x^2+y^2")-92/3</f>
        <v>-1.1160642531595926</v>
      </c>
      <c r="D999" cm="1">
        <f t="array" ref="D999" xml:space="preserve"> mc(1000, 0, 4, 1, 2, "x^2+y^2")-92/3</f>
        <v>-8.5395063827320428E-4</v>
      </c>
      <c r="F999" cm="1">
        <f t="array" ref="F999" xml:space="preserve"> ( mc(100, 3, 4, -1, 1, "EXP(x * sin(y))") ) - 7.39981</f>
        <v>-0.91269871530372537</v>
      </c>
      <c r="G999" cm="1">
        <f t="array" ref="G999" xml:space="preserve"> ( mc(500, 3, 4, -1, 1, "EXP(x * sin(y))") ) - 7.39981</f>
        <v>0.13824277908915139</v>
      </c>
      <c r="H999" cm="1">
        <f t="array" ref="H999" xml:space="preserve"> ( mc(1000, 3, 4, -1, 1, "EXP(x * sin(y))") ) - 7.39981</f>
        <v>-6.1857482124652918E-2</v>
      </c>
      <c r="J999" cm="1">
        <f t="array" ref="J999" xml:space="preserve"> mc(100, -PI()/2,0,-1, 1, "ln(EXP(x * y))")</f>
        <v>-5.987835511254741E-2</v>
      </c>
      <c r="K999" cm="1">
        <f t="array" ref="K999" xml:space="preserve"> mc(500, -PI()/2,0,-1, 1, "ln(EXP(x * y))")</f>
        <v>-2.6416470340815946E-2</v>
      </c>
      <c r="L999" cm="1">
        <f t="array" ref="L999" xml:space="preserve"> mc(1000, -PI()/2,0,-1, 1, "ln(EXP(x * y))")</f>
        <v>1.9043580295315183E-2</v>
      </c>
      <c r="N999" cm="1">
        <f t="array" ref="N999" xml:space="preserve"> mc(100, -PI()/2,PI()/2, 0, 1, "sin(cos(x + y))")-1.48235</f>
        <v>0.12125379155456728</v>
      </c>
      <c r="O999" cm="1">
        <f t="array" ref="O999" xml:space="preserve"> mc(500, -PI()/2,PI()/2, 0, 1, "sin(cos(x + y))")-1.48235</f>
        <v>-3.6351630711895622E-2</v>
      </c>
      <c r="P999" cm="1">
        <f t="array" ref="P999" xml:space="preserve"> mc(1000, -PI()/2,PI()/2, 0, 1, "sin(cos(x + y))")-1.48235</f>
        <v>3.6780911404437289E-2</v>
      </c>
    </row>
    <row r="1000" spans="1:16" x14ac:dyDescent="0.3">
      <c r="A1000">
        <v>970</v>
      </c>
      <c r="B1000" cm="1">
        <f t="array" ref="B1000" xml:space="preserve"> mc(100, 0, 4, 1, 2, "x^2+y^2")-92/3</f>
        <v>-1.2314600879897881</v>
      </c>
      <c r="C1000" cm="1">
        <f t="array" ref="C1000" xml:space="preserve"> mc(500, 0, 4, 1, 2, "x^2+y^2")-92/3</f>
        <v>-0.82141014504416177</v>
      </c>
      <c r="D1000" cm="1">
        <f t="array" ref="D1000" xml:space="preserve"> mc(1000, 0, 4, 1, 2, "x^2+y^2")-92/3</f>
        <v>-7.5475879170017635E-2</v>
      </c>
      <c r="F1000" cm="1">
        <f t="array" ref="F1000" xml:space="preserve"> ( mc(100, 3, 4, -1, 1, "EXP(x * sin(y))") ) - 7.39981</f>
        <v>1.8188271703152132</v>
      </c>
      <c r="G1000" cm="1">
        <f t="array" ref="G1000" xml:space="preserve"> ( mc(500, 3, 4, -1, 1, "EXP(x * sin(y))") ) - 7.39981</f>
        <v>0.48530179513176375</v>
      </c>
      <c r="H1000" cm="1">
        <f t="array" ref="H1000" xml:space="preserve"> ( mc(1000, 3, 4, -1, 1, "EXP(x * sin(y))") ) - 7.39981</f>
        <v>0.28736586103538553</v>
      </c>
      <c r="J1000" cm="1">
        <f t="array" ref="J1000" xml:space="preserve"> mc(100, -PI()/2,0,-1, 1, "ln(EXP(x * y))")</f>
        <v>0.13290884729484603</v>
      </c>
      <c r="K1000" cm="1">
        <f t="array" ref="K1000" xml:space="preserve"> mc(500, -PI()/2,0,-1, 1, "ln(EXP(x * y))")</f>
        <v>-9.9513784770741354E-2</v>
      </c>
      <c r="L1000" cm="1">
        <f t="array" ref="L1000" xml:space="preserve"> mc(1000, -PI()/2,0,-1, 1, "ln(EXP(x * y))")</f>
        <v>3.2901394260326219E-2</v>
      </c>
      <c r="N1000" cm="1">
        <f t="array" ref="N1000" xml:space="preserve"> mc(100, -PI()/2,PI()/2, 0, 1, "sin(cos(x + y))")-1.48235</f>
        <v>0.12521560141276411</v>
      </c>
      <c r="O1000" cm="1">
        <f t="array" ref="O1000" xml:space="preserve"> mc(500, -PI()/2,PI()/2, 0, 1, "sin(cos(x + y))")-1.48235</f>
        <v>-5.5425333249601527E-2</v>
      </c>
      <c r="P1000" cm="1">
        <f t="array" ref="P1000" xml:space="preserve"> mc(1000, -PI()/2,PI()/2, 0, 1, "sin(cos(x + y))")-1.48235</f>
        <v>3.0228701380695888E-2</v>
      </c>
    </row>
    <row r="1001" spans="1:16" x14ac:dyDescent="0.3">
      <c r="A1001">
        <v>971</v>
      </c>
      <c r="B1001" cm="1">
        <f t="array" ref="B1001" xml:space="preserve"> mc(100, 0, 4, 1, 2, "x^2+y^2")-92/3</f>
        <v>-1.080267716860412</v>
      </c>
      <c r="C1001" cm="1">
        <f t="array" ref="C1001" xml:space="preserve"> mc(500, 0, 4, 1, 2, "x^2+y^2")-92/3</f>
        <v>6.6293248183164621E-3</v>
      </c>
      <c r="D1001" cm="1">
        <f t="array" ref="D1001" xml:space="preserve"> mc(1000, 0, 4, 1, 2, "x^2+y^2")-92/3</f>
        <v>4.0520490484446725E-2</v>
      </c>
      <c r="F1001" cm="1">
        <f t="array" ref="F1001" xml:space="preserve"> ( mc(100, 3, 4, -1, 1, "EXP(x * sin(y))") ) - 7.39981</f>
        <v>3.0406601250234644E-3</v>
      </c>
      <c r="G1001" cm="1">
        <f t="array" ref="G1001" xml:space="preserve"> ( mc(500, 3, 4, -1, 1, "EXP(x * sin(y))") ) - 7.39981</f>
        <v>0.93307344474349563</v>
      </c>
      <c r="H1001" cm="1">
        <f t="array" ref="H1001" xml:space="preserve"> ( mc(1000, 3, 4, -1, 1, "EXP(x * sin(y))") ) - 7.39981</f>
        <v>-1.6313840429237558E-2</v>
      </c>
      <c r="J1001" cm="1">
        <f t="array" ref="J1001" xml:space="preserve"> mc(100, -PI()/2,0,-1, 1, "ln(EXP(x * y))")</f>
        <v>-5.9360510439599529E-2</v>
      </c>
      <c r="K1001" cm="1">
        <f t="array" ref="K1001" xml:space="preserve"> mc(500, -PI()/2,0,-1, 1, "ln(EXP(x * y))")</f>
        <v>-9.7024802369144597E-2</v>
      </c>
      <c r="L1001" cm="1">
        <f t="array" ref="L1001" xml:space="preserve"> mc(1000, -PI()/2,0,-1, 1, "ln(EXP(x * y))")</f>
        <v>9.1181237844987065E-2</v>
      </c>
      <c r="N1001" cm="1">
        <f t="array" ref="N1001" xml:space="preserve"> mc(100, -PI()/2,PI()/2, 0, 1, "sin(cos(x + y))")-1.48235</f>
        <v>-0.10628041602251415</v>
      </c>
      <c r="O1001" cm="1">
        <f t="array" ref="O1001" xml:space="preserve"> mc(500, -PI()/2,PI()/2, 0, 1, "sin(cos(x + y))")-1.48235</f>
        <v>-2.7611263937543873E-2</v>
      </c>
      <c r="P1001" cm="1">
        <f t="array" ref="P1001" xml:space="preserve"> mc(1000, -PI()/2,PI()/2, 0, 1, "sin(cos(x + y))")-1.48235</f>
        <v>-3.7210349587496694E-2</v>
      </c>
    </row>
    <row r="1002" spans="1:16" x14ac:dyDescent="0.3">
      <c r="A1002">
        <v>972</v>
      </c>
      <c r="B1002" cm="1">
        <f t="array" ref="B1002" xml:space="preserve"> mc(100, 0, 4, 1, 2, "x^2+y^2")-92/3</f>
        <v>0.63751360411536595</v>
      </c>
      <c r="C1002" cm="1">
        <f t="array" ref="C1002" xml:space="preserve"> mc(500, 0, 4, 1, 2, "x^2+y^2")-92/3</f>
        <v>0.27266108039713188</v>
      </c>
      <c r="D1002" cm="1">
        <f t="array" ref="D1002" xml:space="preserve"> mc(1000, 0, 4, 1, 2, "x^2+y^2")-92/3</f>
        <v>0.52736052635217945</v>
      </c>
      <c r="F1002" cm="1">
        <f t="array" ref="F1002" xml:space="preserve"> ( mc(100, 3, 4, -1, 1, "EXP(x * sin(y))") ) - 7.39981</f>
        <v>0.49124566023294225</v>
      </c>
      <c r="G1002" cm="1">
        <f t="array" ref="G1002" xml:space="preserve"> ( mc(500, 3, 4, -1, 1, "EXP(x * sin(y))") ) - 7.39981</f>
        <v>0.13799376521838713</v>
      </c>
      <c r="H1002" cm="1">
        <f t="array" ref="H1002" xml:space="preserve"> ( mc(1000, 3, 4, -1, 1, "EXP(x * sin(y))") ) - 7.39981</f>
        <v>0.21285244946294846</v>
      </c>
      <c r="J1002" cm="1">
        <f t="array" ref="J1002" xml:space="preserve"> mc(100, -PI()/2,0,-1, 1, "ln(EXP(x * y))")</f>
        <v>-5.7048943620982819E-2</v>
      </c>
      <c r="K1002" cm="1">
        <f t="array" ref="K1002" xml:space="preserve"> mc(500, -PI()/2,0,-1, 1, "ln(EXP(x * y))")</f>
        <v>-8.4224395545823658E-2</v>
      </c>
      <c r="L1002" cm="1">
        <f t="array" ref="L1002" xml:space="preserve"> mc(1000, -PI()/2,0,-1, 1, "ln(EXP(x * y))")</f>
        <v>1.4025561782827165E-2</v>
      </c>
      <c r="N1002" cm="1">
        <f t="array" ref="N1002" xml:space="preserve"> mc(100, -PI()/2,PI()/2, 0, 1, "sin(cos(x + y))")-1.48235</f>
        <v>-7.6065565182288575E-2</v>
      </c>
      <c r="O1002" cm="1">
        <f t="array" ref="O1002" xml:space="preserve"> mc(500, -PI()/2,PI()/2, 0, 1, "sin(cos(x + y))")-1.48235</f>
        <v>-5.8270050982592192E-2</v>
      </c>
      <c r="P1002" cm="1">
        <f t="array" ref="P1002" xml:space="preserve"> mc(1000, -PI()/2,PI()/2, 0, 1, "sin(cos(x + y))")-1.48235</f>
        <v>-6.2319198150878607E-2</v>
      </c>
    </row>
    <row r="1003" spans="1:16" x14ac:dyDescent="0.3">
      <c r="A1003">
        <v>973</v>
      </c>
      <c r="B1003" cm="1">
        <f t="array" ref="B1003" xml:space="preserve"> mc(100, 0, 4, 1, 2, "x^2+y^2")-92/3</f>
        <v>2.4647820625713486</v>
      </c>
      <c r="C1003" cm="1">
        <f t="array" ref="C1003" xml:space="preserve"> mc(500, 0, 4, 1, 2, "x^2+y^2")-92/3</f>
        <v>-1.3436322317363079</v>
      </c>
      <c r="D1003" cm="1">
        <f t="array" ref="D1003" xml:space="preserve"> mc(1000, 0, 4, 1, 2, "x^2+y^2")-92/3</f>
        <v>-0.61487615751851621</v>
      </c>
      <c r="F1003" cm="1">
        <f t="array" ref="F1003" xml:space="preserve"> ( mc(100, 3, 4, -1, 1, "EXP(x * sin(y))") ) - 7.39981</f>
        <v>4.918335365075599E-2</v>
      </c>
      <c r="G1003" cm="1">
        <f t="array" ref="G1003" xml:space="preserve"> ( mc(500, 3, 4, -1, 1, "EXP(x * sin(y))") ) - 7.39981</f>
        <v>-8.6404250277037242E-2</v>
      </c>
      <c r="H1003" cm="1">
        <f t="array" ref="H1003" xml:space="preserve"> ( mc(1000, 3, 4, -1, 1, "EXP(x * sin(y))") ) - 7.39981</f>
        <v>0.15078858725994326</v>
      </c>
      <c r="J1003" cm="1">
        <f t="array" ref="J1003" xml:space="preserve"> mc(100, -PI()/2,0,-1, 1, "ln(EXP(x * y))")</f>
        <v>-0.25130182207567348</v>
      </c>
      <c r="K1003" cm="1">
        <f t="array" ref="K1003" xml:space="preserve"> mc(500, -PI()/2,0,-1, 1, "ln(EXP(x * y))")</f>
        <v>-4.1872978716519134E-2</v>
      </c>
      <c r="L1003" cm="1">
        <f t="array" ref="L1003" xml:space="preserve"> mc(1000, -PI()/2,0,-1, 1, "ln(EXP(x * y))")</f>
        <v>1.7170274769806364E-2</v>
      </c>
      <c r="N1003" cm="1">
        <f t="array" ref="N1003" xml:space="preserve"> mc(100, -PI()/2,PI()/2, 0, 1, "sin(cos(x + y))")-1.48235</f>
        <v>5.7723740533954349E-2</v>
      </c>
      <c r="O1003" cm="1">
        <f t="array" ref="O1003" xml:space="preserve"> mc(500, -PI()/2,PI()/2, 0, 1, "sin(cos(x + y))")-1.48235</f>
        <v>0.1069236161575402</v>
      </c>
      <c r="P1003" cm="1">
        <f t="array" ref="P1003" xml:space="preserve"> mc(1000, -PI()/2,PI()/2, 0, 1, "sin(cos(x + y))")-1.48235</f>
        <v>-2.8837661824736571E-3</v>
      </c>
    </row>
    <row r="1004" spans="1:16" x14ac:dyDescent="0.3">
      <c r="A1004">
        <v>974</v>
      </c>
      <c r="B1004" cm="1">
        <f t="array" ref="B1004" xml:space="preserve"> mc(100, 0, 4, 1, 2, "x^2+y^2")-92/3</f>
        <v>1.7616455950621095</v>
      </c>
      <c r="C1004" cm="1">
        <f t="array" ref="C1004" xml:space="preserve"> mc(500, 0, 4, 1, 2, "x^2+y^2")-92/3</f>
        <v>-1.1250680556103028</v>
      </c>
      <c r="D1004" cm="1">
        <f t="array" ref="D1004" xml:space="preserve"> mc(1000, 0, 4, 1, 2, "x^2+y^2")-92/3</f>
        <v>-0.12747610879696225</v>
      </c>
      <c r="F1004" cm="1">
        <f t="array" ref="F1004" xml:space="preserve"> ( mc(100, 3, 4, -1, 1, "EXP(x * sin(y))") ) - 7.39981</f>
        <v>-0.89623659610872686</v>
      </c>
      <c r="G1004" cm="1">
        <f t="array" ref="G1004" xml:space="preserve"> ( mc(500, 3, 4, -1, 1, "EXP(x * sin(y))") ) - 7.39981</f>
        <v>0.63474568766297779</v>
      </c>
      <c r="H1004" cm="1">
        <f t="array" ref="H1004" xml:space="preserve"> ( mc(1000, 3, 4, -1, 1, "EXP(x * sin(y))") ) - 7.39981</f>
        <v>-0.18536879682178142</v>
      </c>
      <c r="J1004" cm="1">
        <f t="array" ref="J1004" xml:space="preserve"> mc(100, -PI()/2,0,-1, 1, "ln(EXP(x * y))")</f>
        <v>6.5370633981452125E-2</v>
      </c>
      <c r="K1004" cm="1">
        <f t="array" ref="K1004" xml:space="preserve"> mc(500, -PI()/2,0,-1, 1, "ln(EXP(x * y))")</f>
        <v>0.13064925311753489</v>
      </c>
      <c r="L1004" cm="1">
        <f t="array" ref="L1004" xml:space="preserve"> mc(1000, -PI()/2,0,-1, 1, "ln(EXP(x * y))")</f>
        <v>3.0453454498481417E-2</v>
      </c>
      <c r="N1004" cm="1">
        <f t="array" ref="N1004" xml:space="preserve"> mc(100, -PI()/2,PI()/2, 0, 1, "sin(cos(x + y))")-1.48235</f>
        <v>8.8645708262165446E-2</v>
      </c>
      <c r="O1004" cm="1">
        <f t="array" ref="O1004" xml:space="preserve"> mc(500, -PI()/2,PI()/2, 0, 1, "sin(cos(x + y))")-1.48235</f>
        <v>2.7219860427738274E-2</v>
      </c>
      <c r="P1004" cm="1">
        <f t="array" ref="P1004" xml:space="preserve"> mc(1000, -PI()/2,PI()/2, 0, 1, "sin(cos(x + y))")-1.48235</f>
        <v>-7.1357068023030656E-2</v>
      </c>
    </row>
    <row r="1005" spans="1:16" x14ac:dyDescent="0.3">
      <c r="A1005">
        <v>975</v>
      </c>
      <c r="B1005" cm="1">
        <f t="array" ref="B1005" xml:space="preserve"> mc(100, 0, 4, 1, 2, "x^2+y^2")-92/3</f>
        <v>1.3784440354869751</v>
      </c>
      <c r="C1005" cm="1">
        <f t="array" ref="C1005" xml:space="preserve"> mc(500, 0, 4, 1, 2, "x^2+y^2")-92/3</f>
        <v>-8.0090747377710159E-3</v>
      </c>
      <c r="D1005" cm="1">
        <f t="array" ref="D1005" xml:space="preserve"> mc(1000, 0, 4, 1, 2, "x^2+y^2")-92/3</f>
        <v>0.25301401965642611</v>
      </c>
      <c r="F1005" cm="1">
        <f t="array" ref="F1005" xml:space="preserve"> ( mc(100, 3, 4, -1, 1, "EXP(x * sin(y))") ) - 7.39981</f>
        <v>0.96498773057286691</v>
      </c>
      <c r="G1005" cm="1">
        <f t="array" ref="G1005" xml:space="preserve"> ( mc(500, 3, 4, -1, 1, "EXP(x * sin(y))") ) - 7.39981</f>
        <v>-1.5193629699793654E-2</v>
      </c>
      <c r="H1005" cm="1">
        <f t="array" ref="H1005" xml:space="preserve"> ( mc(1000, 3, 4, -1, 1, "EXP(x * sin(y))") ) - 7.39981</f>
        <v>0.38626824694541906</v>
      </c>
      <c r="J1005" cm="1">
        <f t="array" ref="J1005" xml:space="preserve"> mc(100, -PI()/2,0,-1, 1, "ln(EXP(x * y))")</f>
        <v>1.1310433338544751E-2</v>
      </c>
      <c r="K1005" cm="1">
        <f t="array" ref="K1005" xml:space="preserve"> mc(500, -PI()/2,0,-1, 1, "ln(EXP(x * y))")</f>
        <v>0.11397867472553186</v>
      </c>
      <c r="L1005" cm="1">
        <f t="array" ref="L1005" xml:space="preserve"> mc(1000, -PI()/2,0,-1, 1, "ln(EXP(x * y))")</f>
        <v>-1.5384895429977102E-2</v>
      </c>
      <c r="N1005" cm="1">
        <f t="array" ref="N1005" xml:space="preserve"> mc(100, -PI()/2,PI()/2, 0, 1, "sin(cos(x + y))")-1.48235</f>
        <v>9.9760100234727034E-3</v>
      </c>
      <c r="O1005" cm="1">
        <f t="array" ref="O1005" xml:space="preserve"> mc(500, -PI()/2,PI()/2, 0, 1, "sin(cos(x + y))")-1.48235</f>
        <v>2.2244281711303993E-2</v>
      </c>
      <c r="P1005" cm="1">
        <f t="array" ref="P1005" xml:space="preserve"> mc(1000, -PI()/2,PI()/2, 0, 1, "sin(cos(x + y))")-1.48235</f>
        <v>-7.3515029066104187E-2</v>
      </c>
    </row>
    <row r="1006" spans="1:16" x14ac:dyDescent="0.3">
      <c r="A1006">
        <v>976</v>
      </c>
      <c r="B1006" cm="1">
        <f t="array" ref="B1006" xml:space="preserve"> mc(100, 0, 4, 1, 2, "x^2+y^2")-92/3</f>
        <v>6.7964552200128416</v>
      </c>
      <c r="C1006" cm="1">
        <f t="array" ref="C1006" xml:space="preserve"> mc(500, 0, 4, 1, 2, "x^2+y^2")-92/3</f>
        <v>-0.41091539524122211</v>
      </c>
      <c r="D1006" cm="1">
        <f t="array" ref="D1006" xml:space="preserve"> mc(1000, 0, 4, 1, 2, "x^2+y^2")-92/3</f>
        <v>-9.842011391858918E-2</v>
      </c>
      <c r="F1006" cm="1">
        <f t="array" ref="F1006" xml:space="preserve"> ( mc(100, 3, 4, -1, 1, "EXP(x * sin(y))") ) - 7.39981</f>
        <v>0.82962899711816362</v>
      </c>
      <c r="G1006" cm="1">
        <f t="array" ref="G1006" xml:space="preserve"> ( mc(500, 3, 4, -1, 1, "EXP(x * sin(y))") ) - 7.39981</f>
        <v>-5.5030262244006423E-2</v>
      </c>
      <c r="H1006" cm="1">
        <f t="array" ref="H1006" xml:space="preserve"> ( mc(1000, 3, 4, -1, 1, "EXP(x * sin(y))") ) - 7.39981</f>
        <v>0.23081782211947743</v>
      </c>
      <c r="J1006" cm="1">
        <f t="array" ref="J1006" xml:space="preserve"> mc(100, -PI()/2,0,-1, 1, "ln(EXP(x * y))")</f>
        <v>-5.306594902263026E-2</v>
      </c>
      <c r="K1006" cm="1">
        <f t="array" ref="K1006" xml:space="preserve"> mc(500, -PI()/2,0,-1, 1, "ln(EXP(x * y))")</f>
        <v>-1.8974139594471348E-2</v>
      </c>
      <c r="L1006" cm="1">
        <f t="array" ref="L1006" xml:space="preserve"> mc(1000, -PI()/2,0,-1, 1, "ln(EXP(x * y))")</f>
        <v>-1.8981406750897163E-2</v>
      </c>
      <c r="N1006" cm="1">
        <f t="array" ref="N1006" xml:space="preserve"> mc(100, -PI()/2,PI()/2, 0, 1, "sin(cos(x + y))")-1.48235</f>
        <v>-0.19624083005948845</v>
      </c>
      <c r="O1006" cm="1">
        <f t="array" ref="O1006" xml:space="preserve"> mc(500, -PI()/2,PI()/2, 0, 1, "sin(cos(x + y))")-1.48235</f>
        <v>5.7517650356669225E-2</v>
      </c>
      <c r="P1006" cm="1">
        <f t="array" ref="P1006" xml:space="preserve"> mc(1000, -PI()/2,PI()/2, 0, 1, "sin(cos(x + y))")-1.48235</f>
        <v>2.4564666373962929E-2</v>
      </c>
    </row>
    <row r="1007" spans="1:16" x14ac:dyDescent="0.3">
      <c r="A1007">
        <v>977</v>
      </c>
      <c r="B1007" cm="1">
        <f t="array" ref="B1007" xml:space="preserve"> mc(100, 0, 4, 1, 2, "x^2+y^2")-92/3</f>
        <v>-4.0404492504965646</v>
      </c>
      <c r="C1007" cm="1">
        <f t="array" ref="C1007" xml:space="preserve"> mc(500, 0, 4, 1, 2, "x^2+y^2")-92/3</f>
        <v>0.64004080778198613</v>
      </c>
      <c r="D1007" cm="1">
        <f t="array" ref="D1007" xml:space="preserve"> mc(1000, 0, 4, 1, 2, "x^2+y^2")-92/3</f>
        <v>0.63769255613943798</v>
      </c>
      <c r="F1007" cm="1">
        <f t="array" ref="F1007" xml:space="preserve"> ( mc(100, 3, 4, -1, 1, "EXP(x * sin(y))") ) - 7.39981</f>
        <v>0.49874298984438248</v>
      </c>
      <c r="G1007" cm="1">
        <f t="array" ref="G1007" xml:space="preserve"> ( mc(500, 3, 4, -1, 1, "EXP(x * sin(y))") ) - 7.39981</f>
        <v>0.19205333207277775</v>
      </c>
      <c r="H1007" cm="1">
        <f t="array" ref="H1007" xml:space="preserve"> ( mc(1000, 3, 4, -1, 1, "EXP(x * sin(y))") ) - 7.39981</f>
        <v>-0.30421890376841443</v>
      </c>
      <c r="J1007" cm="1">
        <f t="array" ref="J1007" xml:space="preserve"> mc(100, -PI()/2,0,-1, 1, "ln(EXP(x * y))")</f>
        <v>0.14144864463284054</v>
      </c>
      <c r="K1007" cm="1">
        <f t="array" ref="K1007" xml:space="preserve"> mc(500, -PI()/2,0,-1, 1, "ln(EXP(x * y))")</f>
        <v>-0.13472931647690031</v>
      </c>
      <c r="L1007" cm="1">
        <f t="array" ref="L1007" xml:space="preserve"> mc(1000, -PI()/2,0,-1, 1, "ln(EXP(x * y))")</f>
        <v>-5.6447392720500096E-2</v>
      </c>
      <c r="N1007" cm="1">
        <f t="array" ref="N1007" xml:space="preserve"> mc(100, -PI()/2,PI()/2, 0, 1, "sin(cos(x + y))")-1.48235</f>
        <v>-3.4195331652147054E-2</v>
      </c>
      <c r="O1007" cm="1">
        <f t="array" ref="O1007" xml:space="preserve"> mc(500, -PI()/2,PI()/2, 0, 1, "sin(cos(x + y))")-1.48235</f>
        <v>-8.1385695236404265E-2</v>
      </c>
      <c r="P1007" cm="1">
        <f t="array" ref="P1007" xml:space="preserve"> mc(1000, -PI()/2,PI()/2, 0, 1, "sin(cos(x + y))")-1.48235</f>
        <v>-5.0765415133680047E-3</v>
      </c>
    </row>
    <row r="1008" spans="1:16" x14ac:dyDescent="0.3">
      <c r="A1008">
        <v>978</v>
      </c>
      <c r="B1008" cm="1">
        <f t="array" ref="B1008" xml:space="preserve"> mc(100, 0, 4, 1, 2, "x^2+y^2")-92/3</f>
        <v>-1.0680266751584782</v>
      </c>
      <c r="C1008" cm="1">
        <f t="array" ref="C1008" xml:space="preserve"> mc(500, 0, 4, 1, 2, "x^2+y^2")-92/3</f>
        <v>1.3457394922271781</v>
      </c>
      <c r="D1008" cm="1">
        <f t="array" ref="D1008" xml:space="preserve"> mc(1000, 0, 4, 1, 2, "x^2+y^2")-92/3</f>
        <v>0.465588394353599</v>
      </c>
      <c r="F1008" cm="1">
        <f t="array" ref="F1008" xml:space="preserve"> ( mc(100, 3, 4, -1, 1, "EXP(x * sin(y))") ) - 7.39981</f>
        <v>1.0759497075545035</v>
      </c>
      <c r="G1008" cm="1">
        <f t="array" ref="G1008" xml:space="preserve"> ( mc(500, 3, 4, -1, 1, "EXP(x * sin(y))") ) - 7.39981</f>
        <v>-0.32069990226110701</v>
      </c>
      <c r="H1008" cm="1">
        <f t="array" ref="H1008" xml:space="preserve"> ( mc(1000, 3, 4, -1, 1, "EXP(x * sin(y))") ) - 7.39981</f>
        <v>-5.7475498869085762E-2</v>
      </c>
      <c r="J1008" cm="1">
        <f t="array" ref="J1008" xml:space="preserve"> mc(100, -PI()/2,0,-1, 1, "ln(EXP(x * y))")</f>
        <v>-7.3676459752270006E-3</v>
      </c>
      <c r="K1008" cm="1">
        <f t="array" ref="K1008" xml:space="preserve"> mc(500, -PI()/2,0,-1, 1, "ln(EXP(x * y))")</f>
        <v>7.7727172552646384E-2</v>
      </c>
      <c r="L1008" cm="1">
        <f t="array" ref="L1008" xml:space="preserve"> mc(1000, -PI()/2,0,-1, 1, "ln(EXP(x * y))")</f>
        <v>-6.2531975857718816E-2</v>
      </c>
      <c r="N1008" cm="1">
        <f t="array" ref="N1008" xml:space="preserve"> mc(100, -PI()/2,PI()/2, 0, 1, "sin(cos(x + y))")-1.48235</f>
        <v>0.20486900653503981</v>
      </c>
      <c r="O1008" cm="1">
        <f t="array" ref="O1008" xml:space="preserve"> mc(500, -PI()/2,PI()/2, 0, 1, "sin(cos(x + y))")-1.48235</f>
        <v>-6.9141977032761037E-2</v>
      </c>
      <c r="P1008" cm="1">
        <f t="array" ref="P1008" xml:space="preserve"> mc(1000, -PI()/2,PI()/2, 0, 1, "sin(cos(x + y))")-1.48235</f>
        <v>-2.5758811325008013E-2</v>
      </c>
    </row>
    <row r="1009" spans="1:16" x14ac:dyDescent="0.3">
      <c r="A1009">
        <v>979</v>
      </c>
      <c r="B1009" cm="1">
        <f t="array" ref="B1009" xml:space="preserve"> mc(100, 0, 4, 1, 2, "x^2+y^2")-92/3</f>
        <v>-0.93706432377065241</v>
      </c>
      <c r="C1009" cm="1">
        <f t="array" ref="C1009" xml:space="preserve"> mc(500, 0, 4, 1, 2, "x^2+y^2")-92/3</f>
        <v>0.38954849468068531</v>
      </c>
      <c r="D1009" cm="1">
        <f t="array" ref="D1009" xml:space="preserve"> mc(1000, 0, 4, 1, 2, "x^2+y^2")-92/3</f>
        <v>-0.13330462683168776</v>
      </c>
      <c r="F1009" cm="1">
        <f t="array" ref="F1009" xml:space="preserve"> ( mc(100, 3, 4, -1, 1, "EXP(x * sin(y))") ) - 7.39981</f>
        <v>-5.8487050743609714E-2</v>
      </c>
      <c r="G1009" cm="1">
        <f t="array" ref="G1009" xml:space="preserve"> ( mc(500, 3, 4, -1, 1, "EXP(x * sin(y))") ) - 7.39981</f>
        <v>-0.41068654067756505</v>
      </c>
      <c r="H1009" cm="1">
        <f t="array" ref="H1009" xml:space="preserve"> ( mc(1000, 3, 4, -1, 1, "EXP(x * sin(y))") ) - 7.39981</f>
        <v>9.2701360039726843E-2</v>
      </c>
      <c r="J1009" cm="1">
        <f t="array" ref="J1009" xml:space="preserve"> mc(100, -PI()/2,0,-1, 1, "ln(EXP(x * y))")</f>
        <v>-0.16151931000342612</v>
      </c>
      <c r="K1009" cm="1">
        <f t="array" ref="K1009" xml:space="preserve"> mc(500, -PI()/2,0,-1, 1, "ln(EXP(x * y))")</f>
        <v>-5.2166447019200715E-2</v>
      </c>
      <c r="L1009" cm="1">
        <f t="array" ref="L1009" xml:space="preserve"> mc(1000, -PI()/2,0,-1, 1, "ln(EXP(x * y))")</f>
        <v>-6.5856423495637556E-2</v>
      </c>
      <c r="N1009" cm="1">
        <f t="array" ref="N1009" xml:space="preserve"> mc(100, -PI()/2,PI()/2, 0, 1, "sin(cos(x + y))")-1.48235</f>
        <v>-6.7514729152365227E-2</v>
      </c>
      <c r="O1009" cm="1">
        <f t="array" ref="O1009" xml:space="preserve"> mc(500, -PI()/2,PI()/2, 0, 1, "sin(cos(x + y))")-1.48235</f>
        <v>-6.3171093231243924E-2</v>
      </c>
      <c r="P1009" cm="1">
        <f t="array" ref="P1009" xml:space="preserve"> mc(1000, -PI()/2,PI()/2, 0, 1, "sin(cos(x + y))")-1.48235</f>
        <v>-4.1051640225916897E-2</v>
      </c>
    </row>
    <row r="1010" spans="1:16" x14ac:dyDescent="0.3">
      <c r="A1010">
        <v>980</v>
      </c>
      <c r="B1010" cm="1">
        <f t="array" ref="B1010" xml:space="preserve"> mc(100, 0, 4, 1, 2, "x^2+y^2")-92/3</f>
        <v>-0.53101519944720721</v>
      </c>
      <c r="C1010" cm="1">
        <f t="array" ref="C1010" xml:space="preserve"> mc(500, 0, 4, 1, 2, "x^2+y^2")-92/3</f>
        <v>7.8383064791005097E-2</v>
      </c>
      <c r="D1010" cm="1">
        <f t="array" ref="D1010" xml:space="preserve"> mc(1000, 0, 4, 1, 2, "x^2+y^2")-92/3</f>
        <v>1.3290743792726474</v>
      </c>
      <c r="F1010" cm="1">
        <f t="array" ref="F1010" xml:space="preserve"> ( mc(100, 3, 4, -1, 1, "EXP(x * sin(y))") ) - 7.39981</f>
        <v>1.7649010687088822</v>
      </c>
      <c r="G1010" cm="1">
        <f t="array" ref="G1010" xml:space="preserve"> ( mc(500, 3, 4, -1, 1, "EXP(x * sin(y))") ) - 7.39981</f>
        <v>3.6613162473447147E-2</v>
      </c>
      <c r="H1010" cm="1">
        <f t="array" ref="H1010" xml:space="preserve"> ( mc(1000, 3, 4, -1, 1, "EXP(x * sin(y))") ) - 7.39981</f>
        <v>4.6041783675915049E-2</v>
      </c>
      <c r="J1010" cm="1">
        <f t="array" ref="J1010" xml:space="preserve"> mc(100, -PI()/2,0,-1, 1, "ln(EXP(x * y))")</f>
        <v>-3.037706476496697E-2</v>
      </c>
      <c r="K1010" cm="1">
        <f t="array" ref="K1010" xml:space="preserve"> mc(500, -PI()/2,0,-1, 1, "ln(EXP(x * y))")</f>
        <v>4.4817591034442356E-2</v>
      </c>
      <c r="L1010" cm="1">
        <f t="array" ref="L1010" xml:space="preserve"> mc(1000, -PI()/2,0,-1, 1, "ln(EXP(x * y))")</f>
        <v>1.4572265000925198E-2</v>
      </c>
      <c r="N1010" cm="1">
        <f t="array" ref="N1010" xml:space="preserve"> mc(100, -PI()/2,PI()/2, 0, 1, "sin(cos(x + y))")-1.48235</f>
        <v>5.8019566952285828E-2</v>
      </c>
      <c r="O1010" cm="1">
        <f t="array" ref="O1010" xml:space="preserve"> mc(500, -PI()/2,PI()/2, 0, 1, "sin(cos(x + y))")-1.48235</f>
        <v>-6.0515778158944045E-2</v>
      </c>
      <c r="P1010" cm="1">
        <f t="array" ref="P1010" xml:space="preserve"> mc(1000, -PI()/2,PI()/2, 0, 1, "sin(cos(x + y))")-1.48235</f>
        <v>7.0129511469140926E-2</v>
      </c>
    </row>
    <row r="1011" spans="1:16" x14ac:dyDescent="0.3">
      <c r="A1011">
        <v>981</v>
      </c>
      <c r="B1011" cm="1">
        <f t="array" ref="B1011" xml:space="preserve"> mc(100, 0, 4, 1, 2, "x^2+y^2")-92/3</f>
        <v>0.72439429421214641</v>
      </c>
      <c r="C1011" cm="1">
        <f t="array" ref="C1011" xml:space="preserve"> mc(500, 0, 4, 1, 2, "x^2+y^2")-92/3</f>
        <v>0.92172897751418148</v>
      </c>
      <c r="D1011" cm="1">
        <f t="array" ref="D1011" xml:space="preserve"> mc(1000, 0, 4, 1, 2, "x^2+y^2")-92/3</f>
        <v>-0.25882574610828613</v>
      </c>
      <c r="F1011" cm="1">
        <f t="array" ref="F1011" xml:space="preserve"> ( mc(100, 3, 4, -1, 1, "EXP(x * sin(y))") ) - 7.39981</f>
        <v>0.79165230929536534</v>
      </c>
      <c r="G1011" cm="1">
        <f t="array" ref="G1011" xml:space="preserve"> ( mc(500, 3, 4, -1, 1, "EXP(x * sin(y))") ) - 7.39981</f>
        <v>-0.3819180816670853</v>
      </c>
      <c r="H1011" cm="1">
        <f t="array" ref="H1011" xml:space="preserve"> ( mc(1000, 3, 4, -1, 1, "EXP(x * sin(y))") ) - 7.39981</f>
        <v>7.9259014774765824E-2</v>
      </c>
      <c r="J1011" cm="1">
        <f t="array" ref="J1011" xml:space="preserve"> mc(100, -PI()/2,0,-1, 1, "ln(EXP(x * y))")</f>
        <v>2.0835509212633409E-2</v>
      </c>
      <c r="K1011" cm="1">
        <f t="array" ref="K1011" xml:space="preserve"> mc(500, -PI()/2,0,-1, 1, "ln(EXP(x * y))")</f>
        <v>-4.0242210097702236E-2</v>
      </c>
      <c r="L1011" cm="1">
        <f t="array" ref="L1011" xml:space="preserve"> mc(1000, -PI()/2,0,-1, 1, "ln(EXP(x * y))")</f>
        <v>7.9199890813421006E-2</v>
      </c>
      <c r="N1011" cm="1">
        <f t="array" ref="N1011" xml:space="preserve"> mc(100, -PI()/2,PI()/2, 0, 1, "sin(cos(x + y))")-1.48235</f>
        <v>7.3481990824999954E-2</v>
      </c>
      <c r="O1011" cm="1">
        <f t="array" ref="O1011" xml:space="preserve"> mc(500, -PI()/2,PI()/2, 0, 1, "sin(cos(x + y))")-1.48235</f>
        <v>-2.8116426937934369E-2</v>
      </c>
      <c r="P1011" cm="1">
        <f t="array" ref="P1011" xml:space="preserve"> mc(1000, -PI()/2,PI()/2, 0, 1, "sin(cos(x + y))")-1.48235</f>
        <v>-9.2782757476388422E-3</v>
      </c>
    </row>
    <row r="1012" spans="1:16" x14ac:dyDescent="0.3">
      <c r="A1012">
        <v>982</v>
      </c>
      <c r="B1012" cm="1">
        <f t="array" ref="B1012" xml:space="preserve"> mc(100, 0, 4, 1, 2, "x^2+y^2")-92/3</f>
        <v>3.385240605377053</v>
      </c>
      <c r="C1012" cm="1">
        <f t="array" ref="C1012" xml:space="preserve"> mc(500, 0, 4, 1, 2, "x^2+y^2")-92/3</f>
        <v>0.13286337545674343</v>
      </c>
      <c r="D1012" cm="1">
        <f t="array" ref="D1012" xml:space="preserve"> mc(1000, 0, 4, 1, 2, "x^2+y^2")-92/3</f>
        <v>-1.0870846225045732</v>
      </c>
      <c r="F1012" cm="1">
        <f t="array" ref="F1012" xml:space="preserve"> ( mc(100, 3, 4, -1, 1, "EXP(x * sin(y))") ) - 7.39981</f>
        <v>2.1224734867145045E-2</v>
      </c>
      <c r="G1012" cm="1">
        <f t="array" ref="G1012" xml:space="preserve"> ( mc(500, 3, 4, -1, 1, "EXP(x * sin(y))") ) - 7.39981</f>
        <v>-0.21126371685233725</v>
      </c>
      <c r="H1012" cm="1">
        <f t="array" ref="H1012" xml:space="preserve"> ( mc(1000, 3, 4, -1, 1, "EXP(x * sin(y))") ) - 7.39981</f>
        <v>-0.41506632771584062</v>
      </c>
      <c r="J1012" cm="1">
        <f t="array" ref="J1012" xml:space="preserve"> mc(100, -PI()/2,0,-1, 1, "ln(EXP(x * y))")</f>
        <v>1.822915594387492E-2</v>
      </c>
      <c r="K1012" cm="1">
        <f t="array" ref="K1012" xml:space="preserve"> mc(500, -PI()/2,0,-1, 1, "ln(EXP(x * y))")</f>
        <v>0.14862437955635163</v>
      </c>
      <c r="L1012" cm="1">
        <f t="array" ref="L1012" xml:space="preserve"> mc(1000, -PI()/2,0,-1, 1, "ln(EXP(x * y))")</f>
        <v>3.7585987580953897E-2</v>
      </c>
      <c r="N1012" cm="1">
        <f t="array" ref="N1012" xml:space="preserve"> mc(100, -PI()/2,PI()/2, 0, 1, "sin(cos(x + y))")-1.48235</f>
        <v>7.9304550516624994E-2</v>
      </c>
      <c r="O1012" cm="1">
        <f t="array" ref="O1012" xml:space="preserve"> mc(500, -PI()/2,PI()/2, 0, 1, "sin(cos(x + y))")-1.48235</f>
        <v>-7.1738379656618889E-2</v>
      </c>
      <c r="P1012" cm="1">
        <f t="array" ref="P1012" xml:space="preserve"> mc(1000, -PI()/2,PI()/2, 0, 1, "sin(cos(x + y))")-1.48235</f>
        <v>-2.8226526461773149E-2</v>
      </c>
    </row>
    <row r="1013" spans="1:16" x14ac:dyDescent="0.3">
      <c r="A1013">
        <v>983</v>
      </c>
      <c r="B1013" cm="1">
        <f t="array" ref="B1013" xml:space="preserve"> mc(100, 0, 4, 1, 2, "x^2+y^2")-92/3</f>
        <v>-0.17152827567309359</v>
      </c>
      <c r="C1013" cm="1">
        <f t="array" ref="C1013" xml:space="preserve"> mc(500, 0, 4, 1, 2, "x^2+y^2")-92/3</f>
        <v>-0.65154617186787434</v>
      </c>
      <c r="D1013" cm="1">
        <f t="array" ref="D1013" xml:space="preserve"> mc(1000, 0, 4, 1, 2, "x^2+y^2")-92/3</f>
        <v>1.4390856762439306</v>
      </c>
      <c r="F1013" cm="1">
        <f t="array" ref="F1013" xml:space="preserve"> ( mc(100, 3, 4, -1, 1, "EXP(x * sin(y))") ) - 7.39981</f>
        <v>0.16608465346671242</v>
      </c>
      <c r="G1013" cm="1">
        <f t="array" ref="G1013" xml:space="preserve"> ( mc(500, 3, 4, -1, 1, "EXP(x * sin(y))") ) - 7.39981</f>
        <v>0.38818948024168787</v>
      </c>
      <c r="H1013" cm="1">
        <f t="array" ref="H1013" xml:space="preserve"> ( mc(1000, 3, 4, -1, 1, "EXP(x * sin(y))") ) - 7.39981</f>
        <v>-2.911076698294135E-2</v>
      </c>
      <c r="J1013" cm="1">
        <f t="array" ref="J1013" xml:space="preserve"> mc(100, -PI()/2,0,-1, 1, "ln(EXP(x * y))")</f>
        <v>0.28916722283758761</v>
      </c>
      <c r="K1013" cm="1">
        <f t="array" ref="K1013" xml:space="preserve"> mc(500, -PI()/2,0,-1, 1, "ln(EXP(x * y))")</f>
        <v>1.2718330518747458E-2</v>
      </c>
      <c r="L1013" cm="1">
        <f t="array" ref="L1013" xml:space="preserve"> mc(1000, -PI()/2,0,-1, 1, "ln(EXP(x * y))")</f>
        <v>5.930560116848884E-2</v>
      </c>
      <c r="N1013" cm="1">
        <f t="array" ref="N1013" xml:space="preserve"> mc(100, -PI()/2,PI()/2, 0, 1, "sin(cos(x + y))")-1.48235</f>
        <v>1.6789277208241415E-2</v>
      </c>
      <c r="O1013" cm="1">
        <f t="array" ref="O1013" xml:space="preserve"> mc(500, -PI()/2,PI()/2, 0, 1, "sin(cos(x + y))")-1.48235</f>
        <v>3.6048685875252007E-2</v>
      </c>
      <c r="P1013" cm="1">
        <f t="array" ref="P1013" xml:space="preserve"> mc(1000, -PI()/2,PI()/2, 0, 1, "sin(cos(x + y))")-1.48235</f>
        <v>5.0013082679501775E-2</v>
      </c>
    </row>
    <row r="1014" spans="1:16" x14ac:dyDescent="0.3">
      <c r="A1014">
        <v>984</v>
      </c>
      <c r="B1014" cm="1">
        <f t="array" ref="B1014" xml:space="preserve"> mc(100, 0, 4, 1, 2, "x^2+y^2")-92/3</f>
        <v>-1.2463187802524338</v>
      </c>
      <c r="C1014" cm="1">
        <f t="array" ref="C1014" xml:space="preserve"> mc(500, 0, 4, 1, 2, "x^2+y^2")-92/3</f>
        <v>0.75026667113862189</v>
      </c>
      <c r="D1014" cm="1">
        <f t="array" ref="D1014" xml:space="preserve"> mc(1000, 0, 4, 1, 2, "x^2+y^2")-92/3</f>
        <v>0.26617501532246024</v>
      </c>
      <c r="F1014" cm="1">
        <f t="array" ref="F1014" xml:space="preserve"> ( mc(100, 3, 4, -1, 1, "EXP(x * sin(y))") ) - 7.39981</f>
        <v>-0.5396247427332943</v>
      </c>
      <c r="G1014" cm="1">
        <f t="array" ref="G1014" xml:space="preserve"> ( mc(500, 3, 4, -1, 1, "EXP(x * sin(y))") ) - 7.39981</f>
        <v>-3.4491725707651355E-2</v>
      </c>
      <c r="H1014" cm="1">
        <f t="array" ref="H1014" xml:space="preserve"> ( mc(1000, 3, 4, -1, 1, "EXP(x * sin(y))") ) - 7.39981</f>
        <v>-0.43745964564579509</v>
      </c>
      <c r="J1014" cm="1">
        <f t="array" ref="J1014" xml:space="preserve"> mc(100, -PI()/2,0,-1, 1, "ln(EXP(x * y))")</f>
        <v>6.3031085483753095E-3</v>
      </c>
      <c r="K1014" cm="1">
        <f t="array" ref="K1014" xml:space="preserve"> mc(500, -PI()/2,0,-1, 1, "ln(EXP(x * y))")</f>
        <v>-0.15179827632540199</v>
      </c>
      <c r="L1014" cm="1">
        <f t="array" ref="L1014" xml:space="preserve"> mc(1000, -PI()/2,0,-1, 1, "ln(EXP(x * y))")</f>
        <v>6.3088147127274815E-3</v>
      </c>
      <c r="N1014" cm="1">
        <f t="array" ref="N1014" xml:space="preserve"> mc(100, -PI()/2,PI()/2, 0, 1, "sin(cos(x + y))")-1.48235</f>
        <v>-6.7530345883655585E-2</v>
      </c>
      <c r="O1014" cm="1">
        <f t="array" ref="O1014" xml:space="preserve"> mc(500, -PI()/2,PI()/2, 0, 1, "sin(cos(x + y))")-1.48235</f>
        <v>6.359821404919086E-2</v>
      </c>
      <c r="P1014" cm="1">
        <f t="array" ref="P1014" xml:space="preserve"> mc(1000, -PI()/2,PI()/2, 0, 1, "sin(cos(x + y))")-1.48235</f>
        <v>-3.8570559538436244E-2</v>
      </c>
    </row>
    <row r="1015" spans="1:16" x14ac:dyDescent="0.3">
      <c r="A1015">
        <v>985</v>
      </c>
      <c r="B1015" cm="1">
        <f t="array" ref="B1015" xml:space="preserve"> mc(100, 0, 4, 1, 2, "x^2+y^2")-92/3</f>
        <v>0.3070159880529495</v>
      </c>
      <c r="C1015" cm="1">
        <f t="array" ref="C1015" xml:space="preserve"> mc(500, 0, 4, 1, 2, "x^2+y^2")-92/3</f>
        <v>1.3659577718245792</v>
      </c>
      <c r="D1015" cm="1">
        <f t="array" ref="D1015" xml:space="preserve"> mc(1000, 0, 4, 1, 2, "x^2+y^2")-92/3</f>
        <v>0.25292134077069761</v>
      </c>
      <c r="F1015" cm="1">
        <f t="array" ref="F1015" xml:space="preserve"> ( mc(100, 3, 4, -1, 1, "EXP(x * sin(y))") ) - 7.39981</f>
        <v>9.331193167764873E-2</v>
      </c>
      <c r="G1015" cm="1">
        <f t="array" ref="G1015" xml:space="preserve"> ( mc(500, 3, 4, -1, 1, "EXP(x * sin(y))") ) - 7.39981</f>
        <v>-0.5768788292284972</v>
      </c>
      <c r="H1015" cm="1">
        <f t="array" ref="H1015" xml:space="preserve"> ( mc(1000, 3, 4, -1, 1, "EXP(x * sin(y))") ) - 7.39981</f>
        <v>-7.2329147763826818E-2</v>
      </c>
      <c r="J1015" cm="1">
        <f t="array" ref="J1015" xml:space="preserve"> mc(100, -PI()/2,0,-1, 1, "ln(EXP(x * y))")</f>
        <v>0.10661916098652677</v>
      </c>
      <c r="K1015" cm="1">
        <f t="array" ref="K1015" xml:space="preserve"> mc(500, -PI()/2,0,-1, 1, "ln(EXP(x * y))")</f>
        <v>4.2972588310806276E-2</v>
      </c>
      <c r="L1015" cm="1">
        <f t="array" ref="L1015" xml:space="preserve"> mc(1000, -PI()/2,0,-1, 1, "ln(EXP(x * y))")</f>
        <v>3.5737720657881239E-3</v>
      </c>
      <c r="N1015" cm="1">
        <f t="array" ref="N1015" xml:space="preserve"> mc(100, -PI()/2,PI()/2, 0, 1, "sin(cos(x + y))")-1.48235</f>
        <v>3.7212500552738836E-2</v>
      </c>
      <c r="O1015" cm="1">
        <f t="array" ref="O1015" xml:space="preserve"> mc(500, -PI()/2,PI()/2, 0, 1, "sin(cos(x + y))")-1.48235</f>
        <v>-6.8397936364372969E-2</v>
      </c>
      <c r="P1015" cm="1">
        <f t="array" ref="P1015" xml:space="preserve"> mc(1000, -PI()/2,PI()/2, 0, 1, "sin(cos(x + y))")-1.48235</f>
        <v>5.2303690852273599E-2</v>
      </c>
    </row>
    <row r="1016" spans="1:16" x14ac:dyDescent="0.3">
      <c r="A1016">
        <v>986</v>
      </c>
      <c r="B1016" cm="1">
        <f t="array" ref="B1016" xml:space="preserve"> mc(100, 0, 4, 1, 2, "x^2+y^2")-92/3</f>
        <v>-2.3991647825414688</v>
      </c>
      <c r="C1016" cm="1">
        <f t="array" ref="C1016" xml:space="preserve"> mc(500, 0, 4, 1, 2, "x^2+y^2")-92/3</f>
        <v>0.79595578821558988</v>
      </c>
      <c r="D1016" cm="1">
        <f t="array" ref="D1016" xml:space="preserve"> mc(1000, 0, 4, 1, 2, "x^2+y^2")-92/3</f>
        <v>4.8183125640978375E-2</v>
      </c>
      <c r="F1016" cm="1">
        <f t="array" ref="F1016" xml:space="preserve"> ( mc(100, 3, 4, -1, 1, "EXP(x * sin(y))") ) - 7.39981</f>
        <v>0.12888672474787466</v>
      </c>
      <c r="G1016" cm="1">
        <f t="array" ref="G1016" xml:space="preserve"> ( mc(500, 3, 4, -1, 1, "EXP(x * sin(y))") ) - 7.39981</f>
        <v>-1.4642446204851112E-3</v>
      </c>
      <c r="H1016" cm="1">
        <f t="array" ref="H1016" xml:space="preserve"> ( mc(1000, 3, 4, -1, 1, "EXP(x * sin(y))") ) - 7.39981</f>
        <v>8.3005372814119127E-2</v>
      </c>
      <c r="J1016" cm="1">
        <f t="array" ref="J1016" xml:space="preserve"> mc(100, -PI()/2,0,-1, 1, "ln(EXP(x * y))")</f>
        <v>0.14280112648810422</v>
      </c>
      <c r="K1016" cm="1">
        <f t="array" ref="K1016" xml:space="preserve"> mc(500, -PI()/2,0,-1, 1, "ln(EXP(x * y))")</f>
        <v>-5.2026491357125608E-2</v>
      </c>
      <c r="L1016" cm="1">
        <f t="array" ref="L1016" xml:space="preserve"> mc(1000, -PI()/2,0,-1, 1, "ln(EXP(x * y))")</f>
        <v>3.7204799692845875E-2</v>
      </c>
      <c r="N1016" cm="1">
        <f t="array" ref="N1016" xml:space="preserve"> mc(100, -PI()/2,PI()/2, 0, 1, "sin(cos(x + y))")-1.48235</f>
        <v>7.0185134912974734E-2</v>
      </c>
      <c r="O1016" cm="1">
        <f t="array" ref="O1016" xml:space="preserve"> mc(500, -PI()/2,PI()/2, 0, 1, "sin(cos(x + y))")-1.48235</f>
        <v>-2.7867841973550522E-2</v>
      </c>
      <c r="P1016" cm="1">
        <f t="array" ref="P1016" xml:space="preserve"> mc(1000, -PI()/2,PI()/2, 0, 1, "sin(cos(x + y))")-1.48235</f>
        <v>-2.1655169512808436E-2</v>
      </c>
    </row>
    <row r="1017" spans="1:16" x14ac:dyDescent="0.3">
      <c r="A1017">
        <v>987</v>
      </c>
      <c r="B1017" cm="1">
        <f t="array" ref="B1017" xml:space="preserve"> mc(100, 0, 4, 1, 2, "x^2+y^2")-92/3</f>
        <v>2.7163591266642584E-2</v>
      </c>
      <c r="C1017" cm="1">
        <f t="array" ref="C1017" xml:space="preserve"> mc(500, 0, 4, 1, 2, "x^2+y^2")-92/3</f>
        <v>0.30158911129693422</v>
      </c>
      <c r="D1017" cm="1">
        <f t="array" ref="D1017" xml:space="preserve"> mc(1000, 0, 4, 1, 2, "x^2+y^2")-92/3</f>
        <v>0.39875052811384393</v>
      </c>
      <c r="F1017" cm="1">
        <f t="array" ref="F1017" xml:space="preserve"> ( mc(100, 3, 4, -1, 1, "EXP(x * sin(y))") ) - 7.39981</f>
        <v>0.44407526290458499</v>
      </c>
      <c r="G1017" cm="1">
        <f t="array" ref="G1017" xml:space="preserve"> ( mc(500, 3, 4, -1, 1, "EXP(x * sin(y))") ) - 7.39981</f>
        <v>-0.41396932220630944</v>
      </c>
      <c r="H1017" cm="1">
        <f t="array" ref="H1017" xml:space="preserve"> ( mc(1000, 3, 4, -1, 1, "EXP(x * sin(y))") ) - 7.39981</f>
        <v>6.568233055420869E-2</v>
      </c>
      <c r="J1017" cm="1">
        <f t="array" ref="J1017" xml:space="preserve"> mc(100, -PI()/2,0,-1, 1, "ln(EXP(x * y))")</f>
        <v>0.26938386789098023</v>
      </c>
      <c r="K1017" cm="1">
        <f t="array" ref="K1017" xml:space="preserve"> mc(500, -PI()/2,0,-1, 1, "ln(EXP(x * y))")</f>
        <v>3.4516073500241475E-2</v>
      </c>
      <c r="L1017" cm="1">
        <f t="array" ref="L1017" xml:space="preserve"> mc(1000, -PI()/2,0,-1, 1, "ln(EXP(x * y))")</f>
        <v>5.1616550316122958E-2</v>
      </c>
      <c r="N1017" cm="1">
        <f t="array" ref="N1017" xml:space="preserve"> mc(100, -PI()/2,PI()/2, 0, 1, "sin(cos(x + y))")-1.48235</f>
        <v>-4.4859101549076463E-2</v>
      </c>
      <c r="O1017" cm="1">
        <f t="array" ref="O1017" xml:space="preserve"> mc(500, -PI()/2,PI()/2, 0, 1, "sin(cos(x + y))")-1.48235</f>
        <v>2.083210751717246E-2</v>
      </c>
      <c r="P1017" cm="1">
        <f t="array" ref="P1017" xml:space="preserve"> mc(1000, -PI()/2,PI()/2, 0, 1, "sin(cos(x + y))")-1.48235</f>
        <v>3.0582102782060749E-2</v>
      </c>
    </row>
    <row r="1018" spans="1:16" x14ac:dyDescent="0.3">
      <c r="A1018">
        <v>988</v>
      </c>
      <c r="B1018" cm="1">
        <f t="array" ref="B1018" xml:space="preserve"> mc(100, 0, 4, 1, 2, "x^2+y^2")-92/3</f>
        <v>0.64265935510119832</v>
      </c>
      <c r="C1018" cm="1">
        <f t="array" ref="C1018" xml:space="preserve"> mc(500, 0, 4, 1, 2, "x^2+y^2")-92/3</f>
        <v>0.68336649153540208</v>
      </c>
      <c r="D1018" cm="1">
        <f t="array" ref="D1018" xml:space="preserve"> mc(1000, 0, 4, 1, 2, "x^2+y^2")-92/3</f>
        <v>0.21885202467744946</v>
      </c>
      <c r="F1018" cm="1">
        <f t="array" ref="F1018" xml:space="preserve"> ( mc(100, 3, 4, -1, 1, "EXP(x * sin(y))") ) - 7.39981</f>
        <v>-1.1441668027304255</v>
      </c>
      <c r="G1018" cm="1">
        <f t="array" ref="G1018" xml:space="preserve"> ( mc(500, 3, 4, -1, 1, "EXP(x * sin(y))") ) - 7.39981</f>
        <v>-4.5741113038118897E-2</v>
      </c>
      <c r="H1018" cm="1">
        <f t="array" ref="H1018" xml:space="preserve"> ( mc(1000, 3, 4, -1, 1, "EXP(x * sin(y))") ) - 7.39981</f>
        <v>0.29039036270299867</v>
      </c>
      <c r="J1018" cm="1">
        <f t="array" ref="J1018" xml:space="preserve"> mc(100, -PI()/2,0,-1, 1, "ln(EXP(x * y))")</f>
        <v>2.766485352864749E-2</v>
      </c>
      <c r="K1018" cm="1">
        <f t="array" ref="K1018" xml:space="preserve"> mc(500, -PI()/2,0,-1, 1, "ln(EXP(x * y))")</f>
        <v>3.2214589591142068E-2</v>
      </c>
      <c r="L1018" cm="1">
        <f t="array" ref="L1018" xml:space="preserve"> mc(1000, -PI()/2,0,-1, 1, "ln(EXP(x * y))")</f>
        <v>-2.4553173735971611E-2</v>
      </c>
      <c r="N1018" cm="1">
        <f t="array" ref="N1018" xml:space="preserve"> mc(100, -PI()/2,PI()/2, 0, 1, "sin(cos(x + y))")-1.48235</f>
        <v>-4.3960676785299357E-2</v>
      </c>
      <c r="O1018" cm="1">
        <f t="array" ref="O1018" xml:space="preserve"> mc(500, -PI()/2,PI()/2, 0, 1, "sin(cos(x + y))")-1.48235</f>
        <v>-7.4118494250030142E-2</v>
      </c>
      <c r="P1018" cm="1">
        <f t="array" ref="P1018" xml:space="preserve"> mc(1000, -PI()/2,PI()/2, 0, 1, "sin(cos(x + y))")-1.48235</f>
        <v>-3.6267151400411812E-2</v>
      </c>
    </row>
    <row r="1019" spans="1:16" x14ac:dyDescent="0.3">
      <c r="A1019">
        <v>989</v>
      </c>
      <c r="B1019" cm="1">
        <f t="array" ref="B1019" xml:space="preserve"> mc(100, 0, 4, 1, 2, "x^2+y^2")-92/3</f>
        <v>3.8872046940280818</v>
      </c>
      <c r="C1019" cm="1">
        <f t="array" ref="C1019" xml:space="preserve"> mc(500, 0, 4, 1, 2, "x^2+y^2")-92/3</f>
        <v>-0.47993802112161177</v>
      </c>
      <c r="D1019" cm="1">
        <f t="array" ref="D1019" xml:space="preserve"> mc(1000, 0, 4, 1, 2, "x^2+y^2")-92/3</f>
        <v>0.17700456481009041</v>
      </c>
      <c r="F1019" cm="1">
        <f t="array" ref="F1019" xml:space="preserve"> ( mc(100, 3, 4, -1, 1, "EXP(x * sin(y))") ) - 7.39981</f>
        <v>-1.2540239251102516</v>
      </c>
      <c r="G1019" cm="1">
        <f t="array" ref="G1019" xml:space="preserve"> ( mc(500, 3, 4, -1, 1, "EXP(x * sin(y))") ) - 7.39981</f>
        <v>-0.20439882757980765</v>
      </c>
      <c r="H1019" cm="1">
        <f t="array" ref="H1019" xml:space="preserve"> ( mc(1000, 3, 4, -1, 1, "EXP(x * sin(y))") ) - 7.39981</f>
        <v>-0.32175023215605592</v>
      </c>
      <c r="J1019" cm="1">
        <f t="array" ref="J1019" xml:space="preserve"> mc(100, -PI()/2,0,-1, 1, "ln(EXP(x * y))")</f>
        <v>0.12319325882617368</v>
      </c>
      <c r="K1019" cm="1">
        <f t="array" ref="K1019" xml:space="preserve"> mc(500, -PI()/2,0,-1, 1, "ln(EXP(x * y))")</f>
        <v>3.9191591799404284E-2</v>
      </c>
      <c r="L1019" cm="1">
        <f t="array" ref="L1019" xml:space="preserve"> mc(1000, -PI()/2,0,-1, 1, "ln(EXP(x * y))")</f>
        <v>6.6364040626693431E-3</v>
      </c>
      <c r="N1019" cm="1">
        <f t="array" ref="N1019" xml:space="preserve"> mc(100, -PI()/2,PI()/2, 0, 1, "sin(cos(x + y))")-1.48235</f>
        <v>4.7391280076686026E-2</v>
      </c>
      <c r="O1019" cm="1">
        <f t="array" ref="O1019" xml:space="preserve"> mc(500, -PI()/2,PI()/2, 0, 1, "sin(cos(x + y))")-1.48235</f>
        <v>-5.4553234929998418E-2</v>
      </c>
      <c r="P1019" cm="1">
        <f t="array" ref="P1019" xml:space="preserve"> mc(1000, -PI()/2,PI()/2, 0, 1, "sin(cos(x + y))")-1.48235</f>
        <v>-9.1338097652658767E-2</v>
      </c>
    </row>
    <row r="1020" spans="1:16" x14ac:dyDescent="0.3">
      <c r="A1020">
        <v>990</v>
      </c>
      <c r="B1020" cm="1">
        <f t="array" ref="B1020" xml:space="preserve"> mc(100, 0, 4, 1, 2, "x^2+y^2")-92/3</f>
        <v>1.2650822564325566</v>
      </c>
      <c r="C1020" cm="1">
        <f t="array" ref="C1020" xml:space="preserve"> mc(500, 0, 4, 1, 2, "x^2+y^2")-92/3</f>
        <v>0.38277927416841706</v>
      </c>
      <c r="D1020" cm="1">
        <f t="array" ref="D1020" xml:space="preserve"> mc(1000, 0, 4, 1, 2, "x^2+y^2")-92/3</f>
        <v>0.3243005724446526</v>
      </c>
      <c r="F1020" cm="1">
        <f t="array" ref="F1020" xml:space="preserve"> ( mc(100, 3, 4, -1, 1, "EXP(x * sin(y))") ) - 7.39981</f>
        <v>-1.1065031715625588</v>
      </c>
      <c r="G1020" cm="1">
        <f t="array" ref="G1020" xml:space="preserve"> ( mc(500, 3, 4, -1, 1, "EXP(x * sin(y))") ) - 7.39981</f>
        <v>5.1721673769788978E-3</v>
      </c>
      <c r="H1020" cm="1">
        <f t="array" ref="H1020" xml:space="preserve"> ( mc(1000, 3, 4, -1, 1, "EXP(x * sin(y))") ) - 7.39981</f>
        <v>-0.31833872564939725</v>
      </c>
      <c r="J1020" cm="1">
        <f t="array" ref="J1020" xml:space="preserve"> mc(100, -PI()/2,0,-1, 1, "ln(EXP(x * y))")</f>
        <v>0.35893809734792576</v>
      </c>
      <c r="K1020" cm="1">
        <f t="array" ref="K1020" xml:space="preserve"> mc(500, -PI()/2,0,-1, 1, "ln(EXP(x * y))")</f>
        <v>7.395765980630839E-2</v>
      </c>
      <c r="L1020" cm="1">
        <f t="array" ref="L1020" xml:space="preserve"> mc(1000, -PI()/2,0,-1, 1, "ln(EXP(x * y))")</f>
        <v>-6.3951317802835056E-2</v>
      </c>
      <c r="N1020" cm="1">
        <f t="array" ref="N1020" xml:space="preserve"> mc(100, -PI()/2,PI()/2, 0, 1, "sin(cos(x + y))")-1.48235</f>
        <v>5.4669541416493272E-2</v>
      </c>
      <c r="O1020" cm="1">
        <f t="array" ref="O1020" xml:space="preserve"> mc(500, -PI()/2,PI()/2, 0, 1, "sin(cos(x + y))")-1.48235</f>
        <v>7.9006326418726625E-2</v>
      </c>
      <c r="P1020" cm="1">
        <f t="array" ref="P1020" xml:space="preserve"> mc(1000, -PI()/2,PI()/2, 0, 1, "sin(cos(x + y))")-1.48235</f>
        <v>7.3030804507359104E-3</v>
      </c>
    </row>
    <row r="1021" spans="1:16" x14ac:dyDescent="0.3">
      <c r="A1021">
        <v>991</v>
      </c>
      <c r="B1021" cm="1">
        <f t="array" ref="B1021" xml:space="preserve"> mc(100, 0, 4, 1, 2, "x^2+y^2")-92/3</f>
        <v>-1.8499655909074306</v>
      </c>
      <c r="C1021" cm="1">
        <f t="array" ref="C1021" xml:space="preserve"> mc(500, 0, 4, 1, 2, "x^2+y^2")-92/3</f>
        <v>-0.6994289307258299</v>
      </c>
      <c r="D1021" cm="1">
        <f t="array" ref="D1021" xml:space="preserve"> mc(1000, 0, 4, 1, 2, "x^2+y^2")-92/3</f>
        <v>7.3618119103180391E-2</v>
      </c>
      <c r="F1021" cm="1">
        <f t="array" ref="F1021" xml:space="preserve"> ( mc(100, 3, 4, -1, 1, "EXP(x * sin(y))") ) - 7.39981</f>
        <v>2.0152716357730487</v>
      </c>
      <c r="G1021" cm="1">
        <f t="array" ref="G1021" xml:space="preserve"> ( mc(500, 3, 4, -1, 1, "EXP(x * sin(y))") ) - 7.39981</f>
        <v>-0.27225891433906835</v>
      </c>
      <c r="H1021" cm="1">
        <f t="array" ref="H1021" xml:space="preserve"> ( mc(1000, 3, 4, -1, 1, "EXP(x * sin(y))") ) - 7.39981</f>
        <v>0.11260535271644923</v>
      </c>
      <c r="J1021" cm="1">
        <f t="array" ref="J1021" xml:space="preserve"> mc(100, -PI()/2,0,-1, 1, "ln(EXP(x * y))")</f>
        <v>3.0775520029120495E-2</v>
      </c>
      <c r="K1021" cm="1">
        <f t="array" ref="K1021" xml:space="preserve"> mc(500, -PI()/2,0,-1, 1, "ln(EXP(x * y))")</f>
        <v>8.0473805165817397E-2</v>
      </c>
      <c r="L1021" cm="1">
        <f t="array" ref="L1021" xml:space="preserve"> mc(1000, -PI()/2,0,-1, 1, "ln(EXP(x * y))")</f>
        <v>4.3037195997812895E-2</v>
      </c>
      <c r="N1021" cm="1">
        <f t="array" ref="N1021" xml:space="preserve"> mc(100, -PI()/2,PI()/2, 0, 1, "sin(cos(x + y))")-1.48235</f>
        <v>1.0575549846375765E-2</v>
      </c>
      <c r="O1021" cm="1">
        <f t="array" ref="O1021" xml:space="preserve"> mc(500, -PI()/2,PI()/2, 0, 1, "sin(cos(x + y))")-1.48235</f>
        <v>-6.6562425679395743E-2</v>
      </c>
      <c r="P1021" cm="1">
        <f t="array" ref="P1021" xml:space="preserve"> mc(1000, -PI()/2,PI()/2, 0, 1, "sin(cos(x + y))")-1.48235</f>
        <v>1.5186136546027518E-2</v>
      </c>
    </row>
    <row r="1022" spans="1:16" x14ac:dyDescent="0.3">
      <c r="A1022">
        <v>992</v>
      </c>
      <c r="B1022" cm="1">
        <f t="array" ref="B1022" xml:space="preserve"> mc(100, 0, 4, 1, 2, "x^2+y^2")-92/3</f>
        <v>1.2771778177408493</v>
      </c>
      <c r="C1022" cm="1">
        <f t="array" ref="C1022" xml:space="preserve"> mc(500, 0, 4, 1, 2, "x^2+y^2")-92/3</f>
        <v>0.48199595999641076</v>
      </c>
      <c r="D1022" cm="1">
        <f t="array" ref="D1022" xml:space="preserve"> mc(1000, 0, 4, 1, 2, "x^2+y^2")-92/3</f>
        <v>-0.81708662775466934</v>
      </c>
      <c r="F1022" cm="1">
        <f t="array" ref="F1022" xml:space="preserve"> ( mc(100, 3, 4, -1, 1, "EXP(x * sin(y))") ) - 7.39981</f>
        <v>1.4718567723250917</v>
      </c>
      <c r="G1022" cm="1">
        <f t="array" ref="G1022" xml:space="preserve"> ( mc(500, 3, 4, -1, 1, "EXP(x * sin(y))") ) - 7.39981</f>
        <v>-0.31679077525682864</v>
      </c>
      <c r="H1022" cm="1">
        <f t="array" ref="H1022" xml:space="preserve"> ( mc(1000, 3, 4, -1, 1, "EXP(x * sin(y))") ) - 7.39981</f>
        <v>-3.7962523194718045E-2</v>
      </c>
      <c r="J1022" cm="1">
        <f t="array" ref="J1022" xml:space="preserve"> mc(100, -PI()/2,0,-1, 1, "ln(EXP(x * y))")</f>
        <v>-2.1116949759360576E-3</v>
      </c>
      <c r="K1022" cm="1">
        <f t="array" ref="K1022" xml:space="preserve"> mc(500, -PI()/2,0,-1, 1, "ln(EXP(x * y))")</f>
        <v>2.8403103863734746E-2</v>
      </c>
      <c r="L1022" cm="1">
        <f t="array" ref="L1022" xml:space="preserve"> mc(1000, -PI()/2,0,-1, 1, "ln(EXP(x * y))")</f>
        <v>-1.8744055272710086E-2</v>
      </c>
      <c r="N1022" cm="1">
        <f t="array" ref="N1022" xml:space="preserve"> mc(100, -PI()/2,PI()/2, 0, 1, "sin(cos(x + y))")-1.48235</f>
        <v>-0.16596052137096207</v>
      </c>
      <c r="O1022" cm="1">
        <f t="array" ref="O1022" xml:space="preserve"> mc(500, -PI()/2,PI()/2, 0, 1, "sin(cos(x + y))")-1.48235</f>
        <v>-5.3083850568229174E-2</v>
      </c>
      <c r="P1022" cm="1">
        <f t="array" ref="P1022" xml:space="preserve"> mc(1000, -PI()/2,PI()/2, 0, 1, "sin(cos(x + y))")-1.48235</f>
        <v>-9.5344362731481391E-2</v>
      </c>
    </row>
    <row r="1023" spans="1:16" x14ac:dyDescent="0.3">
      <c r="A1023">
        <v>993</v>
      </c>
      <c r="B1023" cm="1">
        <f t="array" ref="B1023" xml:space="preserve"> mc(100, 0, 4, 1, 2, "x^2+y^2")-92/3</f>
        <v>3.0334198273204329</v>
      </c>
      <c r="C1023" cm="1">
        <f t="array" ref="C1023" xml:space="preserve"> mc(500, 0, 4, 1, 2, "x^2+y^2")-92/3</f>
        <v>-0.53063752818730592</v>
      </c>
      <c r="D1023" cm="1">
        <f t="array" ref="D1023" xml:space="preserve"> mc(1000, 0, 4, 1, 2, "x^2+y^2")-92/3</f>
        <v>-0.96038063271409513</v>
      </c>
      <c r="F1023" cm="1">
        <f t="array" ref="F1023" xml:space="preserve"> ( mc(100, 3, 4, -1, 1, "EXP(x * sin(y))") ) - 7.39981</f>
        <v>-1.227160216856598</v>
      </c>
      <c r="G1023" cm="1">
        <f t="array" ref="G1023" xml:space="preserve"> ( mc(500, 3, 4, -1, 1, "EXP(x * sin(y))") ) - 7.39981</f>
        <v>-2.6145180027101311E-2</v>
      </c>
      <c r="H1023" cm="1">
        <f t="array" ref="H1023" xml:space="preserve"> ( mc(1000, 3, 4, -1, 1, "EXP(x * sin(y))") ) - 7.39981</f>
        <v>-4.0249870874641047E-2</v>
      </c>
      <c r="J1023" cm="1">
        <f t="array" ref="J1023" xml:space="preserve"> mc(100, -PI()/2,0,-1, 1, "ln(EXP(x * y))")</f>
        <v>-0.33708947692651908</v>
      </c>
      <c r="K1023" cm="1">
        <f t="array" ref="K1023" xml:space="preserve"> mc(500, -PI()/2,0,-1, 1, "ln(EXP(x * y))")</f>
        <v>0.14591079961425088</v>
      </c>
      <c r="L1023" cm="1">
        <f t="array" ref="L1023" xml:space="preserve"> mc(1000, -PI()/2,0,-1, 1, "ln(EXP(x * y))")</f>
        <v>3.1338295614209789E-2</v>
      </c>
      <c r="N1023" cm="1">
        <f t="array" ref="N1023" xml:space="preserve"> mc(100, -PI()/2,PI()/2, 0, 1, "sin(cos(x + y))")-1.48235</f>
        <v>8.412425104997201E-2</v>
      </c>
      <c r="O1023" cm="1">
        <f t="array" ref="O1023" xml:space="preserve"> mc(500, -PI()/2,PI()/2, 0, 1, "sin(cos(x + y))")-1.48235</f>
        <v>9.9947138851843365E-2</v>
      </c>
      <c r="P1023" cm="1">
        <f t="array" ref="P1023" xml:space="preserve"> mc(1000, -PI()/2,PI()/2, 0, 1, "sin(cos(x + y))")-1.48235</f>
        <v>5.6300676366054514E-3</v>
      </c>
    </row>
    <row r="1024" spans="1:16" x14ac:dyDescent="0.3">
      <c r="A1024">
        <v>994</v>
      </c>
      <c r="B1024" cm="1">
        <f t="array" ref="B1024" xml:space="preserve"> mc(100, 0, 4, 1, 2, "x^2+y^2")-92/3</f>
        <v>0.37034470342253556</v>
      </c>
      <c r="C1024" cm="1">
        <f t="array" ref="C1024" xml:space="preserve"> mc(500, 0, 4, 1, 2, "x^2+y^2")-92/3</f>
        <v>-0.87173719668562555</v>
      </c>
      <c r="D1024" cm="1">
        <f t="array" ref="D1024" xml:space="preserve"> mc(1000, 0, 4, 1, 2, "x^2+y^2")-92/3</f>
        <v>0.38778399881556425</v>
      </c>
      <c r="F1024" cm="1">
        <f t="array" ref="F1024" xml:space="preserve"> ( mc(100, 3, 4, -1, 1, "EXP(x * sin(y))") ) - 7.39981</f>
        <v>-1.4352562823519719</v>
      </c>
      <c r="G1024" cm="1">
        <f t="array" ref="G1024" xml:space="preserve"> ( mc(500, 3, 4, -1, 1, "EXP(x * sin(y))") ) - 7.39981</f>
        <v>0.25915167763503533</v>
      </c>
      <c r="H1024" cm="1">
        <f t="array" ref="H1024" xml:space="preserve"> ( mc(1000, 3, 4, -1, 1, "EXP(x * sin(y))") ) - 7.39981</f>
        <v>-0.17396988765730192</v>
      </c>
      <c r="J1024" cm="1">
        <f t="array" ref="J1024" xml:space="preserve"> mc(100, -PI()/2,0,-1, 1, "ln(EXP(x * y))")</f>
        <v>-0.1863174312500154</v>
      </c>
      <c r="K1024" cm="1">
        <f t="array" ref="K1024" xml:space="preserve"> mc(500, -PI()/2,0,-1, 1, "ln(EXP(x * y))")</f>
        <v>-0.12107558928633164</v>
      </c>
      <c r="L1024" cm="1">
        <f t="array" ref="L1024" xml:space="preserve"> mc(1000, -PI()/2,0,-1, 1, "ln(EXP(x * y))")</f>
        <v>5.9678090528370045E-2</v>
      </c>
      <c r="N1024" cm="1">
        <f t="array" ref="N1024" xml:space="preserve"> mc(100, -PI()/2,PI()/2, 0, 1, "sin(cos(x + y))")-1.48235</f>
        <v>0.3024070673117798</v>
      </c>
      <c r="O1024" cm="1">
        <f t="array" ref="O1024" xml:space="preserve"> mc(500, -PI()/2,PI()/2, 0, 1, "sin(cos(x + y))")-1.48235</f>
        <v>4.1890203987645203E-2</v>
      </c>
      <c r="P1024" cm="1">
        <f t="array" ref="P1024" xml:space="preserve"> mc(1000, -PI()/2,PI()/2, 0, 1, "sin(cos(x + y))")-1.48235</f>
        <v>4.298811842291439E-2</v>
      </c>
    </row>
    <row r="1025" spans="1:16" x14ac:dyDescent="0.3">
      <c r="A1025">
        <v>995</v>
      </c>
      <c r="B1025" cm="1">
        <f t="array" ref="B1025" xml:space="preserve"> mc(100, 0, 4, 1, 2, "x^2+y^2")-92/3</f>
        <v>-1.0762157889715702</v>
      </c>
      <c r="C1025" cm="1">
        <f t="array" ref="C1025" xml:space="preserve"> mc(500, 0, 4, 1, 2, "x^2+y^2")-92/3</f>
        <v>1.1167414519679291</v>
      </c>
      <c r="D1025" cm="1">
        <f t="array" ref="D1025" xml:space="preserve"> mc(1000, 0, 4, 1, 2, "x^2+y^2")-92/3</f>
        <v>0.55043263458466996</v>
      </c>
      <c r="F1025" cm="1">
        <f t="array" ref="F1025" xml:space="preserve"> ( mc(100, 3, 4, -1, 1, "EXP(x * sin(y))") ) - 7.39981</f>
        <v>-1.2538398370392505</v>
      </c>
      <c r="G1025" cm="1">
        <f t="array" ref="G1025" xml:space="preserve"> ( mc(500, 3, 4, -1, 1, "EXP(x * sin(y))") ) - 7.39981</f>
        <v>0.12415556450933529</v>
      </c>
      <c r="H1025" cm="1">
        <f t="array" ref="H1025" xml:space="preserve"> ( mc(1000, 3, 4, -1, 1, "EXP(x * sin(y))") ) - 7.39981</f>
        <v>0.21993739435251491</v>
      </c>
      <c r="J1025" cm="1">
        <f t="array" ref="J1025" xml:space="preserve"> mc(100, -PI()/2,0,-1, 1, "ln(EXP(x * y))")</f>
        <v>1.7576588405239062E-3</v>
      </c>
      <c r="K1025" cm="1">
        <f t="array" ref="K1025" xml:space="preserve"> mc(500, -PI()/2,0,-1, 1, "ln(EXP(x * y))")</f>
        <v>-0.19450910269007546</v>
      </c>
      <c r="L1025" cm="1">
        <f t="array" ref="L1025" xml:space="preserve"> mc(1000, -PI()/2,0,-1, 1, "ln(EXP(x * y))")</f>
        <v>7.2143272343266006E-4</v>
      </c>
      <c r="N1025" cm="1">
        <f t="array" ref="N1025" xml:space="preserve"> mc(100, -PI()/2,PI()/2, 0, 1, "sin(cos(x + y))")-1.48235</f>
        <v>-5.2743931160711632E-2</v>
      </c>
      <c r="O1025" cm="1">
        <f t="array" ref="O1025" xml:space="preserve"> mc(500, -PI()/2,PI()/2, 0, 1, "sin(cos(x + y))")-1.48235</f>
        <v>-1.7644815645686762E-2</v>
      </c>
      <c r="P1025" cm="1">
        <f t="array" ref="P1025" xml:space="preserve"> mc(1000, -PI()/2,PI()/2, 0, 1, "sin(cos(x + y))")-1.48235</f>
        <v>-1.8097434915931299E-3</v>
      </c>
    </row>
    <row r="1026" spans="1:16" x14ac:dyDescent="0.3">
      <c r="A1026">
        <v>996</v>
      </c>
      <c r="B1026" cm="1">
        <f t="array" ref="B1026" xml:space="preserve"> mc(100, 0, 4, 1, 2, "x^2+y^2")-92/3</f>
        <v>1.5598394967734102</v>
      </c>
      <c r="C1026" cm="1">
        <f t="array" ref="C1026" xml:space="preserve"> mc(500, 0, 4, 1, 2, "x^2+y^2")-92/3</f>
        <v>-0.27152801241410884</v>
      </c>
      <c r="D1026" cm="1">
        <f t="array" ref="D1026" xml:space="preserve"> mc(1000, 0, 4, 1, 2, "x^2+y^2")-92/3</f>
        <v>6.6322779086078754E-2</v>
      </c>
      <c r="F1026" cm="1">
        <f t="array" ref="F1026" xml:space="preserve"> ( mc(100, 3, 4, -1, 1, "EXP(x * sin(y))") ) - 7.39981</f>
        <v>-0.69823279602679378</v>
      </c>
      <c r="G1026" cm="1">
        <f t="array" ref="G1026" xml:space="preserve"> ( mc(500, 3, 4, -1, 1, "EXP(x * sin(y))") ) - 7.39981</f>
        <v>0.96995457480388936</v>
      </c>
      <c r="H1026" cm="1">
        <f t="array" ref="H1026" xml:space="preserve"> ( mc(1000, 3, 4, -1, 1, "EXP(x * sin(y))") ) - 7.39981</f>
        <v>4.2149678820946335E-3</v>
      </c>
      <c r="J1026" cm="1">
        <f t="array" ref="J1026" xml:space="preserve"> mc(100, -PI()/2,0,-1, 1, "ln(EXP(x * y))")</f>
        <v>3.4463693077637303E-2</v>
      </c>
      <c r="K1026" cm="1">
        <f t="array" ref="K1026" xml:space="preserve"> mc(500, -PI()/2,0,-1, 1, "ln(EXP(x * y))")</f>
        <v>2.8711766526437067E-2</v>
      </c>
      <c r="L1026" cm="1">
        <f t="array" ref="L1026" xml:space="preserve"> mc(1000, -PI()/2,0,-1, 1, "ln(EXP(x * y))")</f>
        <v>-3.8163912229854137E-2</v>
      </c>
      <c r="N1026" cm="1">
        <f t="array" ref="N1026" xml:space="preserve"> mc(100, -PI()/2,PI()/2, 0, 1, "sin(cos(x + y))")-1.48235</f>
        <v>0.307709243771362</v>
      </c>
      <c r="O1026" cm="1">
        <f t="array" ref="O1026" xml:space="preserve"> mc(500, -PI()/2,PI()/2, 0, 1, "sin(cos(x + y))")-1.48235</f>
        <v>-5.0557908766068138E-2</v>
      </c>
      <c r="P1026" cm="1">
        <f t="array" ref="P1026" xml:space="preserve"> mc(1000, -PI()/2,PI()/2, 0, 1, "sin(cos(x + y))")-1.48235</f>
        <v>5.1714597011177865E-2</v>
      </c>
    </row>
    <row r="1027" spans="1:16" x14ac:dyDescent="0.3">
      <c r="A1027">
        <v>997</v>
      </c>
      <c r="B1027" cm="1">
        <f t="array" ref="B1027" xml:space="preserve"> mc(100, 0, 4, 1, 2, "x^2+y^2")-92/3</f>
        <v>-1.8139919365750146</v>
      </c>
      <c r="C1027" cm="1">
        <f t="array" ref="C1027" xml:space="preserve"> mc(500, 0, 4, 1, 2, "x^2+y^2")-92/3</f>
        <v>1.7277126725792336</v>
      </c>
      <c r="D1027" cm="1">
        <f t="array" ref="D1027" xml:space="preserve"> mc(1000, 0, 4, 1, 2, "x^2+y^2")-92/3</f>
        <v>-0.14786403724904318</v>
      </c>
      <c r="F1027" cm="1">
        <f t="array" ref="F1027" xml:space="preserve"> ( mc(100, 3, 4, -1, 1, "EXP(x * sin(y))") ) - 7.39981</f>
        <v>-1.1454223033810749</v>
      </c>
      <c r="G1027" cm="1">
        <f t="array" ref="G1027" xml:space="preserve"> ( mc(500, 3, 4, -1, 1, "EXP(x * sin(y))") ) - 7.39981</f>
        <v>-0.45705389174179256</v>
      </c>
      <c r="H1027" cm="1">
        <f t="array" ref="H1027" xml:space="preserve"> ( mc(1000, 3, 4, -1, 1, "EXP(x * sin(y))") ) - 7.39981</f>
        <v>-0.38745655185626404</v>
      </c>
      <c r="J1027" cm="1">
        <f t="array" ref="J1027" xml:space="preserve"> mc(100, -PI()/2,0,-1, 1, "ln(EXP(x * y))")</f>
        <v>-0.11085240027207198</v>
      </c>
      <c r="K1027" cm="1">
        <f t="array" ref="K1027" xml:space="preserve"> mc(500, -PI()/2,0,-1, 1, "ln(EXP(x * y))")</f>
        <v>7.6965706555531177E-3</v>
      </c>
      <c r="L1027" cm="1">
        <f t="array" ref="L1027" xml:space="preserve"> mc(1000, -PI()/2,0,-1, 1, "ln(EXP(x * y))")</f>
        <v>1.0630127471615851E-3</v>
      </c>
      <c r="N1027" cm="1">
        <f t="array" ref="N1027" xml:space="preserve"> mc(100, -PI()/2,PI()/2, 0, 1, "sin(cos(x + y))")-1.48235</f>
        <v>0.15981360993560934</v>
      </c>
      <c r="O1027" cm="1">
        <f t="array" ref="O1027" xml:space="preserve"> mc(500, -PI()/2,PI()/2, 0, 1, "sin(cos(x + y))")-1.48235</f>
        <v>8.8795541878297968E-2</v>
      </c>
      <c r="P1027" cm="1">
        <f t="array" ref="P1027" xml:space="preserve"> mc(1000, -PI()/2,PI()/2, 0, 1, "sin(cos(x + y))")-1.48235</f>
        <v>3.6328159594261944E-2</v>
      </c>
    </row>
    <row r="1028" spans="1:16" x14ac:dyDescent="0.3">
      <c r="A1028">
        <v>998</v>
      </c>
      <c r="B1028" cm="1">
        <f t="array" ref="B1028" xml:space="preserve"> mc(100, 0, 4, 1, 2, "x^2+y^2")-92/3</f>
        <v>1.4327747211965693</v>
      </c>
      <c r="C1028" cm="1">
        <f t="array" ref="C1028" xml:space="preserve"> mc(500, 0, 4, 1, 2, "x^2+y^2")-92/3</f>
        <v>-1.0402277703220975</v>
      </c>
      <c r="D1028" cm="1">
        <f t="array" ref="D1028" xml:space="preserve"> mc(1000, 0, 4, 1, 2, "x^2+y^2")-92/3</f>
        <v>0.91089577799387556</v>
      </c>
      <c r="F1028" cm="1">
        <f t="array" ref="F1028" xml:space="preserve"> ( mc(100, 3, 4, -1, 1, "EXP(x * sin(y))") ) - 7.39981</f>
        <v>2.7921456315794124E-2</v>
      </c>
      <c r="G1028" cm="1">
        <f t="array" ref="G1028" xml:space="preserve"> ( mc(500, 3, 4, -1, 1, "EXP(x * sin(y))") ) - 7.39981</f>
        <v>-8.4790405116033973E-2</v>
      </c>
      <c r="H1028" cm="1">
        <f t="array" ref="H1028" xml:space="preserve"> ( mc(1000, 3, 4, -1, 1, "EXP(x * sin(y))") ) - 7.39981</f>
        <v>4.6176839516485657E-2</v>
      </c>
      <c r="J1028" cm="1">
        <f t="array" ref="J1028" xml:space="preserve"> mc(100, -PI()/2,0,-1, 1, "ln(EXP(x * y))")</f>
        <v>-0.18545120276481261</v>
      </c>
      <c r="K1028" cm="1">
        <f t="array" ref="K1028" xml:space="preserve"> mc(500, -PI()/2,0,-1, 1, "ln(EXP(x * y))")</f>
        <v>1.6197751993894293E-2</v>
      </c>
      <c r="L1028" cm="1">
        <f t="array" ref="L1028" xml:space="preserve"> mc(1000, -PI()/2,0,-1, 1, "ln(EXP(x * y))")</f>
        <v>8.0164423686397979E-3</v>
      </c>
      <c r="N1028" cm="1">
        <f t="array" ref="N1028" xml:space="preserve"> mc(100, -PI()/2,PI()/2, 0, 1, "sin(cos(x + y))")-1.48235</f>
        <v>-8.5120626900800467E-2</v>
      </c>
      <c r="O1028" cm="1">
        <f t="array" ref="O1028" xml:space="preserve"> mc(500, -PI()/2,PI()/2, 0, 1, "sin(cos(x + y))")-1.48235</f>
        <v>-2.6685129218710468E-2</v>
      </c>
      <c r="P1028" cm="1">
        <f t="array" ref="P1028" xml:space="preserve"> mc(1000, -PI()/2,PI()/2, 0, 1, "sin(cos(x + y))")-1.48235</f>
        <v>3.7404689669101154E-2</v>
      </c>
    </row>
    <row r="1029" spans="1:16" x14ac:dyDescent="0.3">
      <c r="A1029">
        <v>999</v>
      </c>
      <c r="B1029" cm="1">
        <f t="array" ref="B1029" xml:space="preserve"> mc(100, 0, 4, 1, 2, "x^2+y^2")-92/3</f>
        <v>-1.6214974186011695</v>
      </c>
      <c r="C1029" cm="1">
        <f t="array" ref="C1029" xml:space="preserve"> mc(500, 0, 4, 1, 2, "x^2+y^2")-92/3</f>
        <v>-0.10509083150069287</v>
      </c>
      <c r="D1029" cm="1">
        <f t="array" ref="D1029" xml:space="preserve"> mc(1000, 0, 4, 1, 2, "x^2+y^2")-92/3</f>
        <v>0.26931387572531307</v>
      </c>
      <c r="F1029" cm="1">
        <f t="array" ref="F1029" xml:space="preserve"> ( mc(100, 3, 4, -1, 1, "EXP(x * sin(y))") ) - 7.39981</f>
        <v>-0.25127719593445264</v>
      </c>
      <c r="G1029" cm="1">
        <f t="array" ref="G1029" xml:space="preserve"> ( mc(500, 3, 4, -1, 1, "EXP(x * sin(y))") ) - 7.39981</f>
        <v>0.44199730253961178</v>
      </c>
      <c r="H1029" cm="1">
        <f t="array" ref="H1029" xml:space="preserve"> ( mc(1000, 3, 4, -1, 1, "EXP(x * sin(y))") ) - 7.39981</f>
        <v>0.12575231998894676</v>
      </c>
      <c r="J1029" cm="1">
        <f t="array" ref="J1029" xml:space="preserve"> mc(100, -PI()/2,0,-1, 1, "ln(EXP(x * y))")</f>
        <v>-3.1854120464898175E-2</v>
      </c>
      <c r="K1029" cm="1">
        <f t="array" ref="K1029" xml:space="preserve"> mc(500, -PI()/2,0,-1, 1, "ln(EXP(x * y))")</f>
        <v>7.5291946349193964E-2</v>
      </c>
      <c r="L1029" cm="1">
        <f t="array" ref="L1029" xml:space="preserve"> mc(1000, -PI()/2,0,-1, 1, "ln(EXP(x * y))")</f>
        <v>-5.829650972098778E-2</v>
      </c>
      <c r="N1029" cm="1">
        <f t="array" ref="N1029" xml:space="preserve"> mc(100, -PI()/2,PI()/2, 0, 1, "sin(cos(x + y))")-1.48235</f>
        <v>0.15528934846381359</v>
      </c>
      <c r="O1029" cm="1">
        <f t="array" ref="O1029" xml:space="preserve"> mc(500, -PI()/2,PI()/2, 0, 1, "sin(cos(x + y))")-1.48235</f>
        <v>-2.2077193931295147E-2</v>
      </c>
      <c r="P1029" cm="1">
        <f t="array" ref="P1029" xml:space="preserve"> mc(1000, -PI()/2,PI()/2, 0, 1, "sin(cos(x + y))")-1.48235</f>
        <v>1.4677624183563109E-2</v>
      </c>
    </row>
    <row r="1030" spans="1:16" x14ac:dyDescent="0.3">
      <c r="A1030">
        <v>1000</v>
      </c>
      <c r="B1030" cm="1">
        <f t="array" ref="B1030" xml:space="preserve"> mc(100, 0, 4, 1, 2, "x^2+y^2")-92/3</f>
        <v>-0.24258132323116399</v>
      </c>
      <c r="C1030" cm="1">
        <f t="array" ref="C1030" xml:space="preserve"> mc(500, 0, 4, 1, 2, "x^2+y^2")-92/3</f>
        <v>-0.22673472828101637</v>
      </c>
      <c r="D1030" cm="1">
        <f t="array" ref="D1030" xml:space="preserve"> mc(1000, 0, 4, 1, 2, "x^2+y^2")-92/3</f>
        <v>-1.7962476334693633</v>
      </c>
      <c r="F1030" cm="1">
        <f t="array" ref="F1030" xml:space="preserve"> ( mc(100, 3, 4, -1, 1, "EXP(x * sin(y))") ) - 7.39981</f>
        <v>0.33630402055952757</v>
      </c>
      <c r="G1030" cm="1">
        <f t="array" ref="G1030" xml:space="preserve"> ( mc(500, 3, 4, -1, 1, "EXP(x * sin(y))") ) - 7.39981</f>
        <v>0.30248793349737912</v>
      </c>
      <c r="H1030" cm="1">
        <f t="array" ref="H1030" xml:space="preserve"> ( mc(1000, 3, 4, -1, 1, "EXP(x * sin(y))") ) - 7.39981</f>
        <v>-0.17316939777564144</v>
      </c>
      <c r="J1030" cm="1">
        <f t="array" ref="J1030" xml:space="preserve"> mc(100, -PI()/2,0,-1, 1, "ln(EXP(x * y))")</f>
        <v>-4.7010019302391161E-2</v>
      </c>
      <c r="K1030" cm="1">
        <f t="array" ref="K1030" xml:space="preserve"> mc(500, -PI()/2,0,-1, 1, "ln(EXP(x * y))")</f>
        <v>4.2621875041773803E-2</v>
      </c>
      <c r="L1030" cm="1">
        <f t="array" ref="L1030" xml:space="preserve"> mc(1000, -PI()/2,0,-1, 1, "ln(EXP(x * y))")</f>
        <v>7.6583609447687023E-2</v>
      </c>
      <c r="N1030" cm="1">
        <f t="array" ref="N1030" xml:space="preserve"> mc(100, -PI()/2,PI()/2, 0, 1, "sin(cos(x + y))")-1.48235</f>
        <v>1.6203456709221742E-2</v>
      </c>
      <c r="O1030" cm="1">
        <f t="array" ref="O1030" xml:space="preserve"> mc(500, -PI()/2,PI()/2, 0, 1, "sin(cos(x + y))")-1.48235</f>
        <v>-1.220331417749132E-2</v>
      </c>
      <c r="P1030" cm="1">
        <f t="array" ref="P1030" xml:space="preserve"> mc(1000, -PI()/2,PI()/2, 0, 1, "sin(cos(x + y))")-1.48235</f>
        <v>7.3114656170329306E-2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B8C981D760B67340A3A092B93EA96966" ma:contentTypeVersion="10" ma:contentTypeDescription="Utwórz nowy dokument." ma:contentTypeScope="" ma:versionID="eb90b2b4102f0f7832b2a248f4638294">
  <xsd:schema xmlns:xsd="http://www.w3.org/2001/XMLSchema" xmlns:xs="http://www.w3.org/2001/XMLSchema" xmlns:p="http://schemas.microsoft.com/office/2006/metadata/properties" xmlns:ns3="f9c1fc80-e85d-4995-90c9-a1349b3e999c" targetNamespace="http://schemas.microsoft.com/office/2006/metadata/properties" ma:root="true" ma:fieldsID="f2a2acaef348496af7ad81c4b118f20f" ns3:_="">
    <xsd:import namespace="f9c1fc80-e85d-4995-90c9-a1349b3e999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_activity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c1fc80-e85d-4995-90c9-a1349b3e99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9c1fc80-e85d-4995-90c9-a1349b3e999c" xsi:nil="true"/>
  </documentManagement>
</p:properties>
</file>

<file path=customXml/itemProps1.xml><?xml version="1.0" encoding="utf-8"?>
<ds:datastoreItem xmlns:ds="http://schemas.openxmlformats.org/officeDocument/2006/customXml" ds:itemID="{B6C09375-4415-463E-A37A-AD04E89F22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c1fc80-e85d-4995-90c9-a1349b3e999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35BCD2F-5C03-477D-9E36-5C2B1665E6F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14634B2-496F-4B61-8132-C6CF5F13F80D}">
  <ds:schemaRefs>
    <ds:schemaRef ds:uri="http://schemas.microsoft.com/office/2006/metadata/properties"/>
    <ds:schemaRef ds:uri="http://schemas.microsoft.com/office/infopath/2007/PartnerControls"/>
    <ds:schemaRef ds:uri="f9c1fc80-e85d-4995-90c9-a1349b3e999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Wiktor Chmiel</dc:creator>
  <cp:keywords/>
  <dc:description/>
  <cp:lastModifiedBy>Gralak Karolina (STUD)</cp:lastModifiedBy>
  <cp:revision/>
  <dcterms:created xsi:type="dcterms:W3CDTF">2024-11-13T13:52:35Z</dcterms:created>
  <dcterms:modified xsi:type="dcterms:W3CDTF">2024-12-01T22:00:38Z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0x010100B8C981D760B67340A3A092B93EA96966</vt:lpwstr>
  </property>
</Properties>
</file>